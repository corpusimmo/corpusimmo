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552BC714-EF63-411C-9E82-54CDDDFAD400}"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Hypothèses" sheetId="2" r:id="rId2"/>
    <sheet name="Comparateur" sheetId="3" r:id="rId3"/>
    <sheet name="Pluriannuel" sheetId="4" r:id="rId4"/>
    <sheet name="Paramètres" sheetId="5" r:id="rId5"/>
    <sheet name="Méthod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6" l="1"/>
  <c r="C55" i="6"/>
  <c r="C54" i="6"/>
  <c r="C53" i="6"/>
  <c r="C52" i="6"/>
  <c r="C51" i="6"/>
  <c r="C50" i="6"/>
  <c r="C49" i="6"/>
  <c r="C48" i="6"/>
  <c r="C47" i="6"/>
  <c r="C46" i="6"/>
  <c r="C45" i="6"/>
  <c r="C44" i="6"/>
  <c r="C43" i="6"/>
  <c r="C42" i="6"/>
  <c r="C41" i="6"/>
  <c r="C40" i="6"/>
  <c r="C39" i="6"/>
  <c r="C38" i="6"/>
  <c r="D105" i="5"/>
  <c r="D103" i="5"/>
  <c r="D101" i="5"/>
  <c r="D99" i="5"/>
  <c r="D97" i="5"/>
  <c r="D95" i="5"/>
  <c r="D93" i="5"/>
  <c r="D91" i="5"/>
  <c r="D89" i="5"/>
  <c r="F74" i="5"/>
  <c r="E29" i="5"/>
  <c r="E28" i="5"/>
  <c r="E27" i="5"/>
  <c r="D23" i="5"/>
  <c r="D22" i="5"/>
  <c r="D21" i="5"/>
  <c r="D20" i="5"/>
  <c r="D19" i="5"/>
  <c r="D18" i="5"/>
  <c r="D17" i="5"/>
  <c r="D16" i="5"/>
  <c r="D15" i="5"/>
  <c r="D14" i="5"/>
  <c r="D13" i="5"/>
  <c r="D12" i="5"/>
  <c r="D11" i="5"/>
  <c r="D10" i="5"/>
  <c r="D9" i="5"/>
  <c r="D8" i="5"/>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D83"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D78" i="4"/>
  <c r="D76" i="4"/>
  <c r="D70"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D57" i="4"/>
  <c r="D54"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D38"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AG19" i="4"/>
  <c r="AG22" i="4" s="1"/>
  <c r="AF19" i="4"/>
  <c r="AF22" i="4" s="1"/>
  <c r="AE19" i="4"/>
  <c r="AE22" i="4" s="1"/>
  <c r="AD19" i="4"/>
  <c r="AD22" i="4" s="1"/>
  <c r="AC19" i="4"/>
  <c r="AC22" i="4" s="1"/>
  <c r="AB19" i="4"/>
  <c r="AB22" i="4" s="1"/>
  <c r="AA19" i="4"/>
  <c r="AA22" i="4" s="1"/>
  <c r="Z19" i="4"/>
  <c r="Z22" i="4" s="1"/>
  <c r="Y19" i="4"/>
  <c r="Y22" i="4" s="1"/>
  <c r="X19" i="4"/>
  <c r="X22" i="4" s="1"/>
  <c r="W19" i="4"/>
  <c r="W22" i="4" s="1"/>
  <c r="V19" i="4"/>
  <c r="V22" i="4" s="1"/>
  <c r="U19" i="4"/>
  <c r="U22" i="4" s="1"/>
  <c r="T19" i="4"/>
  <c r="T22" i="4" s="1"/>
  <c r="S19" i="4"/>
  <c r="S22" i="4" s="1"/>
  <c r="R19" i="4"/>
  <c r="R22" i="4" s="1"/>
  <c r="Q19" i="4"/>
  <c r="Q22" i="4" s="1"/>
  <c r="P19" i="4"/>
  <c r="P22" i="4" s="1"/>
  <c r="O19" i="4"/>
  <c r="O22" i="4" s="1"/>
  <c r="N19" i="4"/>
  <c r="N22" i="4" s="1"/>
  <c r="M19" i="4"/>
  <c r="M22" i="4" s="1"/>
  <c r="L19" i="4"/>
  <c r="L22" i="4" s="1"/>
  <c r="K19" i="4"/>
  <c r="K22" i="4" s="1"/>
  <c r="J19" i="4"/>
  <c r="J22" i="4" s="1"/>
  <c r="I19" i="4"/>
  <c r="I22" i="4" s="1"/>
  <c r="H19" i="4"/>
  <c r="H22" i="4" s="1"/>
  <c r="G19" i="4"/>
  <c r="G22" i="4" s="1"/>
  <c r="F19" i="4"/>
  <c r="F22" i="4" s="1"/>
  <c r="E19" i="4"/>
  <c r="E22" i="4" s="1"/>
  <c r="D19" i="4"/>
  <c r="D22" i="4" s="1"/>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F29" i="3"/>
  <c r="E29" i="3"/>
  <c r="D29" i="3"/>
  <c r="C29" i="3"/>
  <c r="F28" i="3"/>
  <c r="E28" i="3"/>
  <c r="D28" i="3"/>
  <c r="C28" i="3"/>
  <c r="F27" i="3"/>
  <c r="E27" i="3"/>
  <c r="D27" i="3"/>
  <c r="C27" i="3"/>
  <c r="F26" i="3"/>
  <c r="E26" i="3"/>
  <c r="D26" i="3"/>
  <c r="C26" i="3"/>
  <c r="G25" i="3"/>
  <c r="G24" i="3"/>
  <c r="G22" i="3"/>
  <c r="E22" i="3"/>
  <c r="D22" i="3"/>
  <c r="C22" i="3"/>
  <c r="F17" i="3"/>
  <c r="E17" i="3"/>
  <c r="D17" i="3"/>
  <c r="C17" i="3"/>
  <c r="D61" i="2"/>
  <c r="C61" i="2"/>
  <c r="C58" i="2"/>
  <c r="D57" i="2"/>
  <c r="D56" i="2"/>
  <c r="D55" i="2"/>
  <c r="D54" i="2"/>
  <c r="C46" i="2"/>
  <c r="C44" i="2"/>
  <c r="C38" i="2"/>
  <c r="D29" i="2"/>
  <c r="D27" i="2"/>
  <c r="C23" i="2"/>
  <c r="C22" i="2"/>
  <c r="D20" i="2"/>
  <c r="D19" i="2"/>
  <c r="D18" i="2"/>
  <c r="C13" i="2"/>
  <c r="C12" i="2"/>
  <c r="D9" i="2"/>
  <c r="AG84" i="4" l="1"/>
  <c r="AG85" i="4" s="1"/>
  <c r="AF84" i="4"/>
  <c r="AF85" i="4"/>
  <c r="AE84" i="4"/>
  <c r="AE85" i="4"/>
  <c r="AD84" i="4"/>
  <c r="AD85" i="4"/>
  <c r="AC84" i="4"/>
  <c r="AC85" i="4"/>
  <c r="AB84" i="4"/>
  <c r="AB85" i="4"/>
  <c r="AA84" i="4"/>
  <c r="AA85" i="4"/>
  <c r="Z84" i="4"/>
  <c r="Z85" i="4"/>
  <c r="Y84" i="4"/>
  <c r="Y85" i="4"/>
  <c r="X84" i="4"/>
  <c r="X85" i="4"/>
  <c r="W84" i="4"/>
  <c r="W85" i="4"/>
  <c r="V84" i="4"/>
  <c r="V85" i="4" s="1"/>
  <c r="U84" i="4"/>
  <c r="U85" i="4" s="1"/>
  <c r="T84" i="4"/>
  <c r="T85" i="4" s="1"/>
  <c r="S84" i="4"/>
  <c r="S85" i="4" s="1"/>
  <c r="R84" i="4"/>
  <c r="R85" i="4" s="1"/>
  <c r="Q84" i="4"/>
  <c r="Q85" i="4" s="1"/>
  <c r="P84" i="4"/>
  <c r="P85" i="4"/>
  <c r="O84" i="4"/>
  <c r="O85" i="4" s="1"/>
  <c r="N84" i="4"/>
  <c r="N85" i="4" s="1"/>
  <c r="M84" i="4"/>
  <c r="M85" i="4"/>
  <c r="L84" i="4"/>
  <c r="L85" i="4" s="1"/>
  <c r="K84" i="4"/>
  <c r="K85" i="4" s="1"/>
  <c r="J84" i="4"/>
  <c r="J85" i="4" s="1"/>
  <c r="I84" i="4"/>
  <c r="I85" i="4" s="1"/>
  <c r="H84" i="4"/>
  <c r="H85" i="4" s="1"/>
  <c r="G84" i="4"/>
  <c r="G85" i="4" s="1"/>
  <c r="F84" i="4"/>
  <c r="F85" i="4" s="1"/>
  <c r="E84" i="4"/>
  <c r="E85" i="4" s="1"/>
  <c r="D84" i="4"/>
  <c r="D85" i="4" s="1"/>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AG25" i="4"/>
  <c r="AG26" i="4" s="1"/>
  <c r="AG47" i="4"/>
  <c r="AG48" i="4" s="1"/>
  <c r="AF47" i="4"/>
  <c r="AF48" i="4" s="1"/>
  <c r="AF25" i="4"/>
  <c r="AF26" i="4" s="1"/>
  <c r="AE47" i="4"/>
  <c r="AE48" i="4" s="1"/>
  <c r="AE25" i="4"/>
  <c r="AE26" i="4" s="1"/>
  <c r="AD25" i="4"/>
  <c r="AD26" i="4" s="1"/>
  <c r="AD47" i="4"/>
  <c r="AD48" i="4" s="1"/>
  <c r="AC47" i="4"/>
  <c r="AC25" i="4"/>
  <c r="AC26" i="4" s="1"/>
  <c r="AB25" i="4"/>
  <c r="AB26" i="4" s="1"/>
  <c r="AB47" i="4"/>
  <c r="AB48" i="4" s="1"/>
  <c r="AA47" i="4"/>
  <c r="AA48" i="4" s="1"/>
  <c r="AA25" i="4"/>
  <c r="AA26" i="4" s="1"/>
  <c r="Z25" i="4"/>
  <c r="Z26" i="4" s="1"/>
  <c r="Z47" i="4"/>
  <c r="Z48" i="4" s="1"/>
  <c r="Y47" i="4"/>
  <c r="Y48" i="4" s="1"/>
  <c r="Y25" i="4"/>
  <c r="Y26" i="4" s="1"/>
  <c r="X25" i="4"/>
  <c r="X26" i="4" s="1"/>
  <c r="X47" i="4"/>
  <c r="X48" i="4" s="1"/>
  <c r="W25" i="4"/>
  <c r="W26" i="4" s="1"/>
  <c r="W47" i="4"/>
  <c r="W48" i="4" s="1"/>
  <c r="V47" i="4"/>
  <c r="V48" i="4" s="1"/>
  <c r="V25" i="4"/>
  <c r="V26" i="4" s="1"/>
  <c r="U47" i="4"/>
  <c r="U48" i="4" s="1"/>
  <c r="U25" i="4"/>
  <c r="U26" i="4" s="1"/>
  <c r="T47" i="4"/>
  <c r="T48" i="4" s="1"/>
  <c r="T25" i="4"/>
  <c r="T26" i="4" s="1"/>
  <c r="S25" i="4"/>
  <c r="S26" i="4" s="1"/>
  <c r="S47" i="4"/>
  <c r="S48" i="4" s="1"/>
  <c r="R47" i="4"/>
  <c r="R48" i="4" s="1"/>
  <c r="R25" i="4"/>
  <c r="R26" i="4" s="1"/>
  <c r="Q47" i="4"/>
  <c r="Q48" i="4" s="1"/>
  <c r="Q25" i="4"/>
  <c r="Q26" i="4" s="1"/>
  <c r="P47" i="4"/>
  <c r="P48" i="4" s="1"/>
  <c r="P25" i="4"/>
  <c r="P26" i="4" s="1"/>
  <c r="O47" i="4"/>
  <c r="O48" i="4" s="1"/>
  <c r="O25" i="4"/>
  <c r="O26" i="4" s="1"/>
  <c r="N25" i="4"/>
  <c r="N26" i="4" s="1"/>
  <c r="N47" i="4"/>
  <c r="N48" i="4" s="1"/>
  <c r="M47" i="4"/>
  <c r="M48" i="4" s="1"/>
  <c r="M25" i="4"/>
  <c r="M26" i="4" s="1"/>
  <c r="L25" i="4"/>
  <c r="L26" i="4" s="1"/>
  <c r="L47" i="4"/>
  <c r="L48" i="4" s="1"/>
  <c r="K47" i="4"/>
  <c r="K48" i="4" s="1"/>
  <c r="K25" i="4"/>
  <c r="K26" i="4" s="1"/>
  <c r="J25" i="4"/>
  <c r="J47" i="4"/>
  <c r="J48" i="4" s="1"/>
  <c r="I47" i="4"/>
  <c r="I48" i="4" s="1"/>
  <c r="I25" i="4"/>
  <c r="I26" i="4" s="1"/>
  <c r="H25" i="4"/>
  <c r="H26" i="4" s="1"/>
  <c r="H47" i="4"/>
  <c r="H48" i="4" s="1"/>
  <c r="G25" i="4"/>
  <c r="G26" i="4" s="1"/>
  <c r="G47" i="4"/>
  <c r="G48" i="4" s="1"/>
  <c r="F47" i="4"/>
  <c r="F48" i="4" s="1"/>
  <c r="F25" i="4"/>
  <c r="F26" i="4" s="1"/>
  <c r="E25" i="4"/>
  <c r="E26" i="4" s="1"/>
  <c r="E47" i="4"/>
  <c r="E48" i="4" s="1"/>
  <c r="D25" i="4"/>
  <c r="D26" i="4" s="1"/>
  <c r="D47" i="4"/>
  <c r="D48" i="4" s="1"/>
  <c r="AG93" i="4"/>
  <c r="Z93" i="4"/>
  <c r="T93" i="4"/>
  <c r="O93" i="4"/>
  <c r="N93" i="4"/>
  <c r="C13" i="4"/>
  <c r="C9" i="4"/>
  <c r="C45" i="2"/>
  <c r="AF96" i="4"/>
  <c r="AB96" i="4"/>
  <c r="Z96" i="4"/>
  <c r="X96" i="4"/>
  <c r="V96" i="4"/>
  <c r="U96" i="4"/>
  <c r="S96" i="4"/>
  <c r="P96" i="4"/>
  <c r="O96" i="4"/>
  <c r="AG95" i="4"/>
  <c r="AC95" i="4"/>
  <c r="Z95" i="4"/>
  <c r="T95" i="4"/>
  <c r="P95" i="4"/>
  <c r="AG94" i="4"/>
  <c r="AA94" i="4"/>
  <c r="U94" i="4"/>
  <c r="P94" i="4"/>
  <c r="AD93" i="4"/>
  <c r="W93" i="4"/>
  <c r="AG92" i="4"/>
  <c r="AF92" i="4"/>
  <c r="AE92" i="4"/>
  <c r="AD92" i="4"/>
  <c r="AC92" i="4"/>
  <c r="AB92" i="4"/>
  <c r="AA92" i="4"/>
  <c r="Z92" i="4"/>
  <c r="Y92" i="4"/>
  <c r="X92" i="4"/>
  <c r="W92" i="4"/>
  <c r="V92" i="4"/>
  <c r="U92" i="4"/>
  <c r="T92" i="4"/>
  <c r="S92" i="4"/>
  <c r="R92" i="4"/>
  <c r="Q92" i="4"/>
  <c r="P92" i="4"/>
  <c r="O92" i="4"/>
  <c r="N92" i="4"/>
  <c r="C83" i="4"/>
  <c r="C82" i="4"/>
  <c r="X95" i="4"/>
  <c r="C20" i="4"/>
  <c r="Q96" i="4"/>
  <c r="AD95" i="4"/>
  <c r="AA95" i="4"/>
  <c r="U95" i="4"/>
  <c r="Q95" i="4"/>
  <c r="AE94" i="4"/>
  <c r="Z94" i="4"/>
  <c r="S94" i="4"/>
  <c r="N94" i="4"/>
  <c r="AB93" i="4"/>
  <c r="V93" i="4"/>
  <c r="V95" i="4"/>
  <c r="C27" i="4"/>
  <c r="AB94" i="4"/>
  <c r="V94" i="4"/>
  <c r="R94" i="4"/>
  <c r="AE93" i="4"/>
  <c r="Y93" i="4"/>
  <c r="S93" i="4"/>
  <c r="Q93" i="4"/>
  <c r="C43" i="4"/>
  <c r="C12" i="4"/>
  <c r="C11" i="4"/>
  <c r="AE95" i="4"/>
  <c r="W95" i="4"/>
  <c r="R95" i="4"/>
  <c r="O95" i="4"/>
  <c r="AC94" i="4"/>
  <c r="W94" i="4"/>
  <c r="O94" i="4"/>
  <c r="AC93" i="4"/>
  <c r="X93" i="4"/>
  <c r="R93" i="4"/>
  <c r="C49" i="4"/>
  <c r="C19" i="4"/>
  <c r="C65" i="4"/>
  <c r="AF94" i="4"/>
  <c r="X94" i="4"/>
  <c r="T94" i="4"/>
  <c r="C22" i="4"/>
  <c r="C21" i="4"/>
  <c r="C10" i="4"/>
  <c r="AG96" i="4"/>
  <c r="AE96" i="4"/>
  <c r="AD96" i="4"/>
  <c r="AC96" i="4"/>
  <c r="AA96" i="4"/>
  <c r="Y96" i="4"/>
  <c r="W96" i="4"/>
  <c r="T96" i="4"/>
  <c r="R96" i="4"/>
  <c r="N96" i="4"/>
  <c r="AF95" i="4"/>
  <c r="AB95" i="4"/>
  <c r="Y95" i="4"/>
  <c r="S95" i="4"/>
  <c r="N95" i="4"/>
  <c r="AD94" i="4"/>
  <c r="Y94" i="4"/>
  <c r="Q94" i="4"/>
  <c r="AF93" i="4"/>
  <c r="AA93" i="4"/>
  <c r="U93" i="4"/>
  <c r="P93" i="4"/>
  <c r="C33" i="2"/>
  <c r="C30" i="2"/>
  <c r="C26" i="4" l="1"/>
  <c r="C84" i="4"/>
  <c r="J26" i="4"/>
  <c r="C25" i="4"/>
  <c r="C62" i="2"/>
  <c r="G14" i="4"/>
  <c r="K14" i="4"/>
  <c r="O14" i="4"/>
  <c r="T14" i="4"/>
  <c r="Y14" i="4"/>
  <c r="AC14" i="4"/>
  <c r="AE14" i="4"/>
  <c r="D15" i="4"/>
  <c r="D18" i="4" s="1"/>
  <c r="H15" i="4"/>
  <c r="M15" i="4"/>
  <c r="Q15" i="4"/>
  <c r="U15" i="4"/>
  <c r="AA15" i="4"/>
  <c r="G16" i="4"/>
  <c r="K16" i="4"/>
  <c r="O16" i="4"/>
  <c r="S16" i="4"/>
  <c r="W16" i="4"/>
  <c r="AA16" i="4"/>
  <c r="AE16" i="4"/>
  <c r="X18" i="4"/>
  <c r="AC18" i="4"/>
  <c r="N16" i="4"/>
  <c r="T16" i="4"/>
  <c r="X16" i="4"/>
  <c r="AB16" i="4"/>
  <c r="AG16" i="4"/>
  <c r="Y18" i="4"/>
  <c r="AD18" i="4"/>
  <c r="E14" i="4"/>
  <c r="H14" i="4"/>
  <c r="L14" i="4"/>
  <c r="P14" i="4"/>
  <c r="S14" i="4"/>
  <c r="X14" i="4"/>
  <c r="F15" i="4"/>
  <c r="J15" i="4"/>
  <c r="O15" i="4"/>
  <c r="T15" i="4"/>
  <c r="X15" i="4"/>
  <c r="AB15" i="4"/>
  <c r="AE15" i="4"/>
  <c r="D16" i="4"/>
  <c r="I16" i="4"/>
  <c r="M16" i="4"/>
  <c r="R16" i="4"/>
  <c r="V16" i="4"/>
  <c r="Y16" i="4"/>
  <c r="AC16" i="4"/>
  <c r="AF16" i="4"/>
  <c r="AA18" i="4"/>
  <c r="AE18" i="4"/>
  <c r="F14" i="4"/>
  <c r="J14" i="4"/>
  <c r="N14" i="4"/>
  <c r="Q14" i="4"/>
  <c r="U14" i="4"/>
  <c r="W14" i="4"/>
  <c r="AA14" i="4"/>
  <c r="AD14" i="4"/>
  <c r="AF14" i="4"/>
  <c r="G15" i="4"/>
  <c r="K15" i="4"/>
  <c r="N15" i="4"/>
  <c r="R15" i="4"/>
  <c r="V15" i="4"/>
  <c r="Y15" i="4"/>
  <c r="AD15" i="4"/>
  <c r="AG15" i="4"/>
  <c r="F16" i="4"/>
  <c r="J16" i="4"/>
  <c r="P16" i="4"/>
  <c r="AB18" i="4"/>
  <c r="AG18" i="4"/>
  <c r="D14" i="4"/>
  <c r="I14" i="4"/>
  <c r="M14" i="4"/>
  <c r="R14" i="4"/>
  <c r="V14" i="4"/>
  <c r="Z14" i="4"/>
  <c r="AB14" i="4"/>
  <c r="AG14" i="4"/>
  <c r="E15" i="4"/>
  <c r="I15" i="4"/>
  <c r="L15" i="4"/>
  <c r="P15" i="4"/>
  <c r="S15" i="4"/>
  <c r="W15" i="4"/>
  <c r="Z15" i="4"/>
  <c r="AC15" i="4"/>
  <c r="AF15" i="4"/>
  <c r="E16" i="4"/>
  <c r="H16" i="4"/>
  <c r="L16" i="4"/>
  <c r="Q16" i="4"/>
  <c r="U16" i="4"/>
  <c r="Z16" i="4"/>
  <c r="AD16" i="4"/>
  <c r="Z18" i="4"/>
  <c r="AF18" i="4"/>
  <c r="C31" i="2"/>
  <c r="C95" i="4"/>
  <c r="C94" i="4"/>
  <c r="C96" i="4"/>
  <c r="D81" i="4"/>
  <c r="C92" i="4"/>
  <c r="C93" i="4"/>
  <c r="C85" i="4"/>
  <c r="AC48" i="4"/>
  <c r="C48" i="4" s="1"/>
  <c r="C47" i="4"/>
  <c r="E18" i="4" l="1"/>
  <c r="F18" i="4" s="1"/>
  <c r="G18" i="4" s="1"/>
  <c r="H18" i="4" s="1"/>
  <c r="I18" i="4" s="1"/>
  <c r="J18" i="4" s="1"/>
  <c r="K18" i="4" s="1"/>
  <c r="L18" i="4" s="1"/>
  <c r="M18" i="4" s="1"/>
  <c r="F20" i="3"/>
  <c r="E14" i="3"/>
  <c r="C10" i="3"/>
  <c r="E9" i="3"/>
  <c r="D8" i="3"/>
  <c r="F8" i="3"/>
  <c r="G21" i="3"/>
  <c r="G23" i="3" s="1"/>
  <c r="D21" i="3"/>
  <c r="E20" i="3"/>
  <c r="C20" i="3"/>
  <c r="C16" i="3"/>
  <c r="C14" i="3"/>
  <c r="C9" i="3"/>
  <c r="C21" i="3"/>
  <c r="E16" i="3"/>
  <c r="G8" i="3"/>
  <c r="C8" i="3"/>
  <c r="D20" i="3"/>
  <c r="D23" i="3" s="1"/>
  <c r="D24" i="3" s="1"/>
  <c r="E10" i="3"/>
  <c r="E8" i="3"/>
  <c r="E21" i="3"/>
  <c r="G20" i="3"/>
  <c r="G53" i="4"/>
  <c r="G58" i="4" s="1"/>
  <c r="G31" i="4"/>
  <c r="G69" i="4"/>
  <c r="G17" i="4"/>
  <c r="G32" i="4"/>
  <c r="G34" i="4" s="1"/>
  <c r="K31" i="4"/>
  <c r="K69" i="4"/>
  <c r="K53" i="4"/>
  <c r="K58" i="4" s="1"/>
  <c r="K17" i="4"/>
  <c r="K32" i="4"/>
  <c r="K34" i="4" s="1"/>
  <c r="O69" i="4"/>
  <c r="O53" i="4"/>
  <c r="O58" i="4" s="1"/>
  <c r="O31" i="4"/>
  <c r="O17" i="4"/>
  <c r="O32" i="4"/>
  <c r="O34" i="4" s="1"/>
  <c r="T69" i="4"/>
  <c r="T31" i="4"/>
  <c r="T53" i="4"/>
  <c r="T58" i="4" s="1"/>
  <c r="T17" i="4"/>
  <c r="T32" i="4"/>
  <c r="T34" i="4" s="1"/>
  <c r="Y53" i="4"/>
  <c r="Y58" i="4" s="1"/>
  <c r="Y69" i="4"/>
  <c r="Y31" i="4"/>
  <c r="Y17" i="4"/>
  <c r="Y32" i="4"/>
  <c r="Y34" i="4" s="1"/>
  <c r="AC31" i="4"/>
  <c r="AC69" i="4"/>
  <c r="AC53" i="4"/>
  <c r="AC58" i="4" s="1"/>
  <c r="AC17" i="4"/>
  <c r="AC32" i="4"/>
  <c r="AC34" i="4" s="1"/>
  <c r="AE53" i="4"/>
  <c r="AE58" i="4" s="1"/>
  <c r="AE31" i="4"/>
  <c r="AE69" i="4"/>
  <c r="AE17" i="4"/>
  <c r="AE32" i="4"/>
  <c r="AE34" i="4" s="1"/>
  <c r="E31" i="4"/>
  <c r="E53" i="4"/>
  <c r="E58" i="4" s="1"/>
  <c r="E69" i="4"/>
  <c r="E32" i="4"/>
  <c r="E34" i="4" s="1"/>
  <c r="E17" i="4"/>
  <c r="H53" i="4"/>
  <c r="H58" i="4" s="1"/>
  <c r="H31" i="4"/>
  <c r="H69" i="4"/>
  <c r="H17" i="4"/>
  <c r="H32" i="4"/>
  <c r="H34" i="4" s="1"/>
  <c r="L69" i="4"/>
  <c r="L31" i="4"/>
  <c r="L53" i="4"/>
  <c r="L58" i="4" s="1"/>
  <c r="L32" i="4"/>
  <c r="L34" i="4" s="1"/>
  <c r="L17" i="4"/>
  <c r="P69" i="4"/>
  <c r="P31" i="4"/>
  <c r="P53" i="4"/>
  <c r="P58" i="4" s="1"/>
  <c r="P17" i="4"/>
  <c r="P32" i="4"/>
  <c r="P34" i="4" s="1"/>
  <c r="S31" i="4"/>
  <c r="S69" i="4"/>
  <c r="S53" i="4"/>
  <c r="S58" i="4" s="1"/>
  <c r="S17" i="4"/>
  <c r="S32" i="4"/>
  <c r="S34" i="4" s="1"/>
  <c r="X31" i="4"/>
  <c r="X69" i="4"/>
  <c r="X53" i="4"/>
  <c r="X58" i="4" s="1"/>
  <c r="X17" i="4"/>
  <c r="X32" i="4"/>
  <c r="X34" i="4" s="1"/>
  <c r="F31" i="4"/>
  <c r="F53" i="4"/>
  <c r="F58" i="4" s="1"/>
  <c r="F69" i="4"/>
  <c r="F32" i="4"/>
  <c r="F34" i="4" s="1"/>
  <c r="F17" i="4"/>
  <c r="J31" i="4"/>
  <c r="J69" i="4"/>
  <c r="J53" i="4"/>
  <c r="J58" i="4" s="1"/>
  <c r="J17" i="4"/>
  <c r="J32" i="4"/>
  <c r="J34" i="4" s="1"/>
  <c r="N53" i="4"/>
  <c r="N58" i="4" s="1"/>
  <c r="N31" i="4"/>
  <c r="N69" i="4"/>
  <c r="N17" i="4"/>
  <c r="N32" i="4"/>
  <c r="N34" i="4" s="1"/>
  <c r="Q53" i="4"/>
  <c r="Q58" i="4" s="1"/>
  <c r="Q31" i="4"/>
  <c r="Q69" i="4"/>
  <c r="Q32" i="4"/>
  <c r="Q34" i="4" s="1"/>
  <c r="Q17" i="4"/>
  <c r="U31" i="4"/>
  <c r="U69" i="4"/>
  <c r="U53" i="4"/>
  <c r="U58" i="4" s="1"/>
  <c r="U32" i="4"/>
  <c r="U34" i="4" s="1"/>
  <c r="U17" i="4"/>
  <c r="W31" i="4"/>
  <c r="W69" i="4"/>
  <c r="W53" i="4"/>
  <c r="W58" i="4" s="1"/>
  <c r="W32" i="4"/>
  <c r="W34" i="4" s="1"/>
  <c r="W17" i="4"/>
  <c r="AA69" i="4"/>
  <c r="AA31" i="4"/>
  <c r="AA53" i="4"/>
  <c r="AA58" i="4" s="1"/>
  <c r="AA17" i="4"/>
  <c r="AA32" i="4"/>
  <c r="AA34" i="4" s="1"/>
  <c r="AD31" i="4"/>
  <c r="AD69" i="4"/>
  <c r="AD53" i="4"/>
  <c r="AD58" i="4" s="1"/>
  <c r="AD17" i="4"/>
  <c r="AD32" i="4"/>
  <c r="AD34" i="4" s="1"/>
  <c r="AF31" i="4"/>
  <c r="AF53" i="4"/>
  <c r="AF58" i="4" s="1"/>
  <c r="AF69" i="4"/>
  <c r="AF17" i="4"/>
  <c r="AF32" i="4"/>
  <c r="AF34" i="4" s="1"/>
  <c r="D69" i="4"/>
  <c r="C14" i="4"/>
  <c r="D53" i="4"/>
  <c r="D31" i="4"/>
  <c r="D17" i="4"/>
  <c r="D32" i="4"/>
  <c r="C32" i="2"/>
  <c r="I31" i="4"/>
  <c r="I69" i="4"/>
  <c r="I53" i="4"/>
  <c r="I58" i="4" s="1"/>
  <c r="I32" i="4"/>
  <c r="I34" i="4" s="1"/>
  <c r="I17" i="4"/>
  <c r="M69" i="4"/>
  <c r="M31" i="4"/>
  <c r="M53" i="4"/>
  <c r="M58" i="4" s="1"/>
  <c r="M32" i="4"/>
  <c r="M34" i="4" s="1"/>
  <c r="M17" i="4"/>
  <c r="R69" i="4"/>
  <c r="R31" i="4"/>
  <c r="R53" i="4"/>
  <c r="R58" i="4" s="1"/>
  <c r="R32" i="4"/>
  <c r="R34" i="4" s="1"/>
  <c r="R17" i="4"/>
  <c r="V31" i="4"/>
  <c r="V69" i="4"/>
  <c r="V53" i="4"/>
  <c r="V58" i="4" s="1"/>
  <c r="V32" i="4"/>
  <c r="V34" i="4" s="1"/>
  <c r="V17" i="4"/>
  <c r="Z31" i="4"/>
  <c r="Z69" i="4"/>
  <c r="Z53" i="4"/>
  <c r="Z58" i="4" s="1"/>
  <c r="Z32" i="4"/>
  <c r="Z34" i="4" s="1"/>
  <c r="Z17" i="4"/>
  <c r="AB31" i="4"/>
  <c r="AB53" i="4"/>
  <c r="AB58" i="4" s="1"/>
  <c r="AB69" i="4"/>
  <c r="AB32" i="4"/>
  <c r="AB34" i="4" s="1"/>
  <c r="AB17" i="4"/>
  <c r="AG31" i="4"/>
  <c r="AG53" i="4"/>
  <c r="AG58" i="4" s="1"/>
  <c r="AG69" i="4"/>
  <c r="AG32" i="4"/>
  <c r="AG34" i="4" s="1"/>
  <c r="AG17" i="4"/>
  <c r="C16" i="4"/>
  <c r="C15" i="4"/>
  <c r="C23" i="3" l="1"/>
  <c r="C24" i="3" s="1"/>
  <c r="C25" i="3" s="1"/>
  <c r="C30" i="3" s="1"/>
  <c r="C31" i="3" s="1"/>
  <c r="N18" i="4"/>
  <c r="O18" i="4" s="1"/>
  <c r="P18" i="4" s="1"/>
  <c r="Q18" i="4" s="1"/>
  <c r="R18" i="4" s="1"/>
  <c r="S18" i="4" s="1"/>
  <c r="T18" i="4" s="1"/>
  <c r="U18" i="4" s="1"/>
  <c r="V18" i="4" s="1"/>
  <c r="W18" i="4" s="1"/>
  <c r="C18" i="4"/>
  <c r="G37" i="4"/>
  <c r="G33" i="4"/>
  <c r="G35" i="4" s="1"/>
  <c r="G36" i="4" s="1"/>
  <c r="G28" i="4"/>
  <c r="G92" i="4" s="1"/>
  <c r="G50" i="4"/>
  <c r="G94" i="4" s="1"/>
  <c r="K37" i="4"/>
  <c r="K33" i="4"/>
  <c r="K35" i="4" s="1"/>
  <c r="K36" i="4" s="1"/>
  <c r="K28" i="4"/>
  <c r="K92" i="4" s="1"/>
  <c r="K50" i="4"/>
  <c r="K94" i="4" s="1"/>
  <c r="O37" i="4"/>
  <c r="O33" i="4"/>
  <c r="O35" i="4" s="1"/>
  <c r="O36" i="4" s="1"/>
  <c r="O50" i="4"/>
  <c r="O28" i="4"/>
  <c r="T37" i="4"/>
  <c r="T33" i="4"/>
  <c r="T35" i="4" s="1"/>
  <c r="T36" i="4" s="1"/>
  <c r="T50" i="4"/>
  <c r="T28" i="4"/>
  <c r="Y33" i="4"/>
  <c r="Y35" i="4" s="1"/>
  <c r="Y36" i="4" s="1"/>
  <c r="Y37" i="4"/>
  <c r="Y28" i="4"/>
  <c r="Y50" i="4"/>
  <c r="AC33" i="4"/>
  <c r="AC35" i="4" s="1"/>
  <c r="AC36" i="4" s="1"/>
  <c r="AC37" i="4"/>
  <c r="AC50" i="4"/>
  <c r="AC28" i="4"/>
  <c r="AE33" i="4"/>
  <c r="AE35" i="4" s="1"/>
  <c r="AE36" i="4" s="1"/>
  <c r="AE37" i="4"/>
  <c r="AE28" i="4"/>
  <c r="AE50" i="4"/>
  <c r="E37" i="4"/>
  <c r="E33" i="4"/>
  <c r="E35" i="4" s="1"/>
  <c r="E36" i="4" s="1"/>
  <c r="E50" i="4"/>
  <c r="E94" i="4" s="1"/>
  <c r="E28" i="4"/>
  <c r="E92" i="4" s="1"/>
  <c r="H37" i="4"/>
  <c r="H33" i="4"/>
  <c r="H35" i="4" s="1"/>
  <c r="H36" i="4" s="1"/>
  <c r="H50" i="4"/>
  <c r="H94" i="4" s="1"/>
  <c r="H28" i="4"/>
  <c r="H92" i="4" s="1"/>
  <c r="L37" i="4"/>
  <c r="L33" i="4"/>
  <c r="L35" i="4" s="1"/>
  <c r="L36" i="4" s="1"/>
  <c r="L28" i="4"/>
  <c r="L92" i="4" s="1"/>
  <c r="L50" i="4"/>
  <c r="L94" i="4" s="1"/>
  <c r="P37" i="4"/>
  <c r="P33" i="4"/>
  <c r="P35" i="4" s="1"/>
  <c r="P36" i="4" s="1"/>
  <c r="P28" i="4"/>
  <c r="P50" i="4"/>
  <c r="S37" i="4"/>
  <c r="S33" i="4"/>
  <c r="S35" i="4" s="1"/>
  <c r="S36" i="4" s="1"/>
  <c r="S50" i="4"/>
  <c r="S28" i="4"/>
  <c r="X37" i="4"/>
  <c r="X33" i="4"/>
  <c r="X35" i="4" s="1"/>
  <c r="X36" i="4" s="1"/>
  <c r="X28" i="4"/>
  <c r="X50" i="4"/>
  <c r="F37" i="4"/>
  <c r="F33" i="4"/>
  <c r="F35" i="4" s="1"/>
  <c r="F36" i="4" s="1"/>
  <c r="F28" i="4"/>
  <c r="F92" i="4" s="1"/>
  <c r="F50" i="4"/>
  <c r="F94" i="4" s="1"/>
  <c r="J37" i="4"/>
  <c r="J33" i="4"/>
  <c r="J35" i="4" s="1"/>
  <c r="J36" i="4" s="1"/>
  <c r="J28" i="4"/>
  <c r="J92" i="4" s="1"/>
  <c r="J50" i="4"/>
  <c r="J94" i="4" s="1"/>
  <c r="N37" i="4"/>
  <c r="N33" i="4"/>
  <c r="N35" i="4" s="1"/>
  <c r="N36" i="4" s="1"/>
  <c r="N28" i="4"/>
  <c r="N50" i="4"/>
  <c r="Q37" i="4"/>
  <c r="Q33" i="4"/>
  <c r="Q35" i="4" s="1"/>
  <c r="Q36" i="4" s="1"/>
  <c r="Q28" i="4"/>
  <c r="Q50" i="4"/>
  <c r="U37" i="4"/>
  <c r="U33" i="4"/>
  <c r="U35" i="4" s="1"/>
  <c r="U36" i="4" s="1"/>
  <c r="U28" i="4"/>
  <c r="U50" i="4"/>
  <c r="W37" i="4"/>
  <c r="W33" i="4"/>
  <c r="W35" i="4" s="1"/>
  <c r="W36" i="4" s="1"/>
  <c r="W28" i="4"/>
  <c r="W50" i="4"/>
  <c r="AA33" i="4"/>
  <c r="AA35" i="4" s="1"/>
  <c r="AA36" i="4" s="1"/>
  <c r="AA37" i="4"/>
  <c r="AA28" i="4"/>
  <c r="AA50" i="4"/>
  <c r="AD37" i="4"/>
  <c r="AD33" i="4"/>
  <c r="AD35" i="4" s="1"/>
  <c r="AD36" i="4" s="1"/>
  <c r="AD50" i="4"/>
  <c r="AD28" i="4"/>
  <c r="AF33" i="4"/>
  <c r="AF35" i="4" s="1"/>
  <c r="AF36" i="4" s="1"/>
  <c r="AF37" i="4"/>
  <c r="AF28" i="4"/>
  <c r="AF50" i="4"/>
  <c r="D71" i="4"/>
  <c r="D72" i="4" s="1"/>
  <c r="E70" i="4" s="1"/>
  <c r="C69" i="4"/>
  <c r="D55" i="4"/>
  <c r="C53" i="4"/>
  <c r="D58" i="4"/>
  <c r="D37" i="4"/>
  <c r="D33" i="4"/>
  <c r="C31" i="4"/>
  <c r="C17" i="4"/>
  <c r="D50" i="4"/>
  <c r="D28" i="4"/>
  <c r="C32" i="4"/>
  <c r="D34" i="4"/>
  <c r="C34" i="4" s="1"/>
  <c r="I37" i="4"/>
  <c r="I33" i="4"/>
  <c r="I35" i="4" s="1"/>
  <c r="I36" i="4" s="1"/>
  <c r="I28" i="4"/>
  <c r="I92" i="4" s="1"/>
  <c r="I50" i="4"/>
  <c r="I94" i="4" s="1"/>
  <c r="M37" i="4"/>
  <c r="M33" i="4"/>
  <c r="M35" i="4" s="1"/>
  <c r="M36" i="4" s="1"/>
  <c r="M28" i="4"/>
  <c r="M50" i="4"/>
  <c r="R37" i="4"/>
  <c r="R33" i="4"/>
  <c r="R35" i="4" s="1"/>
  <c r="R36" i="4" s="1"/>
  <c r="R28" i="4"/>
  <c r="R50" i="4"/>
  <c r="V37" i="4"/>
  <c r="V33" i="4"/>
  <c r="V35" i="4" s="1"/>
  <c r="V36" i="4" s="1"/>
  <c r="V50" i="4"/>
  <c r="V28" i="4"/>
  <c r="Z37" i="4"/>
  <c r="Z33" i="4"/>
  <c r="Z35" i="4" s="1"/>
  <c r="Z36" i="4" s="1"/>
  <c r="Z28" i="4"/>
  <c r="Z50" i="4"/>
  <c r="AB33" i="4"/>
  <c r="AB35" i="4" s="1"/>
  <c r="AB36" i="4" s="1"/>
  <c r="AB37" i="4"/>
  <c r="AB50" i="4"/>
  <c r="AB28" i="4"/>
  <c r="AG33" i="4"/>
  <c r="AG35" i="4" s="1"/>
  <c r="AG36" i="4" s="1"/>
  <c r="AG37" i="4"/>
  <c r="AG50" i="4"/>
  <c r="AG28" i="4"/>
  <c r="D25" i="3"/>
  <c r="D30" i="3"/>
  <c r="D31" i="3" s="1"/>
  <c r="E23" i="3"/>
  <c r="E24" i="3" s="1"/>
  <c r="D73" i="4" l="1"/>
  <c r="D64" i="4"/>
  <c r="D59" i="4"/>
  <c r="D56" i="4"/>
  <c r="E54" i="4" s="1"/>
  <c r="C58" i="4"/>
  <c r="C37" i="4"/>
  <c r="D39" i="4"/>
  <c r="D41" i="4" s="1"/>
  <c r="C33" i="4"/>
  <c r="D35" i="4"/>
  <c r="E11" i="3"/>
  <c r="C50" i="4"/>
  <c r="E15" i="3" s="1"/>
  <c r="D94" i="4"/>
  <c r="C11" i="3"/>
  <c r="D92" i="4"/>
  <c r="C28" i="4"/>
  <c r="C15" i="3" s="1"/>
  <c r="C34" i="3" s="1"/>
  <c r="E25" i="3"/>
  <c r="E30" i="3"/>
  <c r="E31" i="3" s="1"/>
  <c r="M94" i="4" s="1"/>
  <c r="M92" i="4"/>
  <c r="E71" i="4"/>
  <c r="D61" i="4" l="1"/>
  <c r="D60" i="4"/>
  <c r="E57" i="4" s="1"/>
  <c r="G9" i="3"/>
  <c r="D74" i="4"/>
  <c r="F9" i="3"/>
  <c r="D62" i="4"/>
  <c r="E55" i="4"/>
  <c r="E56" i="4" s="1"/>
  <c r="F54" i="4" s="1"/>
  <c r="D9" i="3"/>
  <c r="C35" i="4"/>
  <c r="D36" i="4"/>
  <c r="C36" i="3"/>
  <c r="C35" i="3"/>
  <c r="E34" i="3"/>
  <c r="E73" i="4"/>
  <c r="E74" i="4" s="1"/>
  <c r="E72" i="4"/>
  <c r="F70" i="4" s="1"/>
  <c r="D77" i="4" l="1"/>
  <c r="D75" i="4"/>
  <c r="G10" i="3"/>
  <c r="D66" i="4"/>
  <c r="F10" i="3"/>
  <c r="E59" i="4"/>
  <c r="E61" i="4" s="1"/>
  <c r="E64" i="4"/>
  <c r="F55" i="4"/>
  <c r="F56" i="4" s="1"/>
  <c r="G54" i="4" s="1"/>
  <c r="E35" i="3"/>
  <c r="E36" i="3" s="1"/>
  <c r="E75" i="4"/>
  <c r="E77" i="4"/>
  <c r="F71" i="4"/>
  <c r="F72" i="4" s="1"/>
  <c r="G70" i="4" s="1"/>
  <c r="C36" i="4"/>
  <c r="D40" i="4"/>
  <c r="E38" i="4" s="1"/>
  <c r="D42" i="4"/>
  <c r="D79" i="4" l="1"/>
  <c r="D80" i="4" s="1"/>
  <c r="D87" i="4" s="1"/>
  <c r="E78" i="4" s="1"/>
  <c r="D89" i="4"/>
  <c r="E76" i="4" s="1"/>
  <c r="E89" i="4" s="1"/>
  <c r="F76" i="4" s="1"/>
  <c r="D95" i="4"/>
  <c r="F11" i="3"/>
  <c r="E62" i="4"/>
  <c r="E60" i="4"/>
  <c r="F57" i="4" s="1"/>
  <c r="F59" i="4" s="1"/>
  <c r="F64" i="4"/>
  <c r="G55" i="4"/>
  <c r="G56" i="4" s="1"/>
  <c r="H54" i="4" s="1"/>
  <c r="G71" i="4"/>
  <c r="F73" i="4"/>
  <c r="E39" i="4"/>
  <c r="E40" i="4" s="1"/>
  <c r="F38" i="4" s="1"/>
  <c r="D10" i="3"/>
  <c r="D44" i="4"/>
  <c r="G73" i="4" l="1"/>
  <c r="G74" i="4" s="1"/>
  <c r="G72" i="4"/>
  <c r="H70" i="4" s="1"/>
  <c r="E79" i="4"/>
  <c r="D88" i="4"/>
  <c r="E81" i="4" s="1"/>
  <c r="E88" i="4" s="1"/>
  <c r="F81" i="4" s="1"/>
  <c r="D86" i="4"/>
  <c r="E66" i="4"/>
  <c r="G64" i="4"/>
  <c r="H55" i="4"/>
  <c r="G75" i="4"/>
  <c r="G77" i="4"/>
  <c r="F74" i="4"/>
  <c r="E41" i="4"/>
  <c r="F39" i="4"/>
  <c r="D93" i="4"/>
  <c r="D11" i="3"/>
  <c r="F61" i="4"/>
  <c r="F60" i="4"/>
  <c r="G57" i="4" s="1"/>
  <c r="G59" i="4" s="1"/>
  <c r="H71" i="4" l="1"/>
  <c r="G11" i="3"/>
  <c r="D96" i="4"/>
  <c r="E95" i="4"/>
  <c r="H64" i="4"/>
  <c r="F75" i="4"/>
  <c r="F77" i="4"/>
  <c r="E42" i="4"/>
  <c r="F62" i="4"/>
  <c r="E86" i="4"/>
  <c r="E96" i="4" s="1"/>
  <c r="E80" i="4"/>
  <c r="E87" i="4" s="1"/>
  <c r="F78" i="4" s="1"/>
  <c r="H56" i="4"/>
  <c r="I54" i="4" s="1"/>
  <c r="F41" i="4"/>
  <c r="F42" i="4" s="1"/>
  <c r="F44" i="4" s="1"/>
  <c r="F93" i="4" s="1"/>
  <c r="F40" i="4"/>
  <c r="G38" i="4" s="1"/>
  <c r="G61" i="4"/>
  <c r="G62" i="4" s="1"/>
  <c r="G66" i="4" s="1"/>
  <c r="G95" i="4" s="1"/>
  <c r="G60" i="4"/>
  <c r="H57" i="4" s="1"/>
  <c r="H59" i="4" s="1"/>
  <c r="H73" i="4" l="1"/>
  <c r="H74" i="4" s="1"/>
  <c r="H72" i="4"/>
  <c r="I70" i="4" s="1"/>
  <c r="F89" i="4"/>
  <c r="G76" i="4" s="1"/>
  <c r="G89" i="4" s="1"/>
  <c r="H76" i="4" s="1"/>
  <c r="E44" i="4"/>
  <c r="F66" i="4"/>
  <c r="F79" i="4"/>
  <c r="F80" i="4" s="1"/>
  <c r="F87" i="4" s="1"/>
  <c r="G78" i="4" s="1"/>
  <c r="I55" i="4"/>
  <c r="I56" i="4" s="1"/>
  <c r="J54" i="4" s="1"/>
  <c r="G39" i="4"/>
  <c r="G40" i="4" s="1"/>
  <c r="H38" i="4" s="1"/>
  <c r="H61" i="4"/>
  <c r="H60" i="4"/>
  <c r="I57" i="4" s="1"/>
  <c r="I72" i="4" l="1"/>
  <c r="J70" i="4" s="1"/>
  <c r="I71" i="4"/>
  <c r="I73" i="4" s="1"/>
  <c r="I74" i="4" s="1"/>
  <c r="H75" i="4"/>
  <c r="H77" i="4"/>
  <c r="E93" i="4"/>
  <c r="F95" i="4"/>
  <c r="G79" i="4"/>
  <c r="F88" i="4"/>
  <c r="G81" i="4" s="1"/>
  <c r="F86" i="4"/>
  <c r="J55" i="4"/>
  <c r="J56" i="4" s="1"/>
  <c r="K54" i="4" s="1"/>
  <c r="I59" i="4"/>
  <c r="I61" i="4" s="1"/>
  <c r="I64" i="4"/>
  <c r="H39" i="4"/>
  <c r="G41" i="4"/>
  <c r="H62" i="4"/>
  <c r="J71" i="4" l="1"/>
  <c r="I77" i="4"/>
  <c r="I75" i="4"/>
  <c r="G88" i="4"/>
  <c r="H81" i="4" s="1"/>
  <c r="G86" i="4"/>
  <c r="G96" i="4" s="1"/>
  <c r="G80" i="4"/>
  <c r="G87" i="4" s="1"/>
  <c r="H78" i="4" s="1"/>
  <c r="H89" i="4"/>
  <c r="I76" i="4" s="1"/>
  <c r="I89" i="4" s="1"/>
  <c r="J76" i="4" s="1"/>
  <c r="H79" i="4"/>
  <c r="H80" i="4"/>
  <c r="H87" i="4" s="1"/>
  <c r="I78" i="4" s="1"/>
  <c r="F96" i="4"/>
  <c r="J64" i="4"/>
  <c r="K55" i="4"/>
  <c r="K56" i="4" s="1"/>
  <c r="L54" i="4" s="1"/>
  <c r="I60" i="4"/>
  <c r="J57" i="4" s="1"/>
  <c r="J59" i="4" s="1"/>
  <c r="G42" i="4"/>
  <c r="H66" i="4"/>
  <c r="I62" i="4"/>
  <c r="I66" i="4" s="1"/>
  <c r="I95" i="4" s="1"/>
  <c r="H41" i="4"/>
  <c r="H42" i="4" s="1"/>
  <c r="H44" i="4" s="1"/>
  <c r="H93" i="4" s="1"/>
  <c r="H40" i="4"/>
  <c r="I38" i="4" s="1"/>
  <c r="J73" i="4" l="1"/>
  <c r="J74" i="4" s="1"/>
  <c r="J75" i="4" s="1"/>
  <c r="J72" i="4"/>
  <c r="K70" i="4" s="1"/>
  <c r="J77" i="4"/>
  <c r="H88" i="4"/>
  <c r="I81" i="4" s="1"/>
  <c r="H86" i="4"/>
  <c r="I79" i="4"/>
  <c r="I80" i="4" s="1"/>
  <c r="I87" i="4" s="1"/>
  <c r="J78" i="4" s="1"/>
  <c r="K64" i="4"/>
  <c r="L55" i="4"/>
  <c r="L56" i="4" s="1"/>
  <c r="M54" i="4" s="1"/>
  <c r="G44" i="4"/>
  <c r="H95" i="4"/>
  <c r="I39" i="4"/>
  <c r="I40" i="4" s="1"/>
  <c r="J38" i="4" s="1"/>
  <c r="J61" i="4"/>
  <c r="J60" i="4"/>
  <c r="K57" i="4" s="1"/>
  <c r="K59" i="4" s="1"/>
  <c r="K72" i="4" l="1"/>
  <c r="L70" i="4" s="1"/>
  <c r="L71" i="4" s="1"/>
  <c r="K71" i="4"/>
  <c r="K73" i="4" s="1"/>
  <c r="K74" i="4" s="1"/>
  <c r="I88" i="4"/>
  <c r="J81" i="4" s="1"/>
  <c r="J89" i="4"/>
  <c r="K76" i="4" s="1"/>
  <c r="H96" i="4"/>
  <c r="J79" i="4"/>
  <c r="L64" i="4"/>
  <c r="M55" i="4"/>
  <c r="M56" i="4" s="1"/>
  <c r="G93" i="4"/>
  <c r="J39" i="4"/>
  <c r="I41" i="4"/>
  <c r="J62" i="4"/>
  <c r="I86" i="4"/>
  <c r="I96" i="4" s="1"/>
  <c r="K61" i="4"/>
  <c r="K60" i="4"/>
  <c r="L57" i="4" s="1"/>
  <c r="L59" i="4" s="1"/>
  <c r="L61" i="4" s="1"/>
  <c r="L62" i="4" s="1"/>
  <c r="L66" i="4" s="1"/>
  <c r="L95" i="4" s="1"/>
  <c r="K77" i="4" l="1"/>
  <c r="K75" i="4"/>
  <c r="K89" i="4" s="1"/>
  <c r="L76" i="4" s="1"/>
  <c r="L72" i="4"/>
  <c r="M70" i="4" s="1"/>
  <c r="L73" i="4"/>
  <c r="J88" i="4"/>
  <c r="K81" i="4" s="1"/>
  <c r="J86" i="4"/>
  <c r="M64" i="4"/>
  <c r="C56" i="4"/>
  <c r="N54" i="4"/>
  <c r="L74" i="4"/>
  <c r="I42" i="4"/>
  <c r="J66" i="4"/>
  <c r="L60" i="4"/>
  <c r="M57" i="4" s="1"/>
  <c r="M59" i="4" s="1"/>
  <c r="M61" i="4" s="1"/>
  <c r="J80" i="4"/>
  <c r="J87" i="4" s="1"/>
  <c r="K78" i="4" s="1"/>
  <c r="J41" i="4"/>
  <c r="J42" i="4" s="1"/>
  <c r="J44" i="4" s="1"/>
  <c r="J93" i="4" s="1"/>
  <c r="J40" i="4"/>
  <c r="K38" i="4" s="1"/>
  <c r="K62" i="4"/>
  <c r="K66" i="4" s="1"/>
  <c r="K95" i="4" s="1"/>
  <c r="M71" i="4" l="1"/>
  <c r="J96" i="4"/>
  <c r="N55" i="4"/>
  <c r="N56" i="4" s="1"/>
  <c r="O54" i="4" s="1"/>
  <c r="L75" i="4"/>
  <c r="L77" i="4"/>
  <c r="I44" i="4"/>
  <c r="J95" i="4"/>
  <c r="K79" i="4"/>
  <c r="K80" i="4" s="1"/>
  <c r="K87" i="4" s="1"/>
  <c r="L78" i="4" s="1"/>
  <c r="K39" i="4"/>
  <c r="K40" i="4" s="1"/>
  <c r="L38" i="4" s="1"/>
  <c r="M60" i="4"/>
  <c r="M62" i="4"/>
  <c r="M73" i="4" l="1"/>
  <c r="M72" i="4"/>
  <c r="N64" i="4"/>
  <c r="O55" i="4"/>
  <c r="O56" i="4" s="1"/>
  <c r="P54" i="4" s="1"/>
  <c r="L89" i="4"/>
  <c r="M76" i="4" s="1"/>
  <c r="I93" i="4"/>
  <c r="L79" i="4"/>
  <c r="K88" i="4"/>
  <c r="L81" i="4" s="1"/>
  <c r="L88" i="4" s="1"/>
  <c r="M81" i="4" s="1"/>
  <c r="K86" i="4"/>
  <c r="L39" i="4"/>
  <c r="K41" i="4"/>
  <c r="N57" i="4"/>
  <c r="N59" i="4" s="1"/>
  <c r="C60" i="4"/>
  <c r="F16" i="3" s="1"/>
  <c r="M66" i="4"/>
  <c r="G26" i="3" l="1"/>
  <c r="M74" i="4"/>
  <c r="C72" i="4"/>
  <c r="G16" i="3" s="1"/>
  <c r="N70" i="4"/>
  <c r="N71" i="4" s="1"/>
  <c r="O64" i="4"/>
  <c r="P55" i="4"/>
  <c r="P56" i="4"/>
  <c r="Q54" i="4" s="1"/>
  <c r="K96" i="4"/>
  <c r="K42" i="4"/>
  <c r="N60" i="4"/>
  <c r="O57" i="4" s="1"/>
  <c r="O59" i="4" s="1"/>
  <c r="L86" i="4"/>
  <c r="L96" i="4" s="1"/>
  <c r="L80" i="4"/>
  <c r="L87" i="4" s="1"/>
  <c r="M78" i="4" s="1"/>
  <c r="L41" i="4"/>
  <c r="L42" i="4" s="1"/>
  <c r="L44" i="4" s="1"/>
  <c r="L93" i="4" s="1"/>
  <c r="L40" i="4"/>
  <c r="M38" i="4" s="1"/>
  <c r="N61" i="4"/>
  <c r="M75" i="4" l="1"/>
  <c r="M89" i="4" s="1"/>
  <c r="M77" i="4"/>
  <c r="N73" i="4"/>
  <c r="N74" i="4" s="1"/>
  <c r="N72" i="4"/>
  <c r="O70" i="4" s="1"/>
  <c r="P59" i="4"/>
  <c r="P64" i="4"/>
  <c r="Q55" i="4"/>
  <c r="Q56" i="4" s="1"/>
  <c r="R54" i="4" s="1"/>
  <c r="N75" i="4"/>
  <c r="N77" i="4"/>
  <c r="K44" i="4"/>
  <c r="N76" i="4"/>
  <c r="N89" i="4" s="1"/>
  <c r="O76" i="4" s="1"/>
  <c r="C89" i="4"/>
  <c r="M79" i="4"/>
  <c r="M80" i="4" s="1"/>
  <c r="M87" i="4" s="1"/>
  <c r="M39" i="4"/>
  <c r="M40" i="4" s="1"/>
  <c r="N62" i="4"/>
  <c r="O61" i="4"/>
  <c r="O60" i="4"/>
  <c r="P57" i="4" s="1"/>
  <c r="O72" i="4" l="1"/>
  <c r="P70" i="4" s="1"/>
  <c r="O71" i="4"/>
  <c r="O73" i="4" s="1"/>
  <c r="O74" i="4" s="1"/>
  <c r="Q64" i="4"/>
  <c r="R55" i="4"/>
  <c r="R56" i="4" s="1"/>
  <c r="S54" i="4" s="1"/>
  <c r="K93" i="4"/>
  <c r="C87" i="4"/>
  <c r="N78" i="4"/>
  <c r="M88" i="4"/>
  <c r="M86" i="4"/>
  <c r="C40" i="4"/>
  <c r="D16" i="3" s="1"/>
  <c r="N38" i="4"/>
  <c r="M41" i="4"/>
  <c r="N66" i="4"/>
  <c r="P60" i="4"/>
  <c r="Q57" i="4" s="1"/>
  <c r="Q59" i="4" s="1"/>
  <c r="P61" i="4"/>
  <c r="P62" i="4" s="1"/>
  <c r="P66" i="4" s="1"/>
  <c r="O62" i="4"/>
  <c r="O66" i="4" s="1"/>
  <c r="P71" i="4" l="1"/>
  <c r="O77" i="4"/>
  <c r="O75" i="4"/>
  <c r="O89" i="4" s="1"/>
  <c r="P76" i="4" s="1"/>
  <c r="R59" i="4"/>
  <c r="R64" i="4"/>
  <c r="S55" i="4"/>
  <c r="G17" i="3"/>
  <c r="G27" i="3"/>
  <c r="N79" i="4"/>
  <c r="N80" i="4" s="1"/>
  <c r="N87" i="4" s="1"/>
  <c r="O78" i="4" s="1"/>
  <c r="C88" i="4"/>
  <c r="N81" i="4"/>
  <c r="N39" i="4"/>
  <c r="N40" i="4" s="1"/>
  <c r="O38" i="4" s="1"/>
  <c r="M42" i="4"/>
  <c r="P77" i="4"/>
  <c r="P75" i="4"/>
  <c r="Q60" i="4"/>
  <c r="R57" i="4" s="1"/>
  <c r="Q61" i="4"/>
  <c r="P73" i="4" l="1"/>
  <c r="P74" i="4" s="1"/>
  <c r="P72" i="4"/>
  <c r="Q70" i="4" s="1"/>
  <c r="S59" i="4"/>
  <c r="S64" i="4"/>
  <c r="G29" i="3"/>
  <c r="G30" i="3" s="1"/>
  <c r="G28" i="3"/>
  <c r="G31" i="3" s="1"/>
  <c r="M96" i="4" s="1"/>
  <c r="N86" i="4"/>
  <c r="O79" i="4"/>
  <c r="O86" i="4" s="1"/>
  <c r="O80" i="4"/>
  <c r="O87" i="4" s="1"/>
  <c r="P78" i="4" s="1"/>
  <c r="N41" i="4"/>
  <c r="O39" i="4"/>
  <c r="M44" i="4"/>
  <c r="P89" i="4"/>
  <c r="Q76" i="4" s="1"/>
  <c r="Q62" i="4"/>
  <c r="N88" i="4"/>
  <c r="O81" i="4" s="1"/>
  <c r="R60" i="4"/>
  <c r="S57" i="4" s="1"/>
  <c r="R61" i="4"/>
  <c r="S56" i="4"/>
  <c r="T54" i="4" s="1"/>
  <c r="Q71" i="4" l="1"/>
  <c r="Q73" i="4" s="1"/>
  <c r="Q74" i="4" s="1"/>
  <c r="Q72" i="4"/>
  <c r="R70" i="4" s="1"/>
  <c r="P79" i="4"/>
  <c r="P80" i="4" s="1"/>
  <c r="P87" i="4" s="1"/>
  <c r="Q78" i="4" s="1"/>
  <c r="N42" i="4"/>
  <c r="M93" i="4"/>
  <c r="Q66" i="4"/>
  <c r="T55" i="4"/>
  <c r="T56" i="4" s="1"/>
  <c r="U54" i="4" s="1"/>
  <c r="O88" i="4"/>
  <c r="P81" i="4" s="1"/>
  <c r="P88" i="4" s="1"/>
  <c r="Q81" i="4" s="1"/>
  <c r="S60" i="4"/>
  <c r="T57" i="4" s="1"/>
  <c r="S61" i="4"/>
  <c r="S62" i="4" s="1"/>
  <c r="S66" i="4" s="1"/>
  <c r="O41" i="4"/>
  <c r="O42" i="4" s="1"/>
  <c r="O44" i="4" s="1"/>
  <c r="O40" i="4"/>
  <c r="P38" i="4" s="1"/>
  <c r="R62" i="4"/>
  <c r="R66" i="4" s="1"/>
  <c r="Q77" i="4" l="1"/>
  <c r="Q75" i="4"/>
  <c r="Q89" i="4" s="1"/>
  <c r="R76" i="4" s="1"/>
  <c r="R72" i="4"/>
  <c r="S70" i="4" s="1"/>
  <c r="R71" i="4"/>
  <c r="R73" i="4" s="1"/>
  <c r="R74" i="4" s="1"/>
  <c r="P86" i="4"/>
  <c r="N44" i="4"/>
  <c r="U55" i="4"/>
  <c r="U56" i="4" s="1"/>
  <c r="V54" i="4" s="1"/>
  <c r="T64" i="4"/>
  <c r="T59" i="4"/>
  <c r="T61" i="4" s="1"/>
  <c r="P39" i="4"/>
  <c r="P40" i="4" s="1"/>
  <c r="Q38" i="4" s="1"/>
  <c r="S71" i="4" l="1"/>
  <c r="S73" i="4" s="1"/>
  <c r="S74" i="4" s="1"/>
  <c r="S72" i="4"/>
  <c r="T70" i="4" s="1"/>
  <c r="T71" i="4" s="1"/>
  <c r="R75" i="4"/>
  <c r="R89" i="4" s="1"/>
  <c r="S76" i="4" s="1"/>
  <c r="R77" i="4"/>
  <c r="Q79" i="4"/>
  <c r="Q80" i="4"/>
  <c r="Q87" i="4" s="1"/>
  <c r="R78" i="4" s="1"/>
  <c r="Q88" i="4"/>
  <c r="R81" i="4" s="1"/>
  <c r="Q86" i="4"/>
  <c r="R79" i="4"/>
  <c r="R80" i="4" s="1"/>
  <c r="R87" i="4" s="1"/>
  <c r="S78" i="4" s="1"/>
  <c r="U64" i="4"/>
  <c r="V55" i="4"/>
  <c r="V56" i="4"/>
  <c r="W54" i="4" s="1"/>
  <c r="T62" i="4"/>
  <c r="T60" i="4"/>
  <c r="U57" i="4" s="1"/>
  <c r="U59" i="4" s="1"/>
  <c r="Q39" i="4"/>
  <c r="P41" i="4"/>
  <c r="S77" i="4" l="1"/>
  <c r="S75" i="4"/>
  <c r="S89" i="4" s="1"/>
  <c r="T76" i="4" s="1"/>
  <c r="T73" i="4"/>
  <c r="T74" i="4" s="1"/>
  <c r="T72" i="4"/>
  <c r="U70" i="4" s="1"/>
  <c r="R88" i="4"/>
  <c r="S81" i="4" s="1"/>
  <c r="Q41" i="4"/>
  <c r="Q42" i="4" s="1"/>
  <c r="Q44" i="4" s="1"/>
  <c r="Q40" i="4"/>
  <c r="R38" i="4" s="1"/>
  <c r="R86" i="4"/>
  <c r="S79" i="4"/>
  <c r="S80" i="4" s="1"/>
  <c r="S87" i="4" s="1"/>
  <c r="T78" i="4" s="1"/>
  <c r="V64" i="4"/>
  <c r="V59" i="4"/>
  <c r="W55" i="4"/>
  <c r="W56" i="4"/>
  <c r="X54" i="4" s="1"/>
  <c r="T66" i="4"/>
  <c r="R39" i="4"/>
  <c r="R40" i="4"/>
  <c r="S38" i="4" s="1"/>
  <c r="P42" i="4"/>
  <c r="U60" i="4"/>
  <c r="V57" i="4" s="1"/>
  <c r="U61" i="4"/>
  <c r="T77" i="4" l="1"/>
  <c r="T75" i="4"/>
  <c r="T89" i="4" s="1"/>
  <c r="U76" i="4" s="1"/>
  <c r="U72" i="4"/>
  <c r="V70" i="4" s="1"/>
  <c r="V71" i="4" s="1"/>
  <c r="U71" i="4"/>
  <c r="U73" i="4" s="1"/>
  <c r="U74" i="4" s="1"/>
  <c r="S88" i="4"/>
  <c r="T81" i="4" s="1"/>
  <c r="S86" i="4"/>
  <c r="W64" i="4"/>
  <c r="X55" i="4"/>
  <c r="X56" i="4" s="1"/>
  <c r="Y54" i="4" s="1"/>
  <c r="R41" i="4"/>
  <c r="S39" i="4"/>
  <c r="P44" i="4"/>
  <c r="U62" i="4"/>
  <c r="V60" i="4"/>
  <c r="W57" i="4" s="1"/>
  <c r="W59" i="4" s="1"/>
  <c r="V61" i="4"/>
  <c r="V62" i="4" s="1"/>
  <c r="V66" i="4" s="1"/>
  <c r="V73" i="4" l="1"/>
  <c r="V74" i="4" s="1"/>
  <c r="V72" i="4"/>
  <c r="W70" i="4" s="1"/>
  <c r="U77" i="4"/>
  <c r="U75" i="4"/>
  <c r="U89" i="4" s="1"/>
  <c r="V76" i="4" s="1"/>
  <c r="T79" i="4"/>
  <c r="T80" i="4"/>
  <c r="T87" i="4" s="1"/>
  <c r="U78" i="4" s="1"/>
  <c r="X64" i="4"/>
  <c r="Y55" i="4"/>
  <c r="R42" i="4"/>
  <c r="U66" i="4"/>
  <c r="S41" i="4"/>
  <c r="S42" i="4" s="1"/>
  <c r="S44" i="4" s="1"/>
  <c r="S40" i="4"/>
  <c r="T38" i="4" s="1"/>
  <c r="W61" i="4"/>
  <c r="W60" i="4"/>
  <c r="X57" i="4" s="1"/>
  <c r="X59" i="4" s="1"/>
  <c r="V75" i="4" l="1"/>
  <c r="V89" i="4" s="1"/>
  <c r="W76" i="4" s="1"/>
  <c r="V77" i="4"/>
  <c r="W71" i="4"/>
  <c r="W73" i="4" s="1"/>
  <c r="W74" i="4" s="1"/>
  <c r="W72" i="4"/>
  <c r="X70" i="4" s="1"/>
  <c r="T88" i="4"/>
  <c r="U81" i="4" s="1"/>
  <c r="T86" i="4"/>
  <c r="U79" i="4"/>
  <c r="U80" i="4"/>
  <c r="U87" i="4" s="1"/>
  <c r="V78" i="4" s="1"/>
  <c r="Y64" i="4"/>
  <c r="R44" i="4"/>
  <c r="T39" i="4"/>
  <c r="T40" i="4" s="1"/>
  <c r="U38" i="4" s="1"/>
  <c r="W62" i="4"/>
  <c r="Y56" i="4"/>
  <c r="Z54" i="4" s="1"/>
  <c r="X61" i="4"/>
  <c r="X60" i="4"/>
  <c r="Y57" i="4" s="1"/>
  <c r="Y59" i="4" s="1"/>
  <c r="W77" i="4" l="1"/>
  <c r="W75" i="4"/>
  <c r="W89" i="4" s="1"/>
  <c r="X76" i="4" s="1"/>
  <c r="X71" i="4"/>
  <c r="X73" i="4" s="1"/>
  <c r="X74" i="4" s="1"/>
  <c r="X72" i="4"/>
  <c r="Y70" i="4" s="1"/>
  <c r="U88" i="4"/>
  <c r="V81" i="4" s="1"/>
  <c r="U86" i="4"/>
  <c r="V79" i="4"/>
  <c r="V86" i="4" s="1"/>
  <c r="V80" i="4"/>
  <c r="V87" i="4" s="1"/>
  <c r="W78" i="4" s="1"/>
  <c r="U39" i="4"/>
  <c r="T41" i="4"/>
  <c r="W66" i="4"/>
  <c r="Z55" i="4"/>
  <c r="Z56" i="4" s="1"/>
  <c r="AA54" i="4" s="1"/>
  <c r="V88" i="4"/>
  <c r="W81" i="4" s="1"/>
  <c r="X62" i="4"/>
  <c r="X66" i="4" s="1"/>
  <c r="Y61" i="4"/>
  <c r="Y60" i="4"/>
  <c r="Z57" i="4" s="1"/>
  <c r="X77" i="4" l="1"/>
  <c r="X75" i="4"/>
  <c r="X89" i="4" s="1"/>
  <c r="Y76" i="4" s="1"/>
  <c r="Y71" i="4"/>
  <c r="W79" i="4"/>
  <c r="T42" i="4"/>
  <c r="AA55" i="4"/>
  <c r="AA56" i="4" s="1"/>
  <c r="AB54" i="4" s="1"/>
  <c r="Z59" i="4"/>
  <c r="Z61" i="4" s="1"/>
  <c r="Z64" i="4"/>
  <c r="U41" i="4"/>
  <c r="U42" i="4" s="1"/>
  <c r="U44" i="4" s="1"/>
  <c r="U40" i="4"/>
  <c r="V38" i="4" s="1"/>
  <c r="Y62" i="4"/>
  <c r="Y73" i="4" l="1"/>
  <c r="Y74" i="4" s="1"/>
  <c r="Y72" i="4"/>
  <c r="Z70" i="4" s="1"/>
  <c r="W86" i="4"/>
  <c r="W80" i="4"/>
  <c r="W87" i="4" s="1"/>
  <c r="X78" i="4" s="1"/>
  <c r="W88" i="4"/>
  <c r="X81" i="4" s="1"/>
  <c r="T44" i="4"/>
  <c r="AA64" i="4"/>
  <c r="AB55" i="4"/>
  <c r="AB56" i="4"/>
  <c r="AC54" i="4" s="1"/>
  <c r="Z60" i="4"/>
  <c r="AA57" i="4" s="1"/>
  <c r="AA59" i="4" s="1"/>
  <c r="V39" i="4"/>
  <c r="V40" i="4" s="1"/>
  <c r="W38" i="4" s="1"/>
  <c r="Y66" i="4"/>
  <c r="Z62" i="4"/>
  <c r="Z66" i="4" s="1"/>
  <c r="Y75" i="4" l="1"/>
  <c r="Y89" i="4" s="1"/>
  <c r="Z76" i="4" s="1"/>
  <c r="Y77" i="4"/>
  <c r="Z71" i="4"/>
  <c r="X80" i="4"/>
  <c r="X87" i="4" s="1"/>
  <c r="Y78" i="4" s="1"/>
  <c r="X79" i="4"/>
  <c r="AB64" i="4"/>
  <c r="AC55" i="4"/>
  <c r="AC56" i="4"/>
  <c r="AD54" i="4" s="1"/>
  <c r="W39" i="4"/>
  <c r="W41" i="4" s="1"/>
  <c r="W42" i="4" s="1"/>
  <c r="W44" i="4" s="1"/>
  <c r="W40" i="4"/>
  <c r="X38" i="4" s="1"/>
  <c r="V41" i="4"/>
  <c r="AA61" i="4"/>
  <c r="AA60" i="4"/>
  <c r="AB57" i="4" s="1"/>
  <c r="AB59" i="4" s="1"/>
  <c r="Y80" i="4" l="1"/>
  <c r="Y87" i="4" s="1"/>
  <c r="Z78" i="4" s="1"/>
  <c r="Y79" i="4"/>
  <c r="Y86" i="4" s="1"/>
  <c r="X88" i="4"/>
  <c r="Y81" i="4" s="1"/>
  <c r="Y88" i="4" s="1"/>
  <c r="Z81" i="4" s="1"/>
  <c r="X86" i="4"/>
  <c r="Z73" i="4"/>
  <c r="Z74" i="4" s="1"/>
  <c r="Z72" i="4"/>
  <c r="AA70" i="4" s="1"/>
  <c r="AC64" i="4"/>
  <c r="AD55" i="4"/>
  <c r="AD56" i="4"/>
  <c r="AE54" i="4" s="1"/>
  <c r="X39" i="4"/>
  <c r="X40" i="4" s="1"/>
  <c r="Y38" i="4" s="1"/>
  <c r="V42" i="4"/>
  <c r="AA62" i="4"/>
  <c r="AB61" i="4"/>
  <c r="AB60" i="4"/>
  <c r="AC57" i="4" s="1"/>
  <c r="AC59" i="4" s="1"/>
  <c r="Z77" i="4" l="1"/>
  <c r="Z79" i="4" s="1"/>
  <c r="Z80" i="4" s="1"/>
  <c r="Z87" i="4" s="1"/>
  <c r="AA78" i="4" s="1"/>
  <c r="Z75" i="4"/>
  <c r="Z89" i="4" s="1"/>
  <c r="AA76" i="4" s="1"/>
  <c r="AA71" i="4"/>
  <c r="AD64" i="4"/>
  <c r="AE55" i="4"/>
  <c r="AE56" i="4" s="1"/>
  <c r="AF54" i="4" s="1"/>
  <c r="Y39" i="4"/>
  <c r="X41" i="4"/>
  <c r="V44" i="4"/>
  <c r="AA66" i="4"/>
  <c r="AB62" i="4"/>
  <c r="AB66" i="4" s="1"/>
  <c r="AC61" i="4"/>
  <c r="AC60" i="4"/>
  <c r="AD57" i="4" s="1"/>
  <c r="AD59" i="4" s="1"/>
  <c r="Z86" i="4" l="1"/>
  <c r="Z88" i="4"/>
  <c r="AA81" i="4" s="1"/>
  <c r="AA73" i="4"/>
  <c r="AA74" i="4" s="1"/>
  <c r="AA72" i="4"/>
  <c r="AB70" i="4" s="1"/>
  <c r="AE64" i="4"/>
  <c r="AF55" i="4"/>
  <c r="AF56" i="4" s="1"/>
  <c r="AG54" i="4" s="1"/>
  <c r="X42" i="4"/>
  <c r="Y41" i="4"/>
  <c r="Y42" i="4" s="1"/>
  <c r="Y44" i="4" s="1"/>
  <c r="Y40" i="4"/>
  <c r="Z38" i="4" s="1"/>
  <c r="AC62" i="4"/>
  <c r="AD61" i="4"/>
  <c r="AD62" i="4" s="1"/>
  <c r="AD66" i="4" s="1"/>
  <c r="AD60" i="4"/>
  <c r="AE57" i="4" s="1"/>
  <c r="AE59" i="4" s="1"/>
  <c r="AA75" i="4" l="1"/>
  <c r="AA89" i="4" s="1"/>
  <c r="AB76" i="4" s="1"/>
  <c r="AA77" i="4"/>
  <c r="AA79" i="4" s="1"/>
  <c r="AB71" i="4"/>
  <c r="AB72" i="4"/>
  <c r="AC70" i="4" s="1"/>
  <c r="AF64" i="4"/>
  <c r="AG55" i="4"/>
  <c r="C55" i="4" s="1"/>
  <c r="AG56" i="4"/>
  <c r="X44" i="4"/>
  <c r="Z39" i="4"/>
  <c r="Z40" i="4" s="1"/>
  <c r="AA38" i="4" s="1"/>
  <c r="AC66" i="4"/>
  <c r="AE60" i="4"/>
  <c r="AF57" i="4" s="1"/>
  <c r="AF59" i="4" s="1"/>
  <c r="AE61" i="4"/>
  <c r="AA88" i="4" l="1"/>
  <c r="AB81" i="4" s="1"/>
  <c r="AA80" i="4"/>
  <c r="AA87" i="4" s="1"/>
  <c r="AB78" i="4" s="1"/>
  <c r="AA86" i="4"/>
  <c r="AB73" i="4"/>
  <c r="AC71" i="4"/>
  <c r="AG59" i="4"/>
  <c r="AG64" i="4"/>
  <c r="C64" i="4" s="1"/>
  <c r="Z41" i="4"/>
  <c r="AA39" i="4"/>
  <c r="AE62" i="4"/>
  <c r="AF61" i="4"/>
  <c r="AF62" i="4" s="1"/>
  <c r="AF66" i="4" s="1"/>
  <c r="AF60" i="4"/>
  <c r="AG57" i="4" s="1"/>
  <c r="AB74" i="4" l="1"/>
  <c r="AC73" i="4"/>
  <c r="AC74" i="4" s="1"/>
  <c r="AC72" i="4"/>
  <c r="AD70" i="4" s="1"/>
  <c r="AA41" i="4"/>
  <c r="AA42" i="4" s="1"/>
  <c r="AA44" i="4" s="1"/>
  <c r="AA40" i="4"/>
  <c r="AB38" i="4" s="1"/>
  <c r="AB40" i="4" s="1"/>
  <c r="AC38" i="4" s="1"/>
  <c r="F22" i="3"/>
  <c r="F21" i="3"/>
  <c r="F23" i="3" s="1"/>
  <c r="F24" i="3" s="1"/>
  <c r="Z42" i="4"/>
  <c r="AB39" i="4"/>
  <c r="AE66" i="4"/>
  <c r="AG60" i="4"/>
  <c r="C59" i="4"/>
  <c r="AG61" i="4"/>
  <c r="AB77" i="4" l="1"/>
  <c r="AB75" i="4"/>
  <c r="AC75" i="4"/>
  <c r="AC77" i="4"/>
  <c r="AD71" i="4"/>
  <c r="AD72" i="4" s="1"/>
  <c r="AE70" i="4" s="1"/>
  <c r="F25" i="3"/>
  <c r="F30" i="3"/>
  <c r="F31" i="3" s="1"/>
  <c r="M95" i="4" s="1"/>
  <c r="Z44" i="4"/>
  <c r="AB41" i="4"/>
  <c r="AC39" i="4"/>
  <c r="C61" i="4"/>
  <c r="AG62" i="4"/>
  <c r="AB79" i="4" l="1"/>
  <c r="AB80" i="4" s="1"/>
  <c r="AB87" i="4" s="1"/>
  <c r="AC78" i="4" s="1"/>
  <c r="AB89" i="4"/>
  <c r="AC76" i="4" s="1"/>
  <c r="AC89" i="4" s="1"/>
  <c r="AD76" i="4" s="1"/>
  <c r="AE71" i="4"/>
  <c r="AD73" i="4"/>
  <c r="AB42" i="4"/>
  <c r="C62" i="4"/>
  <c r="F14" i="3" s="1"/>
  <c r="AG66" i="4"/>
  <c r="C66" i="4" s="1"/>
  <c r="F15" i="3" s="1"/>
  <c r="F34" i="3" s="1"/>
  <c r="AC41" i="4"/>
  <c r="AC42" i="4" s="1"/>
  <c r="AC44" i="4" s="1"/>
  <c r="AC40" i="4"/>
  <c r="AD38" i="4" s="1"/>
  <c r="AC79" i="4" l="1"/>
  <c r="AC86" i="4" s="1"/>
  <c r="AC80" i="4"/>
  <c r="AC87" i="4" s="1"/>
  <c r="AD78" i="4" s="1"/>
  <c r="AB86" i="4"/>
  <c r="AB88" i="4"/>
  <c r="AC81" i="4" s="1"/>
  <c r="AD74" i="4"/>
  <c r="AE73" i="4"/>
  <c r="AE74" i="4" s="1"/>
  <c r="AE72" i="4"/>
  <c r="AF70" i="4" s="1"/>
  <c r="AB44" i="4"/>
  <c r="F35" i="3"/>
  <c r="F36" i="3" s="1"/>
  <c r="AD40" i="4"/>
  <c r="AE38" i="4" s="1"/>
  <c r="AD39" i="4"/>
  <c r="AD77" i="4" l="1"/>
  <c r="AD79" i="4" s="1"/>
  <c r="AD75" i="4"/>
  <c r="AE75" i="4"/>
  <c r="AE77" i="4"/>
  <c r="AF71" i="4"/>
  <c r="AF72" i="4"/>
  <c r="AG70" i="4" s="1"/>
  <c r="AC88" i="4"/>
  <c r="AD81" i="4" s="1"/>
  <c r="AE39" i="4"/>
  <c r="AD41" i="4"/>
  <c r="AD89" i="4" l="1"/>
  <c r="AE76" i="4" s="1"/>
  <c r="AE89" i="4" s="1"/>
  <c r="AF76" i="4" s="1"/>
  <c r="AF73" i="4"/>
  <c r="AG71" i="4"/>
  <c r="AD88" i="4"/>
  <c r="AE81" i="4" s="1"/>
  <c r="AD80" i="4"/>
  <c r="AD87" i="4" s="1"/>
  <c r="AE78" i="4" s="1"/>
  <c r="AD86" i="4"/>
  <c r="AD42" i="4"/>
  <c r="AE41" i="4"/>
  <c r="AE42" i="4" s="1"/>
  <c r="AE44" i="4" s="1"/>
  <c r="AE40" i="4"/>
  <c r="AF38" i="4" s="1"/>
  <c r="C73" i="4" l="1"/>
  <c r="AF74" i="4"/>
  <c r="AE79" i="4"/>
  <c r="AE80" i="4" s="1"/>
  <c r="AE87" i="4" s="1"/>
  <c r="AF78" i="4" s="1"/>
  <c r="AG73" i="4"/>
  <c r="AG74" i="4" s="1"/>
  <c r="C71" i="4"/>
  <c r="AG72" i="4"/>
  <c r="AD44" i="4"/>
  <c r="AF39" i="4"/>
  <c r="AF40" i="4" s="1"/>
  <c r="AG38" i="4" s="1"/>
  <c r="C74" i="4" l="1"/>
  <c r="G14" i="3" s="1"/>
  <c r="AF77" i="4"/>
  <c r="AF75" i="4"/>
  <c r="AE88" i="4"/>
  <c r="AF81" i="4" s="1"/>
  <c r="AE86" i="4"/>
  <c r="AG77" i="4"/>
  <c r="AG75" i="4"/>
  <c r="AG39" i="4"/>
  <c r="C39" i="4"/>
  <c r="AF41" i="4"/>
  <c r="AF89" i="4" l="1"/>
  <c r="AG76" i="4" s="1"/>
  <c r="AG89" i="4" s="1"/>
  <c r="C75" i="4"/>
  <c r="C77" i="4"/>
  <c r="AF79" i="4"/>
  <c r="AF80" i="4" s="1"/>
  <c r="AF87" i="4" s="1"/>
  <c r="AG78" i="4" s="1"/>
  <c r="AG79" i="4" s="1"/>
  <c r="C41" i="4"/>
  <c r="AF42" i="4"/>
  <c r="AG41" i="4"/>
  <c r="AG42" i="4" s="1"/>
  <c r="AG44" i="4" s="1"/>
  <c r="AG40" i="4"/>
  <c r="AG80" i="4" l="1"/>
  <c r="AG87" i="4" s="1"/>
  <c r="AG86" i="4"/>
  <c r="AF88" i="4"/>
  <c r="AG81" i="4" s="1"/>
  <c r="AG88" i="4" s="1"/>
  <c r="C79" i="4"/>
  <c r="AF86" i="4"/>
  <c r="C42" i="4"/>
  <c r="D14" i="3" s="1"/>
  <c r="AF44" i="4"/>
  <c r="C44" i="4" s="1"/>
  <c r="D15" i="3" s="1"/>
  <c r="D34" i="3" s="1"/>
  <c r="C86" i="4" l="1"/>
  <c r="G15" i="3" s="1"/>
  <c r="G34" i="3" s="1"/>
  <c r="F38" i="3"/>
  <c r="E38" i="3"/>
  <c r="E37" i="3"/>
  <c r="C37" i="3"/>
  <c r="C43" i="3"/>
  <c r="C38" i="3"/>
  <c r="D35" i="3"/>
  <c r="D36" i="3" s="1"/>
  <c r="D37" i="3"/>
  <c r="D38" i="3"/>
  <c r="C41" i="3"/>
  <c r="C63" i="2" s="1"/>
  <c r="G36" i="3" l="1"/>
  <c r="G35" i="3"/>
  <c r="C42" i="3"/>
  <c r="C64" i="2" s="1"/>
  <c r="F37" i="3"/>
  <c r="G38" i="3"/>
  <c r="G37" i="3"/>
</calcChain>
</file>

<file path=xl/sharedStrings.xml><?xml version="1.0" encoding="utf-8"?>
<sst xmlns="http://schemas.openxmlformats.org/spreadsheetml/2006/main" count="763" uniqueCount="650">
  <si>
    <t>CorpusImmo  ·  corpus.immo  ·  Estimer, comparer, décider. Sur les ventes réelles.</t>
  </si>
  <si>
    <t>Mode d'emploi</t>
  </si>
  <si>
    <t>À quoi sert ce classeur, dans quel ordre le remplir, et comment lire ce qu'il répond.</t>
  </si>
  <si>
    <t xml:space="preserve">  À QUOI SERT CE CLASSEUR</t>
  </si>
  <si>
    <t>Vous allez louer un appartement ou une maison, et vous hésitez : location nue au micro-foncier ou au réel, meublé au micro-BIC ou au LMNP réel (loueur en meublé non professionnel) avec amortissement, ou société civile à l'impôt sur les sociétés ? Ce classeur prend le même bien, le même loyer et le même prêt, et calcule pour chacun des cinq régimes l'impôt de chaque année, ce qui vous reste en poche après crédit et impôt, ce que vous laissez en réserve (déficits, amortissements différés), puis l'impôt et le net de la revente à la fin de la durée de détention.</t>
  </si>
  <si>
    <t>Il répond sur toute la durée de détention, revente comprise, et non sur la seule première année. Amortir, c'est déduire chaque année une part du prix du bâti, des travaux et du mobilier, sans rien décaisser : cela efface l'impôt pendant la détention, mais la revente en reprend une partie. Au LMNP réel, les amortissements déduits sont réintégrés dans la plus-value depuis 2025, c'est-à-dire retirés du prix d'achat que l'on retranche du prix de vente. À la SCI à l'impôt sur les sociétés, la plus-value se calcule sur la valeur nette comptable, le prix diminué de tous les amortissements déjà déduits, et sortir l'argent de la société coûte encore le prélèvement forfaitaire unique (PFU, ou flat tax). C'est là que ces deux régimes montrent leur vrai coût.</t>
  </si>
  <si>
    <t>Tout se saisit dans un seul onglet, Hypothèses. Le Comparateur donne la synthèse en un écran ; le Pluriannuel montre le détail année par année.</t>
  </si>
  <si>
    <t>Vous êtes</t>
  </si>
  <si>
    <t>Ce que le classeur vous donne</t>
  </si>
  <si>
    <t>Investisseur particulier</t>
  </si>
  <si>
    <t>Le régime qui laisse le plus d'argent en poche sur votre horizon, l'écart avec le suivant, et le taux de rendement interne (TRI) après impôt de chacun.</t>
  </si>
  <si>
    <t>Conseiller en gestion de patrimoine</t>
  </si>
  <si>
    <t>Une comparaison à cinq colonnes, année 1 et cumul, avec la revente, pour arbitrer nu, meublé et société devant le client.</t>
  </si>
  <si>
    <t>Notaire</t>
  </si>
  <si>
    <t>Le net de revente de chaque régime, avec la plus-value des particuliers (amortissements réintégrés en LMNP) et la plus-value professionnelle à l'IS.</t>
  </si>
  <si>
    <t>Expert-comptable, fiscaliste</t>
  </si>
  <si>
    <t>Le détail des reports d'une année sur l'autre (déficit foncier hors intérêts, amortissements différés au titre de l'article 39 C, déficit BIC, déficit IS), la distribution des dividendes et le compte courant d'associé de la SCI, la base réintégrée. Ligne par ligne dans le Pluriannuel : reports fonciers lignes 38 à 40, amortissements différés 54 à 56, déficit BIC 57 à 60, réintégration ligne 64, déficit IS 70 à 72, compte courant et dividendes 81 à 89.</t>
  </si>
  <si>
    <t>Agent immobilier, chasseur</t>
  </si>
  <si>
    <t>Un argument chiffré pour un acquéreur investisseur : ce que le bien rapporte après impôt selon la façon de le louer.</t>
  </si>
  <si>
    <t xml:space="preserve">  LE PRINCIPE, EN UNE LIGNE</t>
  </si>
  <si>
    <t>Loyers − charges − mensualités du prêt − impôt de chaque année + net de revente = ce que le régime vous laisse, sur toute la durée</t>
  </si>
  <si>
    <t xml:space="preserve">  LES ONGLETS, DANS L'ORDRE OÙ ON LES REMPLIT</t>
  </si>
  <si>
    <t>Onglet</t>
  </si>
  <si>
    <t>Ce que vous y faites</t>
  </si>
  <si>
    <t>Ce que vous y lisez</t>
  </si>
  <si>
    <t>Rien à saisir. Vous lisez ce guide.</t>
  </si>
  <si>
    <t>La marche à suivre et l'exemple guidé.</t>
  </si>
  <si>
    <t>Hypothèses</t>
  </si>
  <si>
    <t>Vous remplissez les six blocs de saisie, de haut en bas : le bien, l'exploitation, le financement, le foyer, la détention, les options.</t>
  </si>
  <si>
    <t>Huit contrôles OK / KO (C13, C23, C33, C38, C46, C58, C61, puis le contrôle général C62) et, tout en bas, le régime le plus favorable (Hypothèses!C63) avec l'écart (Hypothèses!C64).</t>
  </si>
  <si>
    <t>Comparateur</t>
  </si>
  <si>
    <t>Rien à saisir.</t>
  </si>
  <si>
    <t>Cinq colonnes, une par régime, et une colonne Lecture à droite qui explique chaque ligne en français. De haut en bas : éligibilité et année 1 (lignes 8 à 11), cumul sur la détention (14 à 17), revente (20 à 31), bilan, TRI et rang (34 à 38), verdict (41 à 43).</t>
  </si>
  <si>
    <t>Pluriannuel</t>
  </si>
  <si>
    <t>Trente années en colonnes (D à AG) : loyer, prêt, amortissements, puis pour chaque régime le résultat, l'impôt, les reports et le flux en poche. La colonne C donne le cumul sur la durée de détention, ou le stock en fin de détention pour les reports : c'est elle que lit le Comparateur. Les années au-delà de la détention sont grisées.</t>
  </si>
  <si>
    <t>Paramètres</t>
  </si>
  <si>
    <t>Rien, sauf à la mise à jour annuelle des barèmes et des repères.</t>
  </si>
  <si>
    <t>Chaque valeur avec sa source datée et sa fréquence de mise à jour, la table des abattements de durée, les listes.</t>
  </si>
  <si>
    <t>Méthode</t>
  </si>
  <si>
    <t>Les conventions, ce que le modèle ne fait pas, les points de droit signalés, les sources.</t>
  </si>
  <si>
    <t xml:space="preserve">  LE CODE COULEUR, ET COMMENT DÉVERROUILLER UNE CELLULE</t>
  </si>
  <si>
    <t>Cellule</t>
  </si>
  <si>
    <t>Ce que c'est</t>
  </si>
  <si>
    <t>Ce que vous faites</t>
  </si>
  <si>
    <t>Fond bleu ciel, texte bleu nuit</t>
  </si>
  <si>
    <t>Saisie utilisateur</t>
  </si>
  <si>
    <t>Vous la remplissez. Jamais de formule dedans.</t>
  </si>
  <si>
    <t>Fond blanc</t>
  </si>
  <si>
    <t>Calcul</t>
  </si>
  <si>
    <t>Vous la lisez. Elle est verrouillée.</t>
  </si>
  <si>
    <t>Fond presque blanc, texte bleu nuit en gras</t>
  </si>
  <si>
    <t>Résultat de bloc, chiffre clé</t>
  </si>
  <si>
    <t>Vous la lisez. C'est un chiffre à retenir.</t>
  </si>
  <si>
    <t>Bandeau bleu nuit</t>
  </si>
  <si>
    <t>Titre de section, en-tête de tableau</t>
  </si>
  <si>
    <t>Repère de navigation.</t>
  </si>
  <si>
    <t>Texte gris, à droite</t>
  </si>
  <si>
    <t>Commentaire d'aide, ordre de grandeur</t>
  </si>
  <si>
    <t>Une phrase par ligne pour savoir quoi saisir. Les ordres de grandeur viennent de Paramètres.</t>
  </si>
  <si>
    <t>Vert OK / rouge À CORRIGER</t>
  </si>
  <si>
    <t>Contrôle de cohérence</t>
  </si>
  <si>
    <t>Rouge : corrigez la saisie indiquée dans le commentaire. Tant qu'un contrôle est rouge, le Comparateur reste entièrement vide, éligibilité et revente comprises : le classeur préfère ne rien afficher plutôt qu'un chiffre faux. Le Pluriannuel, lui, continue d'afficher le détail des années.</t>
  </si>
  <si>
    <t>Les onglets sont protégés sans mot de passe pour éviter d'écraser une formule par erreur. Les cellules bleues restent modifiables et effaçables sans rien déverrouiller. Pour modifier une cellule blanche : onglet Révision, puis « Ôter la protection de la feuille ». Aucun mot de passe n'est demandé.</t>
  </si>
  <si>
    <t xml:space="preserve">  LA MARCHE À SUIVRE, ÉTAPE PAR ÉTAPE</t>
  </si>
  <si>
    <t>Étape</t>
  </si>
  <si>
    <t>Où (onglet et plage)</t>
  </si>
  <si>
    <t>Pourquoi</t>
  </si>
  <si>
    <t>0. L'exemple livré</t>
  </si>
  <si>
    <t>Hypothèses!C7, Hypothèses!C9:C11, Hypothèses!C16:C21, Hypothèses!C26:C29, Hypothèses!C36:C37, Hypothèses!C41:C43 (vos données) ; Hypothèses!C8, Hypothèses!C49:C57 (les listes et les options, à ajuster, jamais à effacer)</t>
  </si>
  <si>
    <t>Le classeur arrive rempli d'un exemple. Gardez-le pour vous repérer, ou effacez vos données de projet avant de saisir votre dossier : les cinq premières plages ci-contre. Vérifiez surtout les saisies secondaires qui n'ont pas de raison d'être chez vous : travaux (Hypothèses!C10), mobilier (Hypothèses!C11), CFE (Hypothèses!C18), honoraires comptables (Hypothèses!C19 et Hypothèses!C20), autres revenus fonciers (Hypothèses!C37), prix de revente forcé (Hypothèses!C43). N'effacez jamais le mode d'acquisition (C8) ni les options C49:C57 : ce sont des listes, elles n'ont pas de valeur vide, et le classeur cesse de calculer dès qu'il en manque une. Ajustez-les une par une, ou gardez les valeurs livrées : achat à titre onéreux, meublé classique, distribution Non, frais immobilisés, rénovation énergétique Non, CSG déductible Non, terrain 15 %, bâti 30 ans, travaux 15 ans, mobilier 7 ans.</t>
  </si>
  <si>
    <t>Une valeur résiduelle de l'exemple est l'erreur la plus probable d'un premier usage : 8 000 € de mobilier oubliés changent l'amortissement, la CFE et les cinq TRI. Pendant que vous effacez, les contrôles passent au rouge et le Comparateur se vide : c'est normal, tout revient dès que la saisie est complète. Les cellules bleues s'effacent avec la touche Suppr, sans rien déverrouiller.</t>
  </si>
  <si>
    <t>1. Le bien</t>
  </si>
  <si>
    <t>Hypothèses!C7, Hypothèses!C9:C11, plus le mode d'acquisition en Hypothèses!C8</t>
  </si>
  <si>
    <t>Prix net vendeur, mode d'acquisition (achat à titre onéreux, succession ou donation), frais d'acquisition (notaire et agence), travaux à l'acquisition, mobilier. Vérifiez que le contrôle du bloc affiche OK.</t>
  </si>
  <si>
    <t>Le coût total est ce que vous financez ; frais, travaux et mobilier n'ont pas le même sort fiscal selon le régime. Le mode d'acquisition, lui, ne joue qu'à la revente : le forfait de frais de 7,5 % du prix n'est ouvert qu'aux biens achetés à titre onéreux. Sur un bien reçu par succession ou par donation, seuls vos frais réels justifiés entrent dans le prix d'acquisition, et la plus-value imposable est plus élevée.</t>
  </si>
  <si>
    <t>2. L'exploitation</t>
  </si>
  <si>
    <t>Hypothèses!C16:C21</t>
  </si>
  <si>
    <t>Loyer annuel encaissé, charges déductibles hors intérêts, cotisation foncière des entreprises (CFE, due par les régimes meublés et par la SCI), honoraires comptables du LMNP réel et de la SCI, indexation annuelle.</t>
  </si>
  <si>
    <t>Les charges décaissées et les honoraires pèsent différemment : déduits au réel, pas au micro ; la CFE n'existe qu'en meublé. Remettez-la à 0 si vous ne comparez que des locations nues.</t>
  </si>
  <si>
    <t>3. Le financement</t>
  </si>
  <si>
    <t>Hypothèses!C26:C29</t>
  </si>
  <si>
    <t>Montant emprunté, taux nominal, durée en années entières, taux d'assurance sur capital initial. L'apport se calcule. Les cellules de taux sont déjà au format pourcentage : tapez 3,25 pour 3,25 %, ne convertissez pas vous-même en fraction.</t>
  </si>
  <si>
    <t>Les intérêts décroissants alimentent chaque année la base au réel ; l'annuité complète entre dans le flux en poche. Un taux positif inférieur au plancher de plausibilité de Paramètres passe le contrôle « Taux saisis en pourcentage » (Hypothèses!C61) au rouge.</t>
  </si>
  <si>
    <t>4. Le foyer</t>
  </si>
  <si>
    <t>Hypothèses!C36:C37</t>
  </si>
  <si>
    <t>Tranche marginale d'imposition (TMI) : le taux auquel un euro de revenu supplémentaire est imposé chez vous. À choisir dans la liste. Autres revenus fonciers nets du foyer (0 sinon).</t>
  </si>
  <si>
    <t>La TMI fait varier l'impôt de zéro à plusieurs milliers d'euros ; les autres revenus fonciers absorbent d'abord un déficit.</t>
  </si>
  <si>
    <t>5. La détention et la revente</t>
  </si>
  <si>
    <t>Hypothèses!C41:C43</t>
  </si>
  <si>
    <t>Durée de détention (1 à 30 ans), revalorisation annuelle du bien, et au besoin un prix de revente forcé.</t>
  </si>
  <si>
    <t>La revente décide souvent du classement : au LMNP réel les amortissements déjà déduits sont réintégrés dans la plus-value, à la SCI la plus-value se calcule sur la valeur nette comptable (le prix diminué des amortissements), et en direct les abattements pour durée de détention effacent progressivement la plus-value.</t>
  </si>
  <si>
    <t>6. Les options</t>
  </si>
  <si>
    <t>Hypothèses!C49:C57</t>
  </si>
  <si>
    <t>Type de meublé, distribution annuelle de la SCI, sort des frais d'acquisition, plafond majoré énergie, CSG déductible, part du terrain, durées d'amortissement.</t>
  </si>
  <si>
    <t>Chaque option est expliquée dans son commentaire et dans Méthode. Si vous ne savez pas, gardez la valeur livrée : les listes se relisent dans Paramètres (B33:E37), la part du terrain et les trois durées d'amortissement dans les repères de marché (Paramètres!C99:C106).</t>
  </si>
  <si>
    <t>7. Lire le verdict</t>
  </si>
  <si>
    <t>Hypothèses!C62, Comparateur!C43, puis Comparateur!C34:G34 et Comparateur!C41</t>
  </si>
  <si>
    <t>Vérifiez que « Saisies complètes et cohérentes » affiche OK, puis que « Classement sans ex aequo » affiche OK dans le Comparateur, et lisez enfin le total net, le TRI et le régime le plus favorable.</t>
  </si>
  <si>
    <t>Tant qu'un contrôle est rouge, le Comparateur reste vide : le classeur préfère ne rien afficher plutôt qu'un chiffre faux. Un ex aequo signalé en rouge veut dire que deux régimes sont à égalité parfaite et que le verdict désigne le premier par ordre de colonne.</t>
  </si>
  <si>
    <t>8. Les barèmes et les repères</t>
  </si>
  <si>
    <t>Paramètres!C8:C23, C27:D29, B33:B37, C41:D70, B74:E83, C87:C109</t>
  </si>
  <si>
    <t>Chaque janvier, après la loi de finances et la loi de financement de la sécurité sociale, comparez chaque barème à sa source et mettez à jour la date en Paramètres!C111 : elle alimente toutes les mentions « Vérifié le » et « Consulté le » du classeur.</t>
  </si>
  <si>
    <t>Un barème périmé fausse l'impôt sans prévenir. Toutes les formules pointent ici. Les repères de marché (Paramètres!C87:C109) suivent leur propre rythme, indiqué en colonne E : mensuel pour les taux de crédit, annuel pour l'assurance, les honoraires, la CFE, le terrain et les durées. Rafraîchissez les taux de crédit avant tout dossier engageant.</t>
  </si>
  <si>
    <t xml:space="preserve">  EXEMPLE GUIDÉ</t>
  </si>
  <si>
    <t>Le fichier est livré avec un T2 ancien acheté 200 000 € net vendeur (le prix du bien seul, hors frais de notaire et hors honoraires d'agence), 16 000 € de frais d'acquisition, 5 000 € de travaux et 8 000 € de mobilier : coût total 229 000 € (Hypothèses!C12). Loué 13 200 € par an avec 3 100 € de charges, 400 € de CFE en meublé, 500 € de comptable au LMNP réel et 1 200 € à l'IS, indexés de 1 % par an. Financé par 200 000 € sur 20 ans à 3,25 % plus 0,34 % d'assurance : apport 29 000 € (Hypothèses!C30), mensualité 1 134,39 € (Hypothèses!C31), intérêts de la première année 6 393 € (Hypothèses!C32). TMI 30 %, pas d'autres revenus fonciers, détention 10 ans avec 1,5 % de revalorisation par an : prix de cession 232 108 € (Hypothèses!C45). Options laissées telles quelles (Hypothèses!C49:C57) : meublé classique, pas de distribution annuelle de la SCI, frais d'acquisition immobilisés avec le bâti, pas de plafond majoré énergie, CSG déductible ignorée, terrain à 15 % du prix, amortissements sur 30 ans pour le bâti, 15 ans pour les travaux et 7 ans pour le mobilier. Ce sont elles qui donnent 61 200 € d'amortissement du bâti sur dix ans (Pluriannuel!C19), et donc le zéro d'impôt du LMNP réel.</t>
  </si>
  <si>
    <t>Année 1 (Comparateur!C10:G10) : le micro-foncier paie 4 361 € d'impôt ; le réel foncier, grâce aux 5 000 € de travaux déduits, affiche un déficit hors intérêts imputé sur le revenu global et un impôt de -592 €, négatif, c'est-à-dire une économie d'impôt ; le micro-BIC paie 3 208 € (abattement de 50 % et prélèvements sociaux de 18,6 %, barèmes 2026) ; le LMNP réel et la SCI ne paient rien, l'amortissement absorbant tout le résultat. Le flux en poche de l'année 1 (Comparateur!C11:G11) est négatif partout, entre -8 554 € et -3 601 € : l'emprunt couvre 87 % du coût total de l'opération (200 000 € sur 229 000 €, Hypothèses!C26 et Hypothèses!C12), et chaque mensualité rembourse du capital, qui reste dans votre patrimoine.</t>
  </si>
  <si>
    <t>Sur dix ans (Comparateur!C15:G15), les flux cumulés vont de -82 887 € au micro-foncier à -46 675 € au LMNP réel. Le LMNP réel laisse 35 295 € d'amortissements différés non consommés (Comparateur!C16:G16) et la SCI 42 619 € de déficit reportable : ni l'un ni l'autre n'a payé d'impôt pendant la détention.</t>
  </si>
  <si>
    <t>À la revente (Comparateur, lignes 20 à 31) : en location nue, le prix d'acquisition majoré des forfaits de frais (7,5 %) et de travaux (15 %), soit 246 000 € (Comparateur!C21:G21), dépasse le prix de cession, aucune plus-value. Au LMNP réel, les 33 908 € d'amortissements déduits sur l'immeuble sont réintégrés (Comparateur!F22, détail en Pluriannuel!C64) : plus-value 20 016 € (Comparateur!F23), impôt 5 821 € après abattements de dix ans (Comparateur!F30). À l'IS, la plus-value sur valeur nette comptable atteint 75 641 € (Comparateur!G23) ; après imputation du déficit reportable, IS et PFU sur le boni de liquidation, l'impôt de sortie est de 13 767 € (Comparateur!G30).</t>
  </si>
  <si>
    <t>La surtaxe sur les plus-values élevées (Comparateur!C25:G25) est nulle sur ce dossier : la plus-value imposable à l'impôt sur le revenu la plus forte, celle du LMNP réel, ne fait que 14 011 € (Comparateur!F24), loin des 50 000 € au-delà desquels la taxe est due. Pour la voir apparaître, forcez le prix de revente à 400 000 € en Hypothèses!C43 : la plus-value imposable à l'impôt sur le revenu passe à 107 800 € en location nue et la surtaxe à 3 014 €, contre 3 946 € au LMNP réel sur 131 535 € de plus-value imposable. Elle s'ajoute aux 19 % d'impôt sur le revenu et aux 17,2 % de prélèvements sociaux. La colonne « SCI à l'IS » reste vide sur cette ligne : cette taxe ne vise que les plus-values des particuliers, pas celles d'une société à l'impôt sur les sociétés.</t>
  </si>
  <si>
    <t>Bilan (Comparateur!C34:G34) : le micro-foncier est « Éligible » (le loyer indexé reste sous le plafond du micro-foncier, 15 000 € en 2026 ; il perd faute de charges déductibles : 33 134 €) ; le réel foncier totalise 58 762 €, le micro-BIC 41 019 €, le LMNP réel 63 526 €, la SCI à l'IS 48 256 €. Régime le plus favorable (Comparateur!C41) : « Meublé, LMNP réel », avec 4 763 € d'avance sur le suivant. TRI après impôt (Comparateur!C36:G36) : 5,50 % au LMNP réel contre 4,70 % au réel foncier et 3,17 % à l'IS.</t>
  </si>
  <si>
    <t>Comment le lire : sur dix ans, l'amortissement du LMNP réel vaut plus que son coût de sortie, et la SCI paie sa comptabilité, sa plus-value sur VNC et le PFU sans avoir eu de bénéfice à distribuer. Passez la détention (Hypothèses!C41) à 25 ans : les abattements de durée effacent l'essentiel de la plus-value des particuliers, la réintégration LMNP pèse davantage, et l'IS se rapproche. Mettez la distribution (Hypothèses!C50) sur Oui : la SCI rembourse d'abord le compte courant, sans impôt.</t>
  </si>
  <si>
    <t xml:space="preserve">  LES CHIFFRES À REGARDER, ET CE QU'ILS VALENT</t>
  </si>
  <si>
    <t>Indicateur</t>
  </si>
  <si>
    <t>Où</t>
  </si>
  <si>
    <t>Repère métier</t>
  </si>
  <si>
    <t>Ce qu'il dit vraiment</t>
  </si>
  <si>
    <t>Total net en poche après revente</t>
  </si>
  <si>
    <t>Comparateur!C34:G34</t>
  </si>
  <si>
    <t>L'écart entre deux régimes se juge en euros sur toute la durée : tant qu'il reste sous le coût cumulé d'une comptabilité ou d'une structure sur la même durée (honoraires annuels en Paramètres!C93:C96), il ne tranche rien.</t>
  </si>
  <si>
    <t>Le chiffre qui classe. Additionne les flux en poche et le net de revente ; ne dépend pas de l'apport.</t>
  </si>
  <si>
    <t>TRI après impôt</t>
  </si>
  <si>
    <t>Comparateur!C36:G36</t>
  </si>
  <si>
    <t>Ancien loué à crédit : le TRI après impôt sur dix ans se situe le plus souvent dans la fourchette des repères de marché (Paramètres!C107 et C108, soit 3 % à 7 % en 2026). Au-dessus, vérifiez la revalorisation saisie en Hypothèses!C42.</t>
  </si>
  <si>
    <t>Rendement annuel de votre apport, revente comprise (taux de rendement interne). Sensible à l'apport et au prix de cession.</t>
  </si>
  <si>
    <t>Impôt de l'année 1</t>
  </si>
  <si>
    <t>Comparateur!C10:G10</t>
  </si>
  <si>
    <t>0 € en LMNP réel et à l'IS est normal les premières années. Négatif au réel foncier avec travaux.</t>
  </si>
  <si>
    <t>À ne jamais lire seul : l'année 1 est la meilleure du réel foncier et la plus flatteuse du LMNP.</t>
  </si>
  <si>
    <t>Reports non consommés</t>
  </si>
  <si>
    <t>Comparateur!C16:G16</t>
  </si>
  <si>
    <t>Un stock d'amortissements différés qui grossit chaque année signifie que le LMNP réel n'utilise pas tout son avantage.</t>
  </si>
  <si>
    <t>Ce que vous emportez dans les années suivantes, ou perdez à la revente.</t>
  </si>
  <si>
    <t>Impôt total à la revente</t>
  </si>
  <si>
    <t>Comparateur!C30:G30</t>
  </si>
  <si>
    <t>Au LMNP réel, il grossit avec les amortissements déduits ; à l'IS, il est presque toujours le plus lourd.</t>
  </si>
  <si>
    <t>La contrepartie différée des régimes à amortissement. Le montant réintégré dans la plus-value du LMNP réel se lit juste au-dessus, en Comparateur!F22. Trois lignes le décomposent : la plus-value imposable à l'impôt sur le revenu (Comparateur!C24:G24), la surtaxe sur les plus-values élevées (Comparateur!C25:G25) et, pour la SCI seule, l'IS de cession (Comparateur!G26).</t>
  </si>
  <si>
    <t>Trésorerie restant en société</t>
  </si>
  <si>
    <t>Comparateur!G17</t>
  </si>
  <si>
    <t>Sans distribution, elle grossit ; ce n'est pas un revenu.</t>
  </si>
  <si>
    <t>Ce que la SCI garde et qui sera imposé au prélèvement forfaitaire unique (PFU, 31,4 % en 2026) le jour où il sortira vers votre compte personnel.</t>
  </si>
  <si>
    <t xml:space="preserve">  LES DONNÉES À METTRE À JOUR, OÙ ET POURQUOI</t>
  </si>
  <si>
    <t>Deux familles de données. Les benchmarks (barèmes fiscaux, plafonds, abattements de durée, repères de marché) changent avec la loi ou le marché, à date fixe, et se rafraîchissent depuis une source indiquée dans Paramètres. Les données de projet (prix, loyer, charges, financement, foyer, durée, options) sont propres à chaque dossier. L'architecture du classeur ne change pas quand les données changent : seules les cellules bleues bougent.</t>
  </si>
  <si>
    <t>Les chiffres cités dans ce guide sont ceux du millésime 2026 : à chaque mise à jour d'une valeur de Paramètres, relisez les lignes du guide qui la citent, c'est-à-dire l'exemple guidé, le tableau ci-dessous et les erreurs qui faussent tout. Le guide est en texte : il ne se met pas à jour tout seul quand un barème bouge.</t>
  </si>
  <si>
    <t>Paramètre</t>
  </si>
  <si>
    <t>Onglet et cellule</t>
  </si>
  <si>
    <t>Ce qu'il pilote</t>
  </si>
  <si>
    <t>Source à consulter, fréquence</t>
  </si>
  <si>
    <t>Prélèvements sociaux 2026 (17,2 % en nu, 18,6 % en meublé) et CSG déductible</t>
  </si>
  <si>
    <t>Paramètres!C8:C10</t>
  </si>
  <si>
    <t>Impôt annuel des quatre régimes à l'IR</t>
  </si>
  <si>
    <t>LFSS, chaque décembre</t>
  </si>
  <si>
    <t>Abattement et plafond du micro-foncier, plafonds du déficit foncier (barèmes 2026)</t>
  </si>
  <si>
    <t>Paramètres!C11:C14</t>
  </si>
  <si>
    <t>Base du micro-foncier, éligibilité, économie d'impôt du réel foncier</t>
  </si>
  <si>
    <t>CGI art. 32 et 156 ; BOFiP BOI-RFPI-BASE-30-20 ; chaque loi de finances. Le plafond majoré à 21 400 € ne vaut que pour des travaux de rénovation énergétique payés au plus tard le 31 décembre 2025 : il ne s'applique plus à une dépense de 2026</t>
  </si>
  <si>
    <t>IS 2026 (15 % jusqu'à 42 500 €, puis 25 %) et PFU 2026 (31,4 %)</t>
  </si>
  <si>
    <t>Paramètres!C15:C18</t>
  </si>
  <si>
    <t>Impôt de la SCI et de l'associé</t>
  </si>
  <si>
    <t>CGI art. 219 et 200 A, LF et LFSS</t>
  </si>
  <si>
    <t>Plus-value des particuliers 2026 (19 %, 17,2 %, forfait frais 7,5 %, forfait travaux 15 % au-delà de cinq ans de détention)</t>
  </si>
  <si>
    <t>Paramètres!C19:C23</t>
  </si>
  <si>
    <t>Impôt de revente en nu et en LMNP</t>
  </si>
  <si>
    <t>CGI art. 150 VB, 200 B ; loi de finances</t>
  </si>
  <si>
    <t>Types de meublé 2026 (abattement 50 % ou 30 %, plafond 83 600 € ou 15 000 €)</t>
  </si>
  <si>
    <t>Paramètres!C27:D29</t>
  </si>
  <si>
    <t>Base et éligibilité du micro-BIC</t>
  </si>
  <si>
    <t>CGI art. 50-0 ; plafond revalorisé tous les trois ans</t>
  </si>
  <si>
    <t>Abattements pour durée de détention</t>
  </si>
  <si>
    <t>Paramètres!C41:D70</t>
  </si>
  <si>
    <t>CGI art. 150 VC, stable depuis 2014</t>
  </si>
  <si>
    <t>Barème des TMI</t>
  </si>
  <si>
    <t>Paramètres!B33:B37</t>
  </si>
  <si>
    <t>Liste déroulante de la TMI</t>
  </si>
  <si>
    <t>CGI art. 197, chaque loi de finances</t>
  </si>
  <si>
    <t>Repères de marché 2026 (taux, assurance, honoraires, CFE, terrain, durées, fourchette de TRI, plancher de plausibilité des taux)</t>
  </si>
  <si>
    <t>Paramètres!C87:C109</t>
  </si>
  <si>
    <t>Les ordres de grandeur affichés dans les commentaires des Hypothèses, et le contrôle des taux saisis</t>
  </si>
  <si>
    <t>Observatoire Crédit Logement (mensuel), baromètres et tarifs (annuel), colonne E de Paramètres</t>
  </si>
  <si>
    <t>Barème de la surtaxe sur les plus-values élevées (10 lignes, cinq tranches et leur lissage)</t>
  </si>
  <si>
    <t>Paramètres!B74:E83</t>
  </si>
  <si>
    <t>Impôt de revente en location nue et en LMNP au-delà de 50 000 € de plus-value imposable à l'impôt sur le revenu</t>
  </si>
  <si>
    <t>CGI art. 1609 nonies G ; BOFiP BOI-RFPI-TPVIE-10 et 20 ; chaque loi de finances</t>
  </si>
  <si>
    <t>Données de projet</t>
  </si>
  <si>
    <t>Hypothèses!C7, Hypothèses!C9:C11, Hypothèses!C16:C21, Hypothèses!C26:C29, Hypothèses!C36:C37, Hypothèses!C41:C43, Hypothèses!C8, Hypothèses!C49:C57</t>
  </si>
  <si>
    <t>Tout le reste</t>
  </si>
  <si>
    <t>Propres à chaque dossier</t>
  </si>
  <si>
    <t xml:space="preserve">  TROIS FAÇONS DE S'EN SERVIR</t>
  </si>
  <si>
    <t>Votre situation</t>
  </si>
  <si>
    <t>Vous hésitez entre louer nu ou meublé</t>
  </si>
  <si>
    <t>Saisissez le bien avec le loyer nu et lisez le total net des colonnes nues (Comparateur!C34:D34). Remplacez le loyer (Hypothèses!C16) par le loyer meublé, saisissez le mobilier, la CFE et le comptable, et lisez les colonnes meublées. La différence est le prix réel du meublé, comptabilité et revente comprises.</t>
  </si>
  <si>
    <t>Un client vous demande s'il faut créer une SCI à l'IS</t>
  </si>
  <si>
    <t>Saisissez son dossier, mettez la distribution (Hypothèses!C50) sur Non puis sur Oui, et comparez la colonne SCI aux autres sur sa durée de détention réelle. Regardez la trésorerie bloquée (Comparateur!G17) et l'impôt de revente (Comparateur!C30:G30) : c'est là que l'IS se paie. Si l'écart avec le LMNP réel est inférieur aux honoraires de la société sur la durée, la SCI ne se justifie pas fiscalement.</t>
  </si>
  <si>
    <t>Vous préparez une revente et voulez chiffrer la note du LMNP</t>
  </si>
  <si>
    <t>Saisissez la durée déjà courue en Hypothèses!C41, le prix de marché en Hypothèses!C43, puis lisez, dans la colonne « Meublé, LMNP réel » : les amortissements réintégrés dans la plus-value (Comparateur!F22, détail annuel en Pluriannuel!C64), le prix d'acquisition ramené à ce qu'il en reste (Comparateur!F21), la plus-value imposable (Comparateur!F23) et l'impôt de cession (Comparateur!F30). Comparez avec les colonnes nues (Comparateur!C30:D30) : la différence est le coût différé de l'amortissement.</t>
  </si>
  <si>
    <t xml:space="preserve">  LES ERREURS QUI FAUSSENT TOUT</t>
  </si>
  <si>
    <t>Le piège</t>
  </si>
  <si>
    <t>Le dégât</t>
  </si>
  <si>
    <t>Saisir le prix frais inclus en Hypothèses!C7 et les frais à nouveau en Hypothèses!C9</t>
  </si>
  <si>
    <t>Frais comptés deux fois. Sur l'exemple, saisir 216 000 € en C7 en gardant 16 000 € en C9 porte le coût total de 229 000 € à 245 000 € et l'apport de 29 000 € à 45 000 € (Hypothèses!C30), et le prix d'acquisition retenu à la revente de 246 000 € à 264 600 € (Comparateur!C21). Les cinq TRI, qui partent tous du même apport, ne veulent plus rien dire, et l'impôt de sortie est sous-évalué.</t>
  </si>
  <si>
    <t>Saisir un taux en fraction décimale au lieu du pourcentage (0,0325 au lieu de 3,25 en Hypothèses!C27 ; même piège en C21, C29, C42 et C54)</t>
  </si>
  <si>
    <t>Les cellules de taux sont au format pourcentage : tapez 3,25 et la cellule affiche 3,25 %. Ne convertissez pas vous-même en fraction. Tapez 0,0325 et la cellule affiche 0,03 % : sur l'exemple, la mensualité tombe de 1 134,39 € à 836,06 € et les intérêts de la première année de 6 393 € à 64 €, et le réel foncier comme le LMNP réel deviennent faussement bénéficiaires. Le contrôle « Taux saisis en pourcentage » (Hypothèses!C61) passe au rouge et le Comparateur se vide. La TMI, elle, se choisit dans une liste ; une valeur hors liste passe le contrôle du foyer (Hypothèses!C38) au rouge, c'est voulu.</t>
  </si>
  <si>
    <t>Laisser le mobilier de l'exemple (Hypothèses!C11) alors que vous ne comparez que des locations nues</t>
  </si>
  <si>
    <t>8 000 € de mobilier gonflent d'autant le coût total et l'apport (Hypothèses!C12 et Hypothèses!C30) : les cinq TRI sont faussés, y compris ceux des colonnes nues, puisqu'ils partent tous du même apport. Le LMNP réel et la SCI amortissent en plus un mobilier qui n'existe pas. Pensez aussi à remettre la CFE (Hypothèses!C18) à 0 : elle se saisit à part et ne dépend pas du mobilier.</t>
  </si>
  <si>
    <t>Oublier les autres revenus fonciers (Hypothèses!C37) quand on a déjà des biens nus</t>
  </si>
  <si>
    <t>Le déficit foncier est imputé sur le revenu global, où il ne rapporte que la TMI (30 % dans l'exemple), au lieu d'être absorbé par vos autres loyers, où il rapporte la TMI plus les prélèvements sociaux (47,20 % avec les taux 2026). L'économie d'impôt de l'année 1 du réel foncier est sous-estimée d'environ 17 points du déficit.</t>
  </si>
  <si>
    <t>Croire que le classeur teste les plafonds des régimes micro au niveau de votre foyer</t>
  </si>
  <si>
    <t>L'éligibilité (Comparateur!C8:G8) ne teste que le loyer de ce bien, en année 1 et en dernière année indexation comprise, contre Paramètres!C12 pour le micro-foncier et Paramètres!D27:D29 pour le micro-BIC selon le type de meublé. Jamais vos autres loyers. Si vous louez déjà nu, additionnez vos loyers bruts de tête : au-delà du plafond du micro-foncier (15 000 € en 2026), la colonne « Location nue, micro-foncier » ne vous concerne pas, même si le classeur l'affiche « Éligible ». Saisir vos autres revenus fonciers en Hypothèses!C37 ne corrige pas ce test. Au-delà d'un plafond, en revanche, la colonne affiche « Non éligible », son total net ne s'affiche plus et elle sort du classement : c'est voulu, le régime réel devient obligatoire. Sur l'exemple, le micro-foncier arrive dernier, à 30 392 € du régime gagnant (Comparateur!C37) : dans un autre dossier il peut arriver en tête, et l'arbitrage se ferait alors sur un régime qui vous est fermé.</t>
  </si>
  <si>
    <t>Prendre le résultat de l'année 1 pour un régime de croisière (Comparateur!C10:G10)</t>
  </si>
  <si>
    <t>Le réel foncier avec travaux et le LMNP réel gagnent toujours l'année 1. Sur l'exemple, le réel foncier rend 592 € d'impôt en année 1, et en paie 20 000 € sur dix ans (Comparateur!D14). Les intérêts baissent, l'amortissement du mobilier s'éteint au terme de la durée saisie (Hypothèses!C57, 7 ans dans l'exemple), et la revente rend l'impôt différé : 5 821 € au LMNP réel, 13 767 € à l'IS.</t>
  </si>
  <si>
    <t>Laisser « Achat (à titre onéreux) » en Hypothèses!C8 pour un bien reçu par succession ou par donation</t>
  </si>
  <si>
    <t>Le forfait de frais d'acquisition de 7,5 % du prix est réservé aux biens achetés à titre onéreux. Sur un bien reçu, seuls vos frais réels comptent, et ils sont souvent bien inférieurs au forfait. Sur l'exemple, avec 8 000 € de frais d'acte de succession, laisser « Achat (à titre onéreux) » porte le prix d'acquisition retenu de 238 000 € à 245 000 € (Comparateur!C21) et fait disparaître 2 036 € d'impôt de revente au LMNP réel (Comparateur!F30). L'arbitrage se fait alors sur un impôt de sortie sous-évalué, et le régime qui amortit le plus en sort flatté.</t>
  </si>
  <si>
    <t>Oublier la surtaxe en comparant deux régimes sur une grosse plus-value (Comparateur!C25:G25)</t>
  </si>
  <si>
    <t>La surtaxe de 2 à 6 % au-delà de 50 000 € de plus-value imposable à l'impôt sur le revenu ne frappe pas les cinq colonnes de la même façon : elle épargne la SCI à l'impôt sur les sociétés, dont la plus-value est professionnelle, et elle pèse plus lourd au LMNP réel, dont les amortissements réintégrés gonflent la plus-value. Sur l'exemple porté à 400 000 € de prix de revente forcé, elle vaut 3 014 € en location nue et 3 946 € au LMNP réel, et rien à l'IS. Un comparateur qui l'ignore pousse vers le régime à amortissement pour une raison qui n'existe pas.</t>
  </si>
  <si>
    <t>Confondre le flux en poche de la SCI avec sa trésorerie (Comparateur!G17)</t>
  </si>
  <si>
    <t>Sans distribution (Hypothèses!C50 sur Non), l'associé ne perçoit rien : la trésorerie de la société n'est pas un revenu, elle sera imposée au prélèvement forfaitaire unique le jour où elle sortira. Sur l'exemple, elle reste à 0 € parce que l'associé remet chaque année de l'argent en compte courant : c'est ce compte courant (82 998 € en Pluriannuel!C88), et non un revenu, qui lui revient à la revente.</t>
  </si>
  <si>
    <t>Ce que le classeur ne fait pas, les points de droit signalés et les sources de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</si>
  <si>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</si>
  <si>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Arbitrage fiscal : nu, LMNP ou SCI à l'IS</t>
  </si>
  <si>
    <t>Le même bien sous cinq régimes, sur toute la durée de détention, revente comprise. Saisissez ici, lisez le Comparateur.</t>
  </si>
  <si>
    <t>Cellules bleues : à remplir.  Cellules blanches : calculées automatiquement.</t>
  </si>
  <si>
    <t xml:space="preserve">  LE BIEN</t>
  </si>
  <si>
    <t>Prix net vendeur</t>
  </si>
  <si>
    <t>Hors frais de notaire et hors honoraires d'agence. Bien reçu : la valeur retenue pour les droits de mutation à titre gratuit.</t>
  </si>
  <si>
    <t>Comment le bien a été acquis</t>
  </si>
  <si>
    <t>Achat (à titre onéreux)</t>
  </si>
  <si>
    <t>Achat : le forfait de frais de 7,5 % du prix est possible à la revente, et le classeur retient le plus élevé du forfait et de vos frais réels. Succession ou donation : le forfait est fermé, seuls les frais réels ci-dessous comptent.</t>
  </si>
  <si>
    <t>Frais d'acquisition (notaire et agence)</t>
  </si>
  <si>
    <t>Travaux à l'acquisition</t>
  </si>
  <si>
    <t>Déduits l'année 1 au réel foncier (déficit foncier), amortis au LMNP réel et à l'IS. 0 si aucun.</t>
  </si>
  <si>
    <t>Mobilier et équipements</t>
  </si>
  <si>
    <t>Justifié par factures. Amorti au LMNP réel et à l'IS. 0 si vous ne comparez que des locations nues.</t>
  </si>
  <si>
    <t>Coût total de l'opération</t>
  </si>
  <si>
    <t>Ce que vous devez financer : prix, frais, travaux, mobilier.</t>
  </si>
  <si>
    <t>Le bien : saisies cohérentes</t>
  </si>
  <si>
    <t>KO si le prix manque, si une saisie est négative ou n'est pas un nombre, ou si le mode d'acquisition n'est pas une valeur de sa liste.</t>
  </si>
  <si>
    <t xml:space="preserve">  L'EXPLOITATION</t>
  </si>
  <si>
    <t>Loyer annuel encaissé, année 1</t>
  </si>
  <si>
    <t>Hors charges récupérables, net de vacance. Le même loyer sert aux cinq régimes (voir Méthode).</t>
  </si>
  <si>
    <t>Charges annuelles déductibles hors intérêts, année 1</t>
  </si>
  <si>
    <t>Taxe foncière hors TEOM, PNO, copropriété non récupérable, gestion, entretien courant.</t>
  </si>
  <si>
    <t>CFE annuelle (régimes meublés)</t>
  </si>
  <si>
    <t>Honoraires comptables annuels, LMNP réel</t>
  </si>
  <si>
    <t>Honoraires comptables annuels, SCI à l'IS</t>
  </si>
  <si>
    <t>Indexation annuelle des loyers et des charges</t>
  </si>
  <si>
    <t>Appliquée à partir de l'année 2 au loyer, aux charges, à la CFE et aux honoraires. 0 pour raisonner en euros constants.</t>
  </si>
  <si>
    <t>Loyer moins charges, année 1 (avant intérêts et impôt)</t>
  </si>
  <si>
    <t>Le résultat d'exploitation avant financement, commun aux cinq régimes.</t>
  </si>
  <si>
    <t>L'exploitation : saisies cohérentes</t>
  </si>
  <si>
    <t>KO si le loyer manque, si une charge est négative ou si l'indexation sort de la plage admise (de moins 5 % à 10 %).</t>
  </si>
  <si>
    <t xml:space="preserve">  LE FINANCEMENT</t>
  </si>
  <si>
    <t>Montant emprunté</t>
  </si>
  <si>
    <t>0 pour un achat comptant. Au plus le coût total. L'apport est la différence.</t>
  </si>
  <si>
    <t>Taux du prêt (hors assurance)</t>
  </si>
  <si>
    <t>Durée du prêt</t>
  </si>
  <si>
    <t>Années entières, de 1 à 30. Vide si aucun emprunt.</t>
  </si>
  <si>
    <t>Taux d'assurance emprunteur (sur capital initial)</t>
  </si>
  <si>
    <t>Apport personnel</t>
  </si>
  <si>
    <t>Coût total moins emprunt. À l'IS, il est placé en compte courant d'associé, remboursable sans impôt.</t>
  </si>
  <si>
    <t>Mensualité du prêt (capital et intérêts)</t>
  </si>
  <si>
    <t>Annuité constante, taux nominal divisé par 12. Assurance en plus.</t>
  </si>
  <si>
    <t>Intérêts de la première année</t>
  </si>
  <si>
    <t>Somme des douze premières échéances. Ils baissent ensuite chaque année (onglet Pluriannuel).</t>
  </si>
  <si>
    <t>Le financement : saisies cohérentes</t>
  </si>
  <si>
    <t>KO si l'emprunt dépasse le coût total, si la durée manque ou n'est pas entière, ou si un taux sort de la plage admise.</t>
  </si>
  <si>
    <t xml:space="preserve">  LE FOYER FISCAL</t>
  </si>
  <si>
    <t>Tranche marginale d'imposition (TMI)</t>
  </si>
  <si>
    <t>Taux de la tranche la plus haute de votre foyer, après les revenus de ce bien : 0, 11, 30, 41 ou 45 %.</t>
  </si>
  <si>
    <t>Autres revenus fonciers nets annuels du foyer</t>
  </si>
  <si>
    <t>Revenus nets des autres biens loués nus. Ils absorbent d'abord un déficit foncier et les reports. 0 sinon.</t>
  </si>
  <si>
    <t>Le foyer : saisies cohérentes</t>
  </si>
  <si>
    <t>KO si la TMI n'est pas une valeur de la liste ou si les autres revenus fonciers sont négatifs.</t>
  </si>
  <si>
    <t xml:space="preserve">  LA DÉTENTION ET LA REVENTE</t>
  </si>
  <si>
    <t>Durée de détention</t>
  </si>
  <si>
    <t>Années entières, de 1 à 30. La revente a lieu à la fin de cette année. 10 ans par défaut.</t>
  </si>
  <si>
    <t>Revalorisation annuelle du bien</t>
  </si>
  <si>
    <t>Hausse de prix annuelle jusqu'à la revente. 0 pour une revente au prix d'achat. De moins 10 % à 20 %.</t>
  </si>
  <si>
    <t>Prix de revente forcé (facultatif)</t>
  </si>
  <si>
    <t>Vide : le prix de cession vient de la revalorisation. Un montant saisi la remplace.</t>
  </si>
  <si>
    <t>Durée retenue pour les calculs</t>
  </si>
  <si>
    <t>La durée saisie si elle est valide, sinon 1 an et le contrôle passe au rouge.</t>
  </si>
  <si>
    <t>Prix de cession retenu</t>
  </si>
  <si>
    <t>Prix net vendeur revalorisé sur la durée, ou prix forcé.</t>
  </si>
  <si>
    <t>La détention : saisies cohérentes</t>
  </si>
  <si>
    <t>KO si la durée n'est pas entière entre 1 et 30, si la revalorisation sort de la plage ou si le prix forcé est négatif.</t>
  </si>
  <si>
    <t xml:space="preserve">  LES OPTIONS</t>
  </si>
  <si>
    <t>Type de meublé (régime micro-BIC)</t>
  </si>
  <si>
    <t>Meublé classique (bail d'habitation, étudiant, mobilité)</t>
  </si>
  <si>
    <t>Choisir dans la liste. Fixe l'abattement et le plafond du micro-BIC (Paramètres).</t>
  </si>
  <si>
    <t>SCI à l'IS : distribution annuelle</t>
  </si>
  <si>
    <t>Non</t>
  </si>
  <si>
    <t>Oui : chaque année, la trésorerie rembourse d'abord le compte courant, puis distribue les dividendes possibles. Non : tout reste en société jusqu'à la revente.</t>
  </si>
  <si>
    <t>Frais d'acquisition au LMNP réel et à l'IS</t>
  </si>
  <si>
    <t>Immobilisés (amortis avec le bâti)</t>
  </si>
  <si>
    <t>Option comptable irrévocable : immobilisés avec le bâti, ou déduits en charges l'année 1 (déficit reportable).</t>
  </si>
  <si>
    <t>Travaux de rénovation énergétique (plafond majoré du déficit foncier)</t>
  </si>
  <si>
    <t>Oui seulement si les travaux font passer le DPE de E, F ou G à A, B, C ou D et ont été payés entre le 01/01/2023 et le 31/12/2025, sur un devis accepté à compter du 05/11/2022. Une dépense payée en 2026 n'ouvre plus droit au plafond majoré : laissez Non.</t>
  </si>
  <si>
    <t>Tenir compte de la CSG déductible</t>
  </si>
  <si>
    <t>Oui : économie d'impôt l'année suivante sur 6,8 points de CSG, régimes au barème. Non : ignorée (prudent).</t>
  </si>
  <si>
    <t>Part du terrain dans le prix (non amortissable)</t>
  </si>
  <si>
    <t>Durée d'amortissement du bâti</t>
  </si>
  <si>
    <t>Durée d'amortissement des travaux</t>
  </si>
  <si>
    <t>Durée d'amortissement du mobilier</t>
  </si>
  <si>
    <t>Les options : saisies cohérentes</t>
  </si>
  <si>
    <t>KO si une option n'est pas une valeur de sa liste, si la part du terrain dépasse 50 % ou si une durée d'amortissement manque.</t>
  </si>
  <si>
    <t xml:space="preserve">  CONTRÔLE GÉNÉRAL ET VERDICT</t>
  </si>
  <si>
    <t>Taux saisis en pourcentage</t>
  </si>
  <si>
    <t>Saisies complètes et cohérentes</t>
  </si>
  <si>
    <t>KO dès qu'un contrôle est rouge ou qu'un paramètre manque. Le Comparateur reste vide tant que ce n'est pas corrigé.</t>
  </si>
  <si>
    <t>Régime le plus favorable sur la durée de détention</t>
  </si>
  <si>
    <t>Lu dans le Comparateur : total net en poche après impôt et après revente. Jamais à lire seul.</t>
  </si>
  <si>
    <t>Écart avec le régime suivant</t>
  </si>
  <si>
    <t>En euros sur toute la durée. Un écart faible ne justifie pas une structure plus lourde.</t>
  </si>
  <si>
    <t>Année 1, cumul sur la durée de détention, revente, TRI : le même bien sous cinq régimes, et le plus favorable. Se remplit depuis Hypothèses.</t>
  </si>
  <si>
    <t>Location nue, micro-foncier</t>
  </si>
  <si>
    <t>Location nue, réel foncier</t>
  </si>
  <si>
    <t>Meublé, LMNP micro-BIC</t>
  </si>
  <si>
    <t>Meublé, LMNP réel</t>
  </si>
  <si>
    <t>SCI à l'IS</t>
  </si>
  <si>
    <t>Lecture</t>
  </si>
  <si>
    <t xml:space="preserve">  ÉLIGIBILITÉ ET PREMIÈRE ANNÉE</t>
  </si>
  <si>
    <t>Éligibilité au régime</t>
  </si>
  <si>
    <t>Les régimes micro sont fermés au-dessus de leur plafond de recettes (testé en année 1 et en dernière année).</t>
  </si>
  <si>
    <t>Base imposable, année 1</t>
  </si>
  <si>
    <t>IR : base soumise à la TMI et aux prélèvements sociaux. IS : bénéfice imposable de la société.</t>
  </si>
  <si>
    <t>Impôt, année 1</t>
  </si>
  <si>
    <t>IR plus prélèvements sociaux (négatif : économie d'impôt du déficit foncier). SCI : IS de la société.</t>
  </si>
  <si>
    <t>Flux net en poche, année 1</t>
  </si>
  <si>
    <t>Loyer moins charges, annuité (capital compris) et impôt. SCI : ce que l'associé reçoit ou apporte.</t>
  </si>
  <si>
    <t xml:space="preserve">  CUMUL SUR LA DURÉE DE DÉTENTION</t>
  </si>
  <si>
    <t>Impôts cumulés sur la détention</t>
  </si>
  <si>
    <t>IR et prélèvements sociaux nets de la CSG déductible ; SCI : IS plus PFU sur les dividendes. Hors revente.</t>
  </si>
  <si>
    <t>Flux nets cumulés sur la détention</t>
  </si>
  <si>
    <t>Somme des flux annuels en poche, avant revente. Négatif : effort d'épargne cumulé.</t>
  </si>
  <si>
    <t>Reports non consommés en fin de détention</t>
  </si>
  <si>
    <t>Déficits fonciers, amortissements différés et déficits BIC, déficit IS : ce que le régime laisse en réserve.</t>
  </si>
  <si>
    <t>SCI seulement : l'argent qui n'est pas un revenu tant qu'il n'est pas distribué.</t>
  </si>
  <si>
    <t xml:space="preserve">  REVENTE À LA FIN DE LA DÉTENTION</t>
  </si>
  <si>
    <t>Prix de cession</t>
  </si>
  <si>
    <t>Prix revalorisé ou prix forcé (Hypothèses).</t>
  </si>
  <si>
    <t>Prix d'acquisition retenu ou valeur nette comptable</t>
  </si>
  <si>
    <t>Particuliers : prix, frais (réels, ou forfait de 7,5 % si le bien a été acheté à titre onéreux), forfait travaux après cinq ans, moins les amortissements déduits en LMNP réel. SCI : VNC.</t>
  </si>
  <si>
    <t>dont amortissements réintégrés dans la plus-value</t>
  </si>
  <si>
    <t>LMNP réel seulement : les amortissements déduits sur l'immeuble (bâti, frais immobilisés, travaux) viennent en moins du prix d'acquisition depuis 2025. Détail année par année dans le Pluriannuel.</t>
  </si>
  <si>
    <t>Plus-value imposable</t>
  </si>
  <si>
    <t>Particuliers : avant abattements pour durée (une moins-value vaut 0). SCI : plus-value professionnelle sur VNC.</t>
  </si>
  <si>
    <t>dont plus-value imposable à l'impôt sur le revenu</t>
  </si>
  <si>
    <t>Particuliers : la plus-value après l'abattement pour durée de détention applicable à l'impôt sur le revenu. C'est l'assiette de la surtaxe ci-dessous, et non celle des prélèvements sociaux, qui est plus élevée. Vide à l'IS.</t>
  </si>
  <si>
    <t>Surtaxe sur les plus-values élevées</t>
  </si>
  <si>
    <t>Taxe par tranches de 2 à 6 % au-delà de 50 000 € de plus-value imposable à l'impôt sur le revenu (CGI art. 1609 nonies G), barème et lissage dans Paramètres. Elle ne vise que les plus-values des particuliers : la SCI à l'IS en est hors du champ, la cellule reste vide.</t>
  </si>
  <si>
    <t>IS sur la plus-value de cession</t>
  </si>
  <si>
    <t>SCI : après imputation du déficit reportable, au barème 15 % / 25 % de l'exercice.</t>
  </si>
  <si>
    <t>Trésorerie de liquidation</t>
  </si>
  <si>
    <t>SCI : trésorerie, plus prix de cession, moins capital restant dû, moins IS.</t>
  </si>
  <si>
    <t>Remboursement du compte courant d'associé</t>
  </si>
  <si>
    <t>SCI : restitué sans impôt (négatif : l'associé comble le passif).</t>
  </si>
  <si>
    <t>Boni de liquidation</t>
  </si>
  <si>
    <t>SCI : le surplus, imposé au PFU comme un dividende.</t>
  </si>
  <si>
    <t>Particuliers : 19 % d'IR et 17,2 % de prélèvements sociaux après abattements pour durée, plus la surtaxe ci-dessus. SCI : IS sur la plus-value plus PFU sur le boni.</t>
  </si>
  <si>
    <t>Net de revente en poche</t>
  </si>
  <si>
    <t>Prix de cession moins capital restant dû moins impôt. SCI : compte courant remboursé plus boni net.</t>
  </si>
  <si>
    <t xml:space="preserve">  BILAN SUR LA DURÉE DE DÉTENTION</t>
  </si>
  <si>
    <t>Total net en poche après impôt et après revente</t>
  </si>
  <si>
    <t>Flux nets cumulés plus net de revente. C'est le chiffre qui classe les régimes.</t>
  </si>
  <si>
    <t>Gain net après remboursement de l'apport</t>
  </si>
  <si>
    <t>Total net moins l'apport initial. Négatif : l'opération détruit de la valeur.</t>
  </si>
  <si>
    <t>Taux de rendement interne des flux de l'investisseur, apport en année 0, revente en fin de détention.</t>
  </si>
  <si>
    <t>Écart avec le meilleur régime</t>
  </si>
  <si>
    <t>En euros sur toute la durée. 0 sur le régime le plus favorable.</t>
  </si>
  <si>
    <t>Rang</t>
  </si>
  <si>
    <t>1 : le plus favorable.</t>
  </si>
  <si>
    <t xml:space="preserve">  VERDICT</t>
  </si>
  <si>
    <t>Régime le plus favorable sur la durée</t>
  </si>
  <si>
    <t>Total net le plus élevé parmi les régimes éligibles.</t>
  </si>
  <si>
    <t>Un écart inférieur au coût d'une comptabilité ou d'une structure ne tranche rien.</t>
  </si>
  <si>
    <t>Classement sans ex aequo</t>
  </si>
  <si>
    <t>KO si deux régimes arrivent à égalité parfaite : le premier nommé l'emporte par ordre de colonne.</t>
  </si>
  <si>
    <t>Année par année, pour chaque régime : résultat fiscal, impôt, reports, flux net en poche. Colonne C : cumul (ou valeur en fin de détention pour les stocks). Les années au-delà de la détention sont grisées.</t>
  </si>
  <si>
    <t>Année</t>
  </si>
  <si>
    <t>Cumul sur la détention, ou fin de détention</t>
  </si>
  <si>
    <t xml:space="preserve">  LE BIEN, LE LOYER ET LE PRÊT</t>
  </si>
  <si>
    <t>Loyer encaissé</t>
  </si>
  <si>
    <t>Charges déductibles hors intérêts</t>
  </si>
  <si>
    <t>CFE (régimes meublés)</t>
  </si>
  <si>
    <t>Honoraires comptables LMNP réel</t>
  </si>
  <si>
    <t>Honoraires comptables SCI IS</t>
  </si>
  <si>
    <t>Intérêts d'emprunt</t>
  </si>
  <si>
    <t>Capital remboursé</t>
  </si>
  <si>
    <t>Assurance emprunteur</t>
  </si>
  <si>
    <t>Annuité totale (intérêts, capital, assurance)</t>
  </si>
  <si>
    <t>Capital restant dû en fin d'année</t>
  </si>
  <si>
    <t>Amortissement du bâti (hors terrain)</t>
  </si>
  <si>
    <t>Amortissement des travaux</t>
  </si>
  <si>
    <t>Amortissement du mobilier</t>
  </si>
  <si>
    <t>Amortissement total de l'année</t>
  </si>
  <si>
    <t xml:space="preserve">  LOCATION NUE, MICRO-FONCIER</t>
  </si>
  <si>
    <t>Base imposable (loyer moins abattement)</t>
  </si>
  <si>
    <t>Impôt sur le revenu et prélèvements sociaux</t>
  </si>
  <si>
    <t>Économie d'IR sur la CSG déductible (option)</t>
  </si>
  <si>
    <t>Flux net en poche (après crédit et impôt)</t>
  </si>
  <si>
    <t xml:space="preserve">  LOCATION NUE, RÉEL FONCIER</t>
  </si>
  <si>
    <t>Résultat foncier du bien (travaux déduits l'année 1)</t>
  </si>
  <si>
    <t>Déficit issu des intérêts (jamais sur le revenu global)</t>
  </si>
  <si>
    <t>Déficit issu des autres charges</t>
  </si>
  <si>
    <t>Déficit intérêts après les autres revenus fonciers</t>
  </si>
  <si>
    <t>Déficit autres charges après les autres revenus fonciers</t>
  </si>
  <si>
    <t>Déficit imputé sur le revenu global (plafonné)</t>
  </si>
  <si>
    <t>Revenu foncier net positif du foyer</t>
  </si>
  <si>
    <t>Déficits reportables en début d'année</t>
  </si>
  <si>
    <t>Report imputé sur les revenus fonciers</t>
  </si>
  <si>
    <t>Déficits reportables en fin d'année (10 ans)</t>
  </si>
  <si>
    <t>Base imposable attribuable au bien</t>
  </si>
  <si>
    <t>Impôt et prélèvements sociaux (négatif : économie)</t>
  </si>
  <si>
    <t xml:space="preserve">  MEUBLÉ, LMNP MICRO-BIC</t>
  </si>
  <si>
    <t>Base imposable (loyer moins abattement du type de meublé)</t>
  </si>
  <si>
    <t>Flux net en poche (après crédit, CFE et impôt)</t>
  </si>
  <si>
    <t xml:space="preserve">  MEUBLÉ, LMNP RÉEL</t>
  </si>
  <si>
    <t>Résultat avant amortissement</t>
  </si>
  <si>
    <t>Amortissements différés en début d'année (art. 39 C)</t>
  </si>
  <si>
    <t>Amortissement déduit (dans la limite du résultat)</t>
  </si>
  <si>
    <t>Amortissements différés en fin d'année (sans limite de durée)</t>
  </si>
  <si>
    <t>Déficit BIC non professionnel en début d'année</t>
  </si>
  <si>
    <t>Déficit BIC créé</t>
  </si>
  <si>
    <t>Déficit BIC imputé</t>
  </si>
  <si>
    <t>Déficit BIC reportable en fin d'année (10 ans)</t>
  </si>
  <si>
    <t>Base imposable</t>
  </si>
  <si>
    <t>Part de l'immeuble (bâti et travaux) dans l'amortissement déduit</t>
  </si>
  <si>
    <t>Amortissement à réintégrer dans la plus-value (art. 150 VB)</t>
  </si>
  <si>
    <t>Flux net en poche (après crédit, CFE, comptable et impôt)</t>
  </si>
  <si>
    <t xml:space="preserve">  SCI À L'IS</t>
  </si>
  <si>
    <t>Résultat fiscal de la société avant report</t>
  </si>
  <si>
    <t>Déficit reportable en début d'exercice</t>
  </si>
  <si>
    <t>Déficit imputé</t>
  </si>
  <si>
    <t>Déficit reportable en fin d'exercice (sans limite)</t>
  </si>
  <si>
    <t>Bénéfice imposable</t>
  </si>
  <si>
    <t>Impôt sur les sociétés</t>
  </si>
  <si>
    <t>Résultat comptable après IS</t>
  </si>
  <si>
    <t>Réserves distribuables en début d'exercice</t>
  </si>
  <si>
    <t>Trésorerie générée (après annuité et IS)</t>
  </si>
  <si>
    <t>Trésorerie en début d'exercice</t>
  </si>
  <si>
    <t>Apport en compte courant par l'associé (trésorerie négative)</t>
  </si>
  <si>
    <t>Trésorerie disponible</t>
  </si>
  <si>
    <t>Compte courant d'associé en début d'exercice</t>
  </si>
  <si>
    <t>Remboursement du compte courant (sans impôt, si distribution)</t>
  </si>
  <si>
    <t>Dividende brut (limité au distribuable et à la trésorerie)</t>
  </si>
  <si>
    <t>PFU sur le dividende</t>
  </si>
  <si>
    <t>Dividende net perçu par l'associé</t>
  </si>
  <si>
    <t>Flux net en poche de l'associé</t>
  </si>
  <si>
    <t>Trésorerie en fin d'exercice (bloquée en société)</t>
  </si>
  <si>
    <t>Compte courant d'associé en fin d'exercice</t>
  </si>
  <si>
    <t>Réserves distribuables en fin d'exercice</t>
  </si>
  <si>
    <t xml:space="preserve">  FLUX POUR LE TRI (COLONNE C : ANNÉE 0, APPORT INITIAL)</t>
  </si>
  <si>
    <t>SCI à l'IS (associé)</t>
  </si>
  <si>
    <t>Les seules valeurs à mettre à jour quand la loi ou le marché changent. Toutes les formules du classeur pointent ici.</t>
  </si>
  <si>
    <t xml:space="preserve">  BARÈMES RÉGLEMENTAIRES, MILLÉSIME 2026</t>
  </si>
  <si>
    <t>Valeur</t>
  </si>
  <si>
    <t>Source (organisme, texte, date)</t>
  </si>
  <si>
    <t>Mise à jour</t>
  </si>
  <si>
    <t>Commentaire</t>
  </si>
  <si>
    <t>Prélèvements sociaux, revenus fonciers (location nue)</t>
  </si>
  <si>
    <t>Chaque LFSS (décembre)</t>
  </si>
  <si>
    <t>Micro-foncier et réel foncier.</t>
  </si>
  <si>
    <t>Prélèvements sociaux, BIC de location meublée non professionnelle</t>
  </si>
  <si>
    <t>LMNP micro-BIC et LMNP réel. La hausse de CSG de la LFSS 2026 vise les revenus du patrimoine et les produits de placement ; les revenus fonciers, les plus-values immobilières, l'assurance vie et les plans d'épargne logement en sont exclus et restent à 17,2 % : ne recopiez pas les 17,2 % de la ligne du dessus.</t>
  </si>
  <si>
    <t>CSG déductible du revenu global de l'année suivante</t>
  </si>
  <si>
    <t>Chaque LFSS</t>
  </si>
  <si>
    <t>Ne joue que si l'option « CSG déductible » des Hypothèses est sur Oui.</t>
  </si>
  <si>
    <t>Abattement micro-foncier</t>
  </si>
  <si>
    <t>Chaque loi de finances</t>
  </si>
  <si>
    <t>Aucune autre charge déductible.</t>
  </si>
  <si>
    <t>Plafond de revenus bruts fonciers du micro-foncier</t>
  </si>
  <si>
    <t>Loyers bruts du foyer, tous biens nus confondus. Le classeur teste le loyer du bien en année 1 et en dernière année.</t>
  </si>
  <si>
    <t>Plafond d'imputation du déficit foncier sur le revenu global</t>
  </si>
  <si>
    <t>Hors la fraction du déficit issue des intérêts d'emprunt, reportable sur les revenus fonciers seulement.</t>
  </si>
  <si>
    <t>Plafond majoré, travaux de rénovation énergétique</t>
  </si>
  <si>
    <t>Rehaussement temporaire : devis accepté à compter du 05/11/2022, dépenses payées entre le 01/01/2023 et le 31/12/2025, passage d'une classe E, F ou G à une classe A, B, C ou D justifié par deux diagnostics au plus tard le 31/12/2027. Pour les revenus 2026, une dépense payée dans l'année n'y ouvre donc plus droit : ne mettez l'option « rénovation énergétique » des Hypothèses sur Oui que pour un dossier dont les travaux étaient déjà payés fin 2025. Une prorogation de la période de paiement est annoncée par la presse fiscale, elle n'est confirmée ni par le code ni par la doctrine à ce jour : le classeur retient la règle la plus stricte. Appliqué à tout le déficit quand l'option est sur Oui (simplification, voir Méthode).</t>
  </si>
  <si>
    <t>IS, taux réduit des PME</t>
  </si>
  <si>
    <t>Une SCI familiale remplit en général les conditions ; à vérifier.</t>
  </si>
  <si>
    <t>IS, plafond de bénéfice au taux réduit</t>
  </si>
  <si>
    <t>IS, taux normal</t>
  </si>
  <si>
    <t>Sur la fraction du bénéfice au-delà du plafond.</t>
  </si>
  <si>
    <t>PFU sur les dividendes (12,8 % d'IR + 18,6 % de prélèvements sociaux)</t>
  </si>
  <si>
    <t>Chaque LF et LFSS</t>
  </si>
  <si>
    <t>Dividendes annuels et boni de liquidation à la revente. L'option pour le barème n'est pas modélisée.</t>
  </si>
  <si>
    <t>Impôt sur le revenu sur la plus-value immobilière des particuliers</t>
  </si>
  <si>
    <t>Location nue et LMNP.</t>
  </si>
  <si>
    <t>Prélèvements sociaux sur la plus-value immobilière des particuliers</t>
  </si>
  <si>
    <t>Forfait de frais d'acquisition (plus-value des particuliers)</t>
  </si>
  <si>
    <t>Stable</t>
  </si>
  <si>
    <t>Réservé aux biens achetés à titre onéreux : sur un bien reçu par succession ou par donation, seuls les frais réels comptent. Le mode d'acquisition se saisit dans les Hypothèses. Quand le forfait est ouvert, le classeur retient le plus élevé des frais réels saisis et du forfait.</t>
  </si>
  <si>
    <t>Forfait travaux (plus-value des particuliers)</t>
  </si>
  <si>
    <t>Appliqué dès que la durée de détention dépasse la durée ci-dessous ; les travaux réels ne sont pas ajoutés (voir Méthode).</t>
  </si>
  <si>
    <t>Durée de détention minimale pour le forfait travaux</t>
  </si>
  <si>
    <t>Strictement plus de cinq années révolues.</t>
  </si>
  <si>
    <t xml:space="preserve">  RÉGIMES MICRO-BIC SELON LE TYPE DE MEUBLÉ (CGI ART. 50-0, LOI LE MEUR)</t>
  </si>
  <si>
    <t>Type de meublé (liste des Hypothèses)</t>
  </si>
  <si>
    <t>Abattement</t>
  </si>
  <si>
    <t>Plafond de recettes</t>
  </si>
  <si>
    <t>Bail d'habitation meublé, bail étudiant, bail mobilité.</t>
  </si>
  <si>
    <t>Meublé de tourisme classé</t>
  </si>
  <si>
    <t>Classement préfectoral en cours de validité.</t>
  </si>
  <si>
    <t>Meublé de tourisme non classé</t>
  </si>
  <si>
    <t>Courte durée sans classement. Au-delà du plafond, le réel est obligatoire.</t>
  </si>
  <si>
    <t xml:space="preserve">  LISTES DÉROULANTES DES HYPOTHÈSES</t>
  </si>
  <si>
    <t>TMI (barème, modifiable)</t>
  </si>
  <si>
    <t>Oui / Non</t>
  </si>
  <si>
    <t>Frais d'acquisition (LMNP réel, IS)</t>
  </si>
  <si>
    <t>Mode d'acquisition (plus-value)</t>
  </si>
  <si>
    <t>Source et commentaire</t>
  </si>
  <si>
    <t>Oui</t>
  </si>
  <si>
    <t>TMI : CGI art. 197, barème de la LF 2026 (loi n° 2026-103 du 19/02/2026) : 11 % à partir de 11 600 €, 30 % de 29 579 €, 41 % de 84 577 €, 45 % de 181 917 € par part. Frais d'acquisition : BOFiP BOI-BIC-CHG-20-20-10 (option irrévocable). Mode d'acquisition : CGI art. 150 VB, II-3° et BOFiP BOI-RFPI-PVI-20-10-20-20, qui réservent le forfait de frais de 7,5 % aux acquisitions à titre onéreux. Les libellés Oui / Non, des options et des modes d'acquisition sont fixes : les formules testent leur texte. Ne pas les modifier.</t>
  </si>
  <si>
    <t>Déduits en charges l'année 1</t>
  </si>
  <si>
    <t>Succession</t>
  </si>
  <si>
    <t>Donation</t>
  </si>
  <si>
    <t xml:space="preserve">  ABATTEMENTS POUR DURÉE DE DÉTENTION, PLUS-VALUE IMMOBILIÈRE DES PARTICULIERS</t>
  </si>
  <si>
    <t>Années de détention révolues</t>
  </si>
  <si>
    <t>Abattement IR</t>
  </si>
  <si>
    <t>Abattement prélèvements sociaux</t>
  </si>
  <si>
    <t>CGI art. 150 VC, I (IR : 6 % par année de détention au-delà de la cinquième, 4 % la vingt-deuxième) ; CSS art. L136-7, VI (prélèvements sociaux : 1,65 % par année au-delà de la cinquième, 1,60 % la vingt-deuxième, 9 % de la vingt-troisième à la trentième). BOFiP BOI-RFPI-PVI-20-20.</t>
  </si>
  <si>
    <t>Exonération d'IR après 22 ans, de prélèvements sociaux après 30 ans. L'abattement d'impôt sur le revenu de cette table donne l'assiette de la surtaxe sur les plus-values élevées, dont le barème suit.</t>
  </si>
  <si>
    <t xml:space="preserve">  TAXE SUR LES PLUS-VALUES IMMOBILIÈRES ÉLEVÉES, BARÈME PAR TRANCHES (CGI ART. 1609 NONIES G)</t>
  </si>
  <si>
    <t>Plus-value imposable à l'IR supérieure à</t>
  </si>
  <si>
    <t>Taux</t>
  </si>
  <si>
    <t>Coefficient de lissage</t>
  </si>
  <si>
    <t>Borne de lissage</t>
  </si>
  <si>
    <t>Taxe = taux multiplié par la plus-value, moins le coefficient multiplié par l'écart à la borne. Le taux porte sur la totalité de la plus-value, d'où le terme de lissage à l'entrée de chaque tranche ; un coefficient nul désigne une tranche sans lissage. Assiette : la plus-value imposable à l'impôt sur le revenu, c'est-à-dire après l'abattement pour durée de détention de la table ci-dessus (BOI-RFPI-TPVIE-20, I § 10), et non l'assiette des prélèvements sociaux, dont la cadence d'abattement est différente : une plus-value exonérée d'impôt sur le revenu à vingt-deux ans échappe à la taxe alors que les prélèvements sociaux restent dus. Le seuil de 50 000 € s'apprécie après abattement, et par vendeur en indivision ou en couple. La taxe ne frappe que les plus-values des personnes physiques et des sociétés translucides des articles 8 à 8 ter : la SCI à l'impôt sur les sociétés en est hors du champ (BOI-RFPI-TPVIE-10 § 40), sa plus-value étant professionnelle et taxée à l'IS. En cas de suppression du dispositif, mettez à zéro les taux de la colonne C et les coefficients de la colonne D : le terme de lissage se soustrait, un taux annulé seul le laisserait jouer. La taxe calculée ne descend de toute façon jamais en dessous de zéro.</t>
  </si>
  <si>
    <t xml:space="preserve">  REPÈRES DE MARCHÉ (POINTS DE DÉPART, LUS PAR LES NOTES D'AIDE DES HYPOTHÈSES)</t>
  </si>
  <si>
    <t>Taux de crédit immobilier, 20 ans</t>
  </si>
  <si>
    <t>Observatoire Crédit Logement / CSA, analyse du marché du mois d'août 2026 (publiée en septembre 2026) : 3,27 % sur 20 ans, taux moyen toutes durées 3,31 %, en hausse de 3 centièmes de point en juillet comme en août. lobservatoire.creditlogement.fr.</t>
  </si>
  <si>
    <t>Mensuelle</t>
  </si>
  <si>
    <t>Taux nominal moyen hors assurance.</t>
  </si>
  <si>
    <t>Taux de crédit immobilier, 25 ans</t>
  </si>
  <si>
    <t>Observatoire Crédit Logement / CSA, analyse du marché du mois d'août 2026 (publiée en septembre 2026) : 3,35 % sur 25 ans, 3,14 % sur 15 ans, en hausse de 15 centièmes de point depuis décembre 2025. lobservatoire.creditlogement.fr.</t>
  </si>
  <si>
    <t>Le HCSF limite les prêts à 25 ans.</t>
  </si>
  <si>
    <t>Assurance emprunteur, contrat groupe bancaire</t>
  </si>
  <si>
    <t>Annuelle</t>
  </si>
  <si>
    <t>Assurance emprunteur, délégation</t>
  </si>
  <si>
    <t>Mêmes baromètres 2026.</t>
  </si>
  <si>
    <t>Sur capital initial, à convertir si le contrat cotise sur le capital restant dû.</t>
  </si>
  <si>
    <t>Frais d'acquisition dans l'ancien, bas de fourchette (part du prix)</t>
  </si>
  <si>
    <t>Notaire seul. Ajouter les honoraires d'agence à la charge de l'acquéreur.</t>
  </si>
  <si>
    <t>Frais d'acquisition dans l'ancien, haut de fourchette (part du prix)</t>
  </si>
  <si>
    <t>Mêmes sources.</t>
  </si>
  <si>
    <t>Neuf : 2 à 3 %.</t>
  </si>
  <si>
    <t>Honoraires comptables LMNP réel, bas de fourchette (TTC par an)</t>
  </si>
  <si>
    <t>Liasse 2031, 2033, tableau de suivi 39 C, FEC.</t>
  </si>
  <si>
    <t>Honoraires comptables LMNP réel, haut de fourchette (TTC par an)</t>
  </si>
  <si>
    <t>Mêmes sources, complétées par indy.fr : 600 à 900 € et au-delà en cabinet traditionnel.</t>
  </si>
  <si>
    <t>La réduction d'impôt pour frais de comptabilité (OGA) est supprimée depuis l'exercice 2025.</t>
  </si>
  <si>
    <t>Honoraires comptables SCI à l'IS, bas de fourchette (HT par an)</t>
  </si>
  <si>
    <t>Bilan, liasse 2065, approbation des comptes.</t>
  </si>
  <si>
    <t>Honoraires comptables SCI à l'IS, haut de fourchette (HT par an)</t>
  </si>
  <si>
    <t>Même source.</t>
  </si>
  <si>
    <t>Selon le nombre de biens et d'associés.</t>
  </si>
  <si>
    <t>CFE, base minimum 2026, bas de fourchette (recettes de 10 001 à 32 600 €)</t>
  </si>
  <si>
    <t>Annuelle et par commune</t>
  </si>
  <si>
    <t>Exonération l'année de création et si les recettes N-2 sont inférieures ou égales à 5 000 €.</t>
  </si>
  <si>
    <t>CFE, base minimum 2026, haut de fourchette (mêmes recettes)</t>
  </si>
  <si>
    <t>Le taux communal s'applique à la base minimum : demandez l'avis de l'année précédente en mairie ou au SIE.</t>
  </si>
  <si>
    <t>Part du terrain dans le prix, bas de fourchette</t>
  </si>
  <si>
    <t>Appartement en ville moyenne.</t>
  </si>
  <si>
    <t>Part du terrain dans le prix, haut de fourchette</t>
  </si>
  <si>
    <t>Zone tendue, maison : parfois davantage. À justifier par comparaison.</t>
  </si>
  <si>
    <t>Durée d'amortissement du bâti, bas de fourchette</t>
  </si>
  <si>
    <t>Le classeur retient une durée moyenne pondérée unique (voir Méthode).</t>
  </si>
  <si>
    <t>Durée d'amortissement du bâti, haut de fourchette</t>
  </si>
  <si>
    <t>Durée d'amortissement des travaux, bas de fourchette</t>
  </si>
  <si>
    <t>Durée d'amortissement des travaux, haut de fourchette</t>
  </si>
  <si>
    <t>Durée d'amortissement du mobilier, bas de fourchette</t>
  </si>
  <si>
    <t>Durée d'amortissement du mobilier, haut de fourchette</t>
  </si>
  <si>
    <t>Le petit matériel de moins de 600 € TTC peut passer en charge (non modélisé).</t>
  </si>
  <si>
    <t>TRI après impôt sur dix ans, ancien loué à crédit, bas de fourchette</t>
  </si>
  <si>
    <t>Repère de lecture CorpusImmo, millésime 2026 : fourchette observée sur les simulations d'ancien financé à crédit, après impôt et revente sur dix ans. Elle n'est pas sourcée sur un organisme et se relit à chaque millésime.</t>
  </si>
  <si>
    <t>En dessous, l'opération repose sur la seule revalorisation du bien. La fourchette est large au regard de la sensibilité aux taux : sur le dossier livré en exemple, 5 centièmes de point de taux de crédit en plus déplacent le TRI de 4 centièmes de point environ. La hausse d'août 2026 ne la remet donc pas en cause, mais une variation de plus d'un demi-point de taux justifierait de la recalculer.</t>
  </si>
  <si>
    <t>TRI après impôt sur dix ans, ancien loué à crédit, haut de fourchette</t>
  </si>
  <si>
    <t>Même repère de lecture, même millésime.</t>
  </si>
  <si>
    <t>Au-dessus de ce repère, vérifiez la revalorisation et le prix de cession saisis.</t>
  </si>
  <si>
    <t>Plancher de plausibilité d'un taux saisi</t>
  </si>
  <si>
    <t>Convention CorpusImmo, commune aux matrices qui saisissent des taux.</t>
  </si>
  <si>
    <t>Un taux entre 0 et 0,10 % signale presque toujours une saisie en fraction (0,0325 tapé pour 3,25 %). Le contrôle « Taux saisis en pourcentage » des Hypothèses passe au rouge dans ce cas.</t>
  </si>
  <si>
    <t>Dernière vérification des paramètres</t>
  </si>
  <si>
    <t>Aucun de ces taux n'est recopié dans une formule : toutes pointent ici.</t>
  </si>
  <si>
    <t>Ces valeurs sont volontairement isolées ici. Un modèle qui embarque un barème au cœur de ses formules devient faux dès que la loi bouge,</t>
  </si>
  <si>
    <t>sans que personne ne s'en aperçoive. Vérifiez-les chaque janvier après la loi de finances et la LFSS, et mettez à jour la date ci-dessus : toutes les mentions « Vérifié le » et « Consulté le » de cet onglet la lisent.</t>
  </si>
  <si>
    <t>Méthode de calcul</t>
  </si>
  <si>
    <t>Ce que chaque régime fait à votre imposition, les conventions retenues, ce que le modèle ne fait pas, les sources.</t>
  </si>
  <si>
    <t xml:space="preserve">  CONVENTIONS RETENUES, ET CE QU'ELLES COÛTENT</t>
  </si>
  <si>
    <t>Micro-foncier</t>
  </si>
  <si>
    <t>Abattement forfaitaire de 30 % sur les loyers (taux 2026), sans aucune charge déductible (CGI art. 32). Simple, et pénalisant dès que les charges réelles dépassent l'abattement, ce qui arrive vite avec un emprunt. Réservé aux foyers dont les loyers bruts de location nue ne dépassent pas le plafond de Paramètres (Paramètres!C12, 15 000 € en 2026) : le classeur teste le loyer du bien en année 1 et en dernière année de détention et affiche « Non éligible » au-delà. Ce test ne porte que sur le bien saisi : si vous avez d'autres biens nus, additionnez leurs loyers de tête, le plafond s'apprécie au niveau du foyer.</t>
  </si>
  <si>
    <t>Réel foncier</t>
  </si>
  <si>
    <t>Charges, intérêts, assurance emprunteur et travaux déductibles (CGI art. 31), les travaux étant déduits en totalité l'année 1. Si le résultat est négatif, la règle de l'article 156 I 3° s'applique dans cet ordre : les intérêts et frais d'emprunt s'imputent d'abord sur les loyers ; la fraction du déficit qui vient des intérêts ne se reporte que sur les revenus fonciers des dix années suivantes, sans économie immédiate ; le déficit issu des autres charges s'impute sur le revenu global dans la limite du plafond de Paramètres (10 700 € en 2026, ou 21 400 € pour une rénovation énergétique payée entre le 01/01/2023 et le 31/12/2025, option des Hypothèses), le surplus étant reporté sur les revenus fonciers. Les autres revenus fonciers du foyer absorbent d'abord le déficit et les reports. L'économie d'impôt d'un déficit imputé sur le revenu global vaut déficit × TMI (pas de prélèvements sociaux) ; un déficit ou un report imputé sur d'autres revenus fonciers économise la TMI plus les prélèvements sociaux (17,2 % en 2026). L'imputation sur le revenu global engage à louer jusqu'au 31 décembre de la troisième année suivante.</t>
  </si>
  <si>
    <t>LMNP micro-BIC</t>
  </si>
  <si>
    <t>Abattement forfaitaire sur les recettes selon le type de meublé choisi dans les Hypothèses (CGI art. 50-0, loi Le Meur) : 50 % pour le meublé classique et le tourisme classé sous 83 600 € de recettes 2026, 30 % pour le tourisme non classé sous 15 000 € (barèmes 2026). Sans comptabilité à tenir. La CFE reste due et n'est pas déductible.</t>
  </si>
  <si>
    <t>LMNP au réel</t>
  </si>
  <si>
    <t>Charges, CFE, honoraires comptables, intérêts et assurance, puis amortissement du bâti (prix et frais d'acquisition immobilisés, hors quote-part de terrain), des travaux et du mobilier, chacun en linéaire sur sa durée saisie. L'amortissement ne peut pas créer de déficit (CGI art. 39 C II) : la part non déduite est différée sans limite de durée et reprise dès que le résultat le permet ; le classeur suit ce stock année par année. Si les charges réelles dépassent les loyers, le déficit BIC non professionnel ne s'impute que sur les BIC non professionnels des dix années suivantes (CGI art. 156 I 1° ter). L'amortissement est une charge comptable qui ne sort pas de la trésorerie : d'où un flux en poche très supérieur au résultat fiscal. Contrepartie depuis le 15 février 2025 (loi n° 2025-127 art. 84, CGI art. 150 VB III) : les amortissements déduits sur l'immeuble sont réintégrés dans la plus-value de cession. L'avantage du LMNP réel est un décalage d'impôt, non une exonération.</t>
  </si>
  <si>
    <t>Même amortissement qu'au LMNP réel, mais sans la limite de l'article 39 C : le résultat de la société peut être déficitaire et le déficit se reporte en avant sans limite de durée (CGI art. 209 I). L'IS est dû au taux réduit de 15 % jusqu'à 42 500 € puis 25 % (art. 219, barème 2026). L'associé n'est imposé qu'à la distribution : dividendes au PFU (31,4 % en 2026), limités au bénéfice distribuable (réserves) et à la trésorerie. L'apport initial est placé en compte courant d'associé, remboursable sans impôt ; quand la trésorerie de la société est négative, l'associé la comble par un apport en compte courant, compté comme un flux négatif. Option « distribution annuelle » : Oui rembourse d'abord le compte courant puis distribue ; Non laisse tout en société jusqu'à la revente. À la revente, la plus-value est professionnelle, calculée sur la valeur nette comptable (donc amputée de tous les amortissements), taxée à l'IS avec le résultat de l'exercice après imputation des déficits ; la trésorerie de liquidation rembourse le compte courant, le surplus (boni) est imposé au PFU. Le taux réduit suppose une société détenue à 75 % au moins par des personnes physiques, au capital libéré.</t>
  </si>
  <si>
    <t>Plus-value des particuliers (nu et LMNP)</t>
  </si>
  <si>
    <t>Prix de cession moins prix d'acquisition majoré : frais d'acquisition réels ou forfait de 7,5 % (le plus élevé des deux), forfait travaux de 15 % du prix au-delà de cinq ans de détention (CGI art. 150 VB II, forfaits 2026). Le forfait de 7,5 % n'est ouvert qu'aux biens acquis à titre onéreux : sur un bien reçu par succession ou par donation, seuls les frais réels justifiés sont retenus (droits de mutation à titre gratuit et frais d'acte), ce qui majore la plus-value imposable. Le mode d'acquisition se saisit dans les Hypothèses (Paramètres!C21 pour le taux, BOFiP BOI-RFPI-PVI-20-10-20-20 pour la restriction). Les travaux réels ne sont pas ajoutés (déjà déduits au réel foncier ou amortis au LMNP) ; les frais de cession ne sont pas modélisés. En LMNP réel, le prix d'acquisition est minoré des amortissements effectivement déduits sur l'immeuble (bâti, frais immobilisés, travaux), au prorata de leur part dans l'amortissement de chaque année ; le mobilier et les amortissements différés non encore déduits ne sont pas réintégrés. Une moins-value vaut zéro. Abattements pour durée de détention lus dans la table de Paramètres (exonération d'IR à 22 ans, de prélèvements sociaux à 30 ans), puis 19 % d'IR et 17,2 % de prélèvements sociaux (taux 2026), plus la surtaxe ci-dessous.</t>
  </si>
  <si>
    <t>Le classeur applique la taxe de l'article 1609 nonies G du CGI : de 2 à 6 % par tranches, avec un terme de lissage à l'entrée de chaque tranche, au-delà de 50 000 € de plus-value imposable. Barème complet dans Paramètres (B74:E83), lu par le Comparateur, jamais recopié dans une formule. Trois règles à retenir. D'abord l'assiette : la plus-value imposable à l'impôt sur le revenu, après l'abattement pour durée de détention de l'article 150 VC, et non l'assiette des prélèvements sociaux, dont l'abattement suit une autre cadence ; une plus-value exonérée d'impôt sur le revenu à vingt-deux ans échappe donc à la taxe alors que les prélèvements sociaux restent dus. Ensuite le taux, qui porte sur la totalité de la plus-value et non sur la seule fraction qui dépasse le seuil de tranche : c'est la raison d'être du terme de lissage. Enfin le champ. La taxe frappe les plus-values des personnes physiques et des sociétés translucides des articles 8 à 8 ter : elle s'applique aux quatre régimes imposés à l'impôt sur le revenu de ce classeur, location nue au micro-foncier et au réel, LMNP au micro-BIC et au réel. La SCI à l'impôt sur les sociétés en est hors du champ, sa plus-value étant professionnelle et taxée à l'IS (BOFiP BOI-RFPI-TPVIE-10 § 40) : la ligne « Surtaxe sur les plus-values élevées » du Comparateur reste vide dans sa colonne, elle n'affiche pas zéro. Les terrains à bâtir sont également hors du champ ; ce classeur compare des logements loués, il ne les modélise pas. Le seuil de 50 000 € s'apprécie par vendeur : en indivision ou en couple, chacun regarde sa quote-part, alors que ce classeur raisonne sur un bien entier détenu par un seul contribuable.</t>
  </si>
  <si>
    <t>Flux net en poche et TRI</t>
  </si>
  <si>
    <t>Pour chaque régime et chaque année : loyer, moins charges décaissées (CFE et honoraires selon le régime), moins l'annuité complète du prêt (intérêts, capital, assurance), moins l'impôt de l'année (négatif s'il s'agit d'une économie), plus l'économie de CSG déductible si l'option est active. Pour la SCI : ce que l'associé reçoit (remboursement de compte courant, dividende net) ou apporte. Le total net en poche additionne les flux jusqu'à l'année de revente et le net de revente (prix moins capital restant dû moins impôt de cession, ou liquidation de la société). Le TRI actualise l'apport en année 0, les flux annuels et la revente en fin de détention : il n'est pas défini sans apport ni sans flux de signe contraire (« n.d. »).</t>
  </si>
  <si>
    <t>Le même loyer pour les cinq régimes</t>
  </si>
  <si>
    <t>Le comparateur raisonne à loyer constant pour isoler l'effet du régime. Un meublé se loue en général plus cher qu'un nu : pour en tenir compte, refaites le calcul avec le loyer meublé et comparez les colonnes meublées de cette seconde passe aux colonnes nues de la première. La CFE s'applique aux régimes meublés et à la SCI si elle exploite le mobilier (mobilier saisi supérieur à zéro).</t>
  </si>
  <si>
    <t>Indexation, revalorisation, horizon</t>
  </si>
  <si>
    <t>Loyer, charges, CFE et honoraires sont indexés au même taux à partir de l'année 2. Le prix de cession est le prix net vendeur revalorisé sur la durée de détention, sauf prix forcé. Les intérêts décroissent chaque année selon un prêt à annuité constante mensuelle (taux nominal divisé par douze) ; l'assurance est calculée sur le capital initial. La durée de détention est bornée à 30 ans ; les reports à 10 ans (déficit foncier, déficit BIC) sont suivis en stock sans faire expirer les plus anciens : sur un horizon de dix ans, cela n'a aucun effet ; au-delà, le classeur peut consommer un report que le fisc aurait fait tomber.</t>
  </si>
  <si>
    <t>TMI et revenu global</t>
  </si>
  <si>
    <t>Tout le revenu locatif est supposé imposé dans la tranche marginale saisie, et tout déficit imputé sur le revenu global est supposé absorbé par ce revenu à la même TMI. Le classeur ne recalcule pas le barème progressif : choisissez la TMI après les revenus du bien. La CSG déductible (6,8 points en 2026, CGI art. 154 quinquies II) est une option : elle vaut base imposable × 6,8 % × TMI, économisée l'année suivante, pour les régimes au barème seulement ; ignorée par défaut, ce qui est prudent.</t>
  </si>
  <si>
    <t>Amortissement</t>
  </si>
  <si>
    <t>Une durée moyenne pondérée unique pour le bâti, à comparer à la fourchette d'usage des repères de marché (Paramètres!C101 et C102), plutôt qu'une ventilation par composants (BOFiP BOI-BIC-AMT-10-40-10) : l'écart sur l'impôt annuel est de l'ordre de la différence entre la durée retenue et la durée moyenne réelle des composants. La quote-part de terrain (fourchette d'usage en Paramètres!C99 et C100) n'a aucun forfait légal : l'administration exige une évaluation, par comparaison en priorité (CE 15/02/2016 n° 380400). Les frais d'acquisition sont soit immobilisés avec le bâti, soit déduits l'année 1 (option comptable irrévocable, BOFiP BOI-BIC-CHG-20-20-10) ; la déduction immédiate crée un déficit BIC ou IS reportable et abaisse la base réintégrée à la revente.</t>
  </si>
  <si>
    <t>Taux et dates</t>
  </si>
  <si>
    <t>Tous les taux sont des fractions affichées en pourcentage : tapez 3,25 dans une cellule de taux, elle affiche 3,25 % et contient 0,0325. Ne convertissez jamais vous-même en fraction : 0,0325 tapé dans cette cellule vaut 0,03 %. Le contrôle « Taux saisis en pourcentage » des Hypothèses passe au rouge dès qu'un taux positif descend sous le plancher de plausibilité de Paramètres (Paramètres!C109). Aucune formule ne divise par 100. Les durées sont en années entières. La date de dernière vérification est une vraie date Excel ; toutes les mentions « Vérifié le » et « Consulté le » de Paramètres la lisent.</t>
  </si>
  <si>
    <t>Millésime des chiffres cités</t>
  </si>
  <si>
    <t>Les barèmes cités dans cet onglet et dans le Mode d'emploi sont ceux du millésime 2026 et vivent tous dans Paramètres. Ils sont recopiés ici en toutes lettres pour que le texte se lise sans formule : à chaque mise à jour d'une valeur de Paramètres, relisez les lignes qui la citent, ici comme dans le Mode d'emploi (exemple guidé, tableau des données à mettre à jour, erreurs qui faussent tout). La date de la dernière vérification est en Paramètres!C111.</t>
  </si>
  <si>
    <t xml:space="preserve">  CE QUE CE MODÈLE NE FAIT PAS</t>
  </si>
  <si>
    <t>•  Il ne modélise pas le passage en loueur en meublé professionnel (recettes supérieures à 23 000 € en 2026 et aux autres revenus d'activité du foyer) : déficits imputables sur le revenu global, plus-value professionnelle, cotisations sociales. Au-delà de 23 000 € de recettes meublées, vérifiez votre statut.</t>
  </si>
  <si>
    <t>•  Il ne traite ni la TVA (résidences avec services), ni les cotisations sociales des loueurs en meublé de tourisme au-delà de 23 000 € de recettes, ni la taxe sur les logements vacants, ni les frais de cession (diagnostics, agence vendeur).</t>
  </si>
  <si>
    <t>•  Il ne modélise ni l'exonération de la résidence principale, ni les exonérations particulières (première cession d'un logement autre que la résidence principale, retraités modestes, petites cessions, vente à un organisme de logement social) : la plus-value est toujours calculée comme celle d'un bien locatif imposable. Il n'apprécie pas non plus le seuil de 50 000 € de la surtaxe par quote-part d'indivisaire ou d'époux.</t>
  </si>
  <si>
    <t>•  Il ne fait pas expirer les reports de déficit après dix ans (voir la convention d'horizon), ne recalcule pas le barème progressif de l'impôt sur le revenu, ne modélise pas l'option pour le barème des dividendes ni la contribution exceptionnelle sur les hauts revenus.</t>
  </si>
  <si>
    <t>•  Il compare un seul bien : les plafonds des régimes micro et l'imputation des déficits s'apprécient en réalité au niveau du foyer ; saisissez vos autres revenus fonciers pour le réel foncier et ajoutez vos autres loyers de tête pour les plafonds.</t>
  </si>
  <si>
    <t>•  Il ne modélise pas la constitution ni la dissolution de la SCI (frais de création, honoraires de liquidation, droits d'enregistrement), ni les frais de garantie et de dossier du prêt.</t>
  </si>
  <si>
    <t>•  Il ne remplace ni un expert-comptable, ni un avocat fiscaliste, ni un notaire. Sur un arbitrage IS ou une SCI familiale, consultez.</t>
  </si>
  <si>
    <t xml:space="preserve">  POINTS DE DROIT SIGNALÉS, TRANCHÉS DANS LE SENS PRUDENT</t>
  </si>
  <si>
    <t>Réintégration des amortissements LMNP</t>
  </si>
  <si>
    <t>La loi n° 2025-127 minore le prix d'acquisition « des amortissements admis en déduction ». Les commentaires publiés (GMU Notaires 10/04/2026, lmnp.ai 2026, AUREP) excluent le mobilier et les amortissements différés non déduits ; la place des amortissements de travaux n'est pas tranchée uniformément. Le classeur les réintègre (option la plus lourde) et n'ajoute pas les travaux au prix d'acquisition. Exceptions légales non modélisées : résidences étudiantes, résidences services et établissements médico-sociaux.</t>
  </si>
  <si>
    <t>Ordre d'imputation des composants</t>
  </si>
  <si>
    <t>L'administration n'a pas précisé quel composant est réputé déduit en premier quand l'article 39 C limite l'amortissement : le classeur retient le prorata de chaque année.</t>
  </si>
  <si>
    <t>Plafond majoré 21 400 €</t>
  </si>
  <si>
    <t>Il ne vise que la part du déficit issue des travaux de rénovation énergétique éligibles. Le classeur, sur option, l'applique à tout le déficit de l'année : à réserver aux dossiers où ces travaux dominent le déficit. Le rehaussement, institué par la loi n° 2022-1499 du 1er décembre 2022 de finances rectificative pour 2022 (art. 12), ne couvre que les dépenses payées entre le 1er janvier 2023 et le 31 décembre 2025, sur un devis accepté à compter du 5 novembre 2022, pour un logement passant d'une classe E, F ou G à une classe A, B, C ou D justifiée au plus tard le 31 décembre 2027. Une prorogation de la période de paiement jusqu'en 2027 est annoncée par la presse fiscale, mais ni le code ni la doctrine ne la portent à ce jour : le classeur retient la règle stricte. Une dépense payée en 2026 n'ouvre donc plus droit au plafond majoré, et l'option des Hypothèses ne se met sur Oui que pour un dossier qui remplit encore les conditions.</t>
  </si>
  <si>
    <t>Plafond de bénéfice au taux réduit d'IS</t>
  </si>
  <si>
    <t>42 500 € par période de douze mois (CGI art. 219 I b) ; l'amendement à 100 000 € discuté au PLF 2026 n'a pas été retenu selon les sources consultées (Compta Online 2026, Legifiscal 03/11/2025). À revérifier à chaque loi de finances.</t>
  </si>
  <si>
    <t>Surtaxe sur les plus-values élevées maintenue</t>
  </si>
  <si>
    <t>Une suppression de la taxe de l'article 1609 nonies G a été discutée lors des débats budgétaires pour 2026 sans être retenue dans le texte promulgué : l'article est toujours en vigueur dans sa version du 1er janvier 2024, et Legifrance ne porte aucune version postérieure. Le classeur l'applique, ce qui est l'hypothèse la plus lourde pour le contribuable et la plus prudente pour un arbitrage entre régimes. Si le dispositif était supprimé, mettez à zéro les taux et les coefficients de lissage du barème de Paramètres : rien d'autre n'est à toucher. Le classeur borne par ailleurs la taxe à zéro, pour qu'un barème mal ressaisi ne puisse jamais venir en diminution de l'impôt de sortie.</t>
  </si>
  <si>
    <t xml:space="preserve">  SOURCES</t>
  </si>
  <si>
    <t>Barème de l'impôt sur le revenu (TMI)</t>
  </si>
  <si>
    <t>CGI art. 197, barème de la LF 2026 (loi n° 2026-103 du 19/02/2026) : 11 % à partir de 11 600 €, 30 % de 29 579 €, 41 % de 84 577 €, 45 % de 181 917 € par part.</t>
  </si>
  <si>
    <t>Déficit foncier</t>
  </si>
  <si>
    <t>CGI art. 156, I-3° ; BOFiP BOI-RFPI-BASE-30-20 (fraction issue des intérêts, et conditions du plafond majoré) ; plafond majoré institué par la loi n° 2022-1499 du 01/12/2022 de finances rectificative pour 2022, art. 12, précisé par le décret n° 2023-297 du 21/04/2023 et codifié au CGI annexe III, art. 41 DO (dépenses payées du 01/01/2023 au 31/12/2025).</t>
  </si>
  <si>
    <t>Amortissement LMNP et reports</t>
  </si>
  <si>
    <t>CGI art. 39 C, II ; BOFiP BOI-BIC-AMT-20-40-10-40 (tableau de suivi des amortissements différés) ; CGI art. 156, I-1° ter (déficit BIC non professionnel).</t>
  </si>
  <si>
    <t>Plus-value et LMNP</t>
  </si>
  <si>
    <t>Loi n° 2025-127 du 14/02/2025, art. 84 ; CGI art. 150 VB, III ; GMU Notaires, « Vente en LMNP et PVI », 10/04/2026 ; lmnp.ai, « Plus-value LMNP 2026 » ; AUREP.</t>
  </si>
  <si>
    <t>Forfait de frais d'acquisition et mode d'acquisition</t>
  </si>
  <si>
    <t>CGI art. 150 VB, II-3° ; BOFiP BOI-RFPI-PVI-20-10-20-20 : le forfait de 7,5 % est réservé aux acquisitions à titre onéreux, un bien reçu par succession ou par donation étant retenu pour ses frais réels.</t>
  </si>
  <si>
    <t>CGI art. 1609 nonies G, version en vigueur depuis le 01/01/2024 (LF 2024, loi n° 2023-1322 du 29/12/2023, art. 9), non abrogée ; BOFiP BOI-RFPI-TPVIE-10 (champ d'application, exclusion des personnes morales à l'IS au § 40, exclusion des terrains à bâtir) et BOI-RFPI-TPVIE-20 (assiette après abattement pour durée de détention, barème, appréciation du seuil de 50 000 €).</t>
  </si>
  <si>
    <t>CGI art. 206, 209 I, 219 I, 200 A, 117 quater ; Code de commerce art. L232-11 ; Compta Online, « Taux IS 2026 ».</t>
  </si>
  <si>
    <t>CFE des loueurs en meublé</t>
  </si>
  <si>
    <t>CGI art. 1447 et 1647 D ; décret n° 2025-547 du 17/06/2025 ; LMNP.ai, Foncia, « CFE location meublée 2026 ».</t>
  </si>
  <si>
    <t>Honoraires comptables</t>
  </si>
  <si>
    <t>jedeclaremonmeuble.com et decla.fr, « Prix comptable LMNP 2026 » ; Hayot Expertise, « Prix expert-comptable SCI 2026 », 19/05/2026.</t>
  </si>
  <si>
    <t>Taux de crédit et assurance</t>
  </si>
  <si>
    <t>Observatoire Crédit Logement / CSA, analyse du marché du mois d'août 2026, lobservatoire.creditlogement.fr ; baromètres pretclair.fr et covelia.fr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</si>
</sst>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
    <numFmt numFmtId="165" formatCode="0&quot; ans&quot;"/>
    <numFmt numFmtId="166" formatCode="#,##0.00&quot; €&quot;"/>
    <numFmt numFmtId="168" formatCode="dd/mm/yyyy;@"/>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sz val="10"/>
      <color rgb="FF1F2937"/>
      <name val="Calibri"/>
    </font>
    <font>
      <sz val="10"/>
      <color rgb="FF0E1A33"/>
      <name val="Calibri"/>
    </font>
    <font>
      <b/>
      <sz val="10"/>
      <color rgb="FF0E1A33"/>
      <name val="Calibri"/>
    </font>
    <font>
      <b/>
      <sz val="14"/>
      <color rgb="FF0E1A33"/>
      <name val="Calibri"/>
    </font>
    <font>
      <i/>
      <sz val="8"/>
      <color rgb="FF6B7280"/>
      <name val="Calibri"/>
    </font>
    <font>
      <b/>
      <sz val="12"/>
      <color rgb="FF0E1A33"/>
      <name val="Calibri"/>
    </font>
  </fonts>
  <fills count="6">
    <fill>
      <patternFill patternType="none"/>
    </fill>
    <fill>
      <patternFill patternType="gray125"/>
    </fill>
    <fill>
      <patternFill patternType="solid">
        <fgColor rgb="FF0E1A33"/>
      </patternFill>
    </fill>
    <fill>
      <patternFill patternType="solid">
        <fgColor rgb="FFE8F0FE"/>
      </patternFill>
    </fill>
    <fill>
      <patternFill patternType="solid">
        <fgColor rgb="FFF5F9FF"/>
      </patternFill>
    </fill>
    <fill>
      <patternFill patternType="solid">
        <fgColor rgb="FFFFFF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0" fontId="7" fillId="0" borderId="0" xfId="0" applyFont="1" applyAlignment="1">
      <alignment horizontal="left" vertical="center"/>
    </xf>
    <xf numFmtId="164" fontId="7" fillId="4" borderId="1" xfId="0" applyNumberFormat="1" applyFont="1" applyFill="1" applyBorder="1" applyAlignment="1">
      <alignment horizontal="right" vertical="center"/>
    </xf>
    <xf numFmtId="0" fontId="7" fillId="0" borderId="1" xfId="0" applyFont="1" applyBorder="1" applyAlignment="1">
      <alignment horizontal="center" vertical="center"/>
    </xf>
    <xf numFmtId="10" fontId="6" fillId="3" borderId="1" xfId="0" applyNumberFormat="1" applyFont="1" applyFill="1" applyBorder="1" applyAlignment="1" applyProtection="1">
      <alignment horizontal="right" vertical="center"/>
      <protection locked="0"/>
    </xf>
    <xf numFmtId="164" fontId="5" fillId="5" borderId="0" xfId="0" applyNumberFormat="1" applyFont="1" applyFill="1" applyAlignment="1">
      <alignment horizontal="right" vertical="center"/>
    </xf>
    <xf numFmtId="165" fontId="6" fillId="3" borderId="1" xfId="0" applyNumberFormat="1" applyFont="1" applyFill="1" applyBorder="1" applyAlignment="1" applyProtection="1">
      <alignment horizontal="right" vertical="center"/>
      <protection locked="0"/>
    </xf>
    <xf numFmtId="166" fontId="5" fillId="5" borderId="0" xfId="0" applyNumberFormat="1" applyFont="1" applyFill="1" applyAlignment="1">
      <alignment horizontal="right" vertical="center"/>
    </xf>
    <xf numFmtId="165" fontId="5" fillId="5" borderId="0" xfId="0" applyNumberFormat="1" applyFont="1" applyFill="1" applyAlignment="1">
      <alignment horizontal="right" vertical="center"/>
    </xf>
    <xf numFmtId="49" fontId="8" fillId="4" borderId="1" xfId="0" applyNumberFormat="1" applyFont="1" applyFill="1" applyBorder="1" applyAlignment="1">
      <alignment horizontal="left" vertical="center"/>
    </xf>
    <xf numFmtId="0" fontId="1" fillId="2" borderId="0" xfId="0" applyFont="1" applyFill="1" applyAlignment="1">
      <alignment horizontal="center" vertical="center" wrapText="1"/>
    </xf>
    <xf numFmtId="49" fontId="5" fillId="5" borderId="0" xfId="0" applyNumberFormat="1" applyFont="1" applyFill="1" applyAlignment="1">
      <alignment horizontal="center" vertical="center"/>
    </xf>
    <xf numFmtId="0" fontId="4" fillId="0" borderId="0" xfId="0" applyFont="1" applyAlignment="1">
      <alignment horizontal="left" vertical="top" wrapText="1"/>
    </xf>
    <xf numFmtId="10" fontId="7" fillId="4" borderId="1" xfId="0" applyNumberFormat="1" applyFont="1" applyFill="1" applyBorder="1" applyAlignment="1">
      <alignment horizontal="right" vertical="center"/>
    </xf>
    <xf numFmtId="3" fontId="5" fillId="5" borderId="0" xfId="0" applyNumberFormat="1" applyFont="1" applyFill="1" applyAlignment="1">
      <alignment horizontal="right" vertical="center"/>
    </xf>
    <xf numFmtId="3" fontId="1" fillId="2" borderId="0" xfId="0" applyNumberFormat="1" applyFont="1" applyFill="1" applyAlignment="1">
      <alignment horizontal="center" vertical="center" wrapText="1"/>
    </xf>
    <xf numFmtId="10" fontId="5" fillId="5" borderId="0" xfId="0" applyNumberFormat="1" applyFont="1" applyFill="1" applyAlignment="1">
      <alignment horizontal="right" vertical="center"/>
    </xf>
    <xf numFmtId="0" fontId="5" fillId="0" borderId="0" xfId="0" applyFont="1"/>
    <xf numFmtId="165" fontId="5" fillId="0" borderId="0" xfId="0" applyNumberFormat="1" applyFont="1" applyAlignment="1">
      <alignment horizontal="right" vertical="center"/>
    </xf>
    <xf numFmtId="2" fontId="6" fillId="3" borderId="1" xfId="0" applyNumberFormat="1" applyFont="1" applyFill="1" applyBorder="1" applyAlignment="1" applyProtection="1">
      <alignment horizontal="right" vertical="center"/>
      <protection locked="0"/>
    </xf>
    <xf numFmtId="168" fontId="6" fillId="3" borderId="1" xfId="0" applyNumberFormat="1" applyFont="1" applyFill="1" applyBorder="1" applyAlignment="1" applyProtection="1">
      <alignment horizontal="right" vertical="center"/>
      <protection locked="0"/>
    </xf>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0" fillId="0" borderId="0" xfId="0"/>
    <xf numFmtId="0" fontId="9" fillId="0" borderId="0" xfId="0" applyFont="1" applyAlignment="1">
      <alignment horizontal="left" vertical="top" wrapText="1"/>
    </xf>
    <xf numFmtId="0" fontId="1" fillId="2" borderId="0" xfId="0" applyFont="1" applyFill="1" applyAlignment="1">
      <alignment horizontal="left" vertical="center" wrapText="1"/>
    </xf>
    <xf numFmtId="0" fontId="10" fillId="0" borderId="0" xfId="0" applyFont="1" applyAlignment="1">
      <alignment horizontal="center" vertical="center" wrapText="1"/>
    </xf>
    <xf numFmtId="0" fontId="7" fillId="0" borderId="0" xfId="0" applyFont="1" applyAlignment="1">
      <alignment horizontal="left" vertical="top" wrapText="1"/>
    </xf>
  </cellXfs>
  <cellStyles count="1">
    <cellStyle name="Normal" xfId="0" builtinId="0"/>
  </cellStyles>
  <dxfs count="17">
    <dxf>
      <font>
        <sz val="10"/>
        <color rgb="FFB0B7C3"/>
        <name val="Calibri"/>
      </font>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4"/>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43.5" customHeight="1" x14ac:dyDescent="0.35">
      <c r="B7" s="35" t="s">
        <v>4</v>
      </c>
      <c r="C7" s="36"/>
      <c r="D7" s="36"/>
      <c r="E7" s="36"/>
    </row>
    <row r="8" spans="2:6" ht="57" customHeight="1" x14ac:dyDescent="0.35">
      <c r="B8" s="35" t="s">
        <v>5</v>
      </c>
      <c r="C8" s="36"/>
      <c r="D8" s="36"/>
      <c r="E8" s="36"/>
    </row>
    <row r="9" spans="2:6" ht="16.5" customHeight="1" x14ac:dyDescent="0.35">
      <c r="B9" s="35" t="s">
        <v>6</v>
      </c>
      <c r="C9" s="36"/>
      <c r="D9" s="36"/>
      <c r="E9" s="36"/>
    </row>
    <row r="10" spans="2:6" ht="18" customHeight="1" x14ac:dyDescent="0.35">
      <c r="B10" s="5" t="s">
        <v>7</v>
      </c>
      <c r="C10" s="38" t="s">
        <v>8</v>
      </c>
      <c r="D10" s="36"/>
      <c r="E10" s="36"/>
    </row>
    <row r="11" spans="2:6" ht="16.5" customHeight="1" x14ac:dyDescent="0.35">
      <c r="B11" s="6" t="s">
        <v>9</v>
      </c>
      <c r="C11" s="33" t="s">
        <v>10</v>
      </c>
      <c r="D11" s="34"/>
      <c r="E11" s="34"/>
    </row>
    <row r="12" spans="2:6" ht="16.5" customHeight="1" x14ac:dyDescent="0.35">
      <c r="B12" s="6" t="s">
        <v>11</v>
      </c>
      <c r="C12" s="33" t="s">
        <v>12</v>
      </c>
      <c r="D12" s="34"/>
      <c r="E12" s="34"/>
    </row>
    <row r="13" spans="2:6" ht="16.5" customHeight="1" x14ac:dyDescent="0.35">
      <c r="B13" s="6" t="s">
        <v>13</v>
      </c>
      <c r="C13" s="33" t="s">
        <v>14</v>
      </c>
      <c r="D13" s="34"/>
      <c r="E13" s="34"/>
    </row>
    <row r="14" spans="2:6" ht="43.5" customHeight="1" x14ac:dyDescent="0.35">
      <c r="B14" s="6" t="s">
        <v>15</v>
      </c>
      <c r="C14" s="33" t="s">
        <v>16</v>
      </c>
      <c r="D14" s="34"/>
      <c r="E14" s="34"/>
    </row>
    <row r="15" spans="2:6" ht="16.5" customHeight="1" x14ac:dyDescent="0.35">
      <c r="B15" s="6" t="s">
        <v>17</v>
      </c>
      <c r="C15" s="33" t="s">
        <v>18</v>
      </c>
      <c r="D15" s="34"/>
      <c r="E15" s="34"/>
    </row>
    <row r="17" spans="2:5" ht="18" customHeight="1" x14ac:dyDescent="0.35">
      <c r="B17" s="1" t="s">
        <v>19</v>
      </c>
      <c r="C17" s="1"/>
      <c r="D17" s="1"/>
      <c r="E17" s="1"/>
    </row>
    <row r="18" spans="2:5" ht="28" customHeight="1" x14ac:dyDescent="0.35">
      <c r="B18" s="39" t="s">
        <v>20</v>
      </c>
      <c r="C18" s="36"/>
      <c r="D18" s="36"/>
      <c r="E18" s="36"/>
    </row>
    <row r="20" spans="2:5" ht="18" customHeight="1" x14ac:dyDescent="0.35">
      <c r="B20" s="1" t="s">
        <v>21</v>
      </c>
      <c r="C20" s="1"/>
      <c r="D20" s="1"/>
      <c r="E20" s="1"/>
    </row>
    <row r="21" spans="2:5" ht="18" customHeight="1" x14ac:dyDescent="0.35">
      <c r="B21" s="5" t="s">
        <v>22</v>
      </c>
      <c r="C21" s="5" t="s">
        <v>23</v>
      </c>
      <c r="D21" s="38" t="s">
        <v>24</v>
      </c>
      <c r="E21" s="36"/>
    </row>
    <row r="22" spans="2:5" ht="30" customHeight="1" x14ac:dyDescent="0.35">
      <c r="B22" s="6" t="s">
        <v>1</v>
      </c>
      <c r="C22" s="7" t="s">
        <v>25</v>
      </c>
      <c r="D22" s="33" t="s">
        <v>26</v>
      </c>
      <c r="E22" s="34"/>
    </row>
    <row r="23" spans="2:5" ht="84" customHeight="1" x14ac:dyDescent="0.35">
      <c r="B23" s="6" t="s">
        <v>27</v>
      </c>
      <c r="C23" s="7" t="s">
        <v>28</v>
      </c>
      <c r="D23" s="33" t="s">
        <v>29</v>
      </c>
      <c r="E23" s="34"/>
    </row>
    <row r="24" spans="2:5" ht="30" customHeight="1" x14ac:dyDescent="0.35">
      <c r="B24" s="6" t="s">
        <v>30</v>
      </c>
      <c r="C24" s="7" t="s">
        <v>31</v>
      </c>
      <c r="D24" s="33" t="s">
        <v>32</v>
      </c>
      <c r="E24" s="34"/>
    </row>
    <row r="25" spans="2:5" ht="43.5" customHeight="1" x14ac:dyDescent="0.35">
      <c r="B25" s="6" t="s">
        <v>33</v>
      </c>
      <c r="C25" s="7" t="s">
        <v>31</v>
      </c>
      <c r="D25" s="33" t="s">
        <v>34</v>
      </c>
      <c r="E25" s="34"/>
    </row>
    <row r="26" spans="2:5" ht="43.5" customHeight="1" x14ac:dyDescent="0.35">
      <c r="B26" s="6" t="s">
        <v>35</v>
      </c>
      <c r="C26" s="7" t="s">
        <v>36</v>
      </c>
      <c r="D26" s="33" t="s">
        <v>37</v>
      </c>
      <c r="E26" s="34"/>
    </row>
    <row r="27" spans="2:5" ht="16.5" customHeight="1" x14ac:dyDescent="0.35">
      <c r="B27" s="6" t="s">
        <v>38</v>
      </c>
      <c r="C27" s="7" t="s">
        <v>31</v>
      </c>
      <c r="D27" s="33" t="s">
        <v>39</v>
      </c>
      <c r="E27" s="34"/>
    </row>
    <row r="29" spans="2:5" ht="18" customHeight="1" x14ac:dyDescent="0.35">
      <c r="B29" s="1" t="s">
        <v>40</v>
      </c>
      <c r="C29" s="1"/>
      <c r="D29" s="1"/>
      <c r="E29" s="1"/>
    </row>
    <row r="30" spans="2:5" ht="18" customHeight="1" x14ac:dyDescent="0.35">
      <c r="B30" s="5" t="s">
        <v>41</v>
      </c>
      <c r="C30" s="5" t="s">
        <v>42</v>
      </c>
      <c r="D30" s="38" t="s">
        <v>43</v>
      </c>
      <c r="E30" s="36"/>
    </row>
    <row r="31" spans="2:5" ht="16.5" customHeight="1" x14ac:dyDescent="0.35">
      <c r="B31" s="6" t="s">
        <v>44</v>
      </c>
      <c r="C31" s="7" t="s">
        <v>45</v>
      </c>
      <c r="D31" s="33" t="s">
        <v>46</v>
      </c>
      <c r="E31" s="34"/>
    </row>
    <row r="32" spans="2:5" ht="16.5" customHeight="1" x14ac:dyDescent="0.35">
      <c r="B32" s="6" t="s">
        <v>47</v>
      </c>
      <c r="C32" s="7" t="s">
        <v>48</v>
      </c>
      <c r="D32" s="33" t="s">
        <v>49</v>
      </c>
      <c r="E32" s="34"/>
    </row>
    <row r="33" spans="2:5" ht="30" customHeight="1" x14ac:dyDescent="0.35">
      <c r="B33" s="6" t="s">
        <v>50</v>
      </c>
      <c r="C33" s="7" t="s">
        <v>51</v>
      </c>
      <c r="D33" s="33" t="s">
        <v>52</v>
      </c>
      <c r="E33" s="34"/>
    </row>
    <row r="34" spans="2:5" ht="30" customHeight="1" x14ac:dyDescent="0.35">
      <c r="B34" s="6" t="s">
        <v>53</v>
      </c>
      <c r="C34" s="7" t="s">
        <v>54</v>
      </c>
      <c r="D34" s="33" t="s">
        <v>55</v>
      </c>
      <c r="E34" s="34"/>
    </row>
    <row r="35" spans="2:5" ht="30" customHeight="1" x14ac:dyDescent="0.35">
      <c r="B35" s="6" t="s">
        <v>56</v>
      </c>
      <c r="C35" s="7" t="s">
        <v>57</v>
      </c>
      <c r="D35" s="33" t="s">
        <v>58</v>
      </c>
      <c r="E35" s="34"/>
    </row>
    <row r="36" spans="2:5" ht="43.5" customHeight="1" x14ac:dyDescent="0.35">
      <c r="B36" s="6" t="s">
        <v>59</v>
      </c>
      <c r="C36" s="7" t="s">
        <v>60</v>
      </c>
      <c r="D36" s="33" t="s">
        <v>61</v>
      </c>
      <c r="E36" s="34"/>
    </row>
    <row r="37" spans="2:5" ht="30" customHeight="1" x14ac:dyDescent="0.35">
      <c r="B37" s="35" t="s">
        <v>62</v>
      </c>
      <c r="C37" s="36"/>
      <c r="D37" s="36"/>
      <c r="E37" s="36"/>
    </row>
    <row r="39" spans="2:5" ht="18" customHeight="1" x14ac:dyDescent="0.35">
      <c r="B39" s="1" t="s">
        <v>63</v>
      </c>
      <c r="C39" s="1"/>
      <c r="D39" s="1"/>
      <c r="E39" s="1"/>
    </row>
    <row r="40" spans="2:5" ht="18" customHeight="1" x14ac:dyDescent="0.35">
      <c r="B40" s="5" t="s">
        <v>64</v>
      </c>
      <c r="C40" s="5" t="s">
        <v>65</v>
      </c>
      <c r="D40" s="5" t="s">
        <v>43</v>
      </c>
      <c r="E40" s="5" t="s">
        <v>66</v>
      </c>
    </row>
    <row r="41" spans="2:5" ht="219" customHeight="1" x14ac:dyDescent="0.35">
      <c r="B41" s="6" t="s">
        <v>67</v>
      </c>
      <c r="C41" s="7" t="s">
        <v>68</v>
      </c>
      <c r="D41" s="7" t="s">
        <v>69</v>
      </c>
      <c r="E41" s="7" t="s">
        <v>70</v>
      </c>
    </row>
    <row r="42" spans="2:5" ht="84" customHeight="1" x14ac:dyDescent="0.35">
      <c r="B42" s="6" t="s">
        <v>71</v>
      </c>
      <c r="C42" s="7" t="s">
        <v>72</v>
      </c>
      <c r="D42" s="7" t="s">
        <v>73</v>
      </c>
      <c r="E42" s="7" t="s">
        <v>74</v>
      </c>
    </row>
    <row r="43" spans="2:5" ht="57" customHeight="1" x14ac:dyDescent="0.35">
      <c r="B43" s="6" t="s">
        <v>75</v>
      </c>
      <c r="C43" s="7" t="s">
        <v>76</v>
      </c>
      <c r="D43" s="7" t="s">
        <v>77</v>
      </c>
      <c r="E43" s="7" t="s">
        <v>78</v>
      </c>
    </row>
    <row r="44" spans="2:5" ht="70.5" customHeight="1" x14ac:dyDescent="0.35">
      <c r="B44" s="6" t="s">
        <v>79</v>
      </c>
      <c r="C44" s="7" t="s">
        <v>80</v>
      </c>
      <c r="D44" s="7" t="s">
        <v>81</v>
      </c>
      <c r="E44" s="7" t="s">
        <v>82</v>
      </c>
    </row>
    <row r="45" spans="2:5" ht="57" customHeight="1" x14ac:dyDescent="0.35">
      <c r="B45" s="6" t="s">
        <v>83</v>
      </c>
      <c r="C45" s="7" t="s">
        <v>84</v>
      </c>
      <c r="D45" s="7" t="s">
        <v>85</v>
      </c>
      <c r="E45" s="7" t="s">
        <v>86</v>
      </c>
    </row>
    <row r="46" spans="2:5" ht="70.5" customHeight="1" x14ac:dyDescent="0.35">
      <c r="B46" s="6" t="s">
        <v>87</v>
      </c>
      <c r="C46" s="7" t="s">
        <v>88</v>
      </c>
      <c r="D46" s="7" t="s">
        <v>89</v>
      </c>
      <c r="E46" s="7" t="s">
        <v>90</v>
      </c>
    </row>
    <row r="47" spans="2:5" ht="57" customHeight="1" x14ac:dyDescent="0.35">
      <c r="B47" s="6" t="s">
        <v>91</v>
      </c>
      <c r="C47" s="7" t="s">
        <v>92</v>
      </c>
      <c r="D47" s="7" t="s">
        <v>93</v>
      </c>
      <c r="E47" s="7" t="s">
        <v>94</v>
      </c>
    </row>
    <row r="48" spans="2:5" ht="57" customHeight="1" x14ac:dyDescent="0.35">
      <c r="B48" s="6" t="s">
        <v>95</v>
      </c>
      <c r="C48" s="7" t="s">
        <v>96</v>
      </c>
      <c r="D48" s="7" t="s">
        <v>97</v>
      </c>
      <c r="E48" s="7" t="s">
        <v>98</v>
      </c>
    </row>
    <row r="49" spans="2:5" ht="70.5" customHeight="1" x14ac:dyDescent="0.35">
      <c r="B49" s="6" t="s">
        <v>99</v>
      </c>
      <c r="C49" s="7" t="s">
        <v>100</v>
      </c>
      <c r="D49" s="7" t="s">
        <v>101</v>
      </c>
      <c r="E49" s="7" t="s">
        <v>102</v>
      </c>
    </row>
    <row r="51" spans="2:5" ht="18" customHeight="1" x14ac:dyDescent="0.35">
      <c r="B51" s="1" t="s">
        <v>103</v>
      </c>
      <c r="C51" s="1"/>
      <c r="D51" s="1"/>
      <c r="E51" s="1"/>
    </row>
    <row r="52" spans="2:5" ht="84" customHeight="1" x14ac:dyDescent="0.35">
      <c r="B52" s="35" t="s">
        <v>104</v>
      </c>
      <c r="C52" s="36"/>
      <c r="D52" s="36"/>
      <c r="E52" s="36"/>
    </row>
    <row r="53" spans="2:5" ht="57" customHeight="1" x14ac:dyDescent="0.35">
      <c r="B53" s="35" t="s">
        <v>105</v>
      </c>
      <c r="C53" s="36"/>
      <c r="D53" s="36"/>
      <c r="E53" s="36"/>
    </row>
    <row r="54" spans="2:5" ht="30" customHeight="1" x14ac:dyDescent="0.35">
      <c r="B54" s="35" t="s">
        <v>106</v>
      </c>
      <c r="C54" s="36"/>
      <c r="D54" s="36"/>
      <c r="E54" s="36"/>
    </row>
    <row r="55" spans="2:5" ht="57" customHeight="1" x14ac:dyDescent="0.35">
      <c r="B55" s="35" t="s">
        <v>107</v>
      </c>
      <c r="C55" s="36"/>
      <c r="D55" s="36"/>
      <c r="E55" s="36"/>
    </row>
    <row r="56" spans="2:5" ht="57" customHeight="1" x14ac:dyDescent="0.35">
      <c r="B56" s="35" t="s">
        <v>108</v>
      </c>
      <c r="C56" s="36"/>
      <c r="D56" s="36"/>
      <c r="E56" s="36"/>
    </row>
    <row r="57" spans="2:5" ht="43.5" customHeight="1" x14ac:dyDescent="0.35">
      <c r="B57" s="35" t="s">
        <v>109</v>
      </c>
      <c r="C57" s="36"/>
      <c r="D57" s="36"/>
      <c r="E57" s="36"/>
    </row>
    <row r="58" spans="2:5" ht="43.5" customHeight="1" x14ac:dyDescent="0.35">
      <c r="B58" s="35" t="s">
        <v>110</v>
      </c>
      <c r="C58" s="36"/>
      <c r="D58" s="36"/>
      <c r="E58" s="36"/>
    </row>
    <row r="60" spans="2:5" ht="18" customHeight="1" x14ac:dyDescent="0.35">
      <c r="B60" s="1" t="s">
        <v>111</v>
      </c>
      <c r="C60" s="1"/>
      <c r="D60" s="1"/>
      <c r="E60" s="1"/>
    </row>
    <row r="61" spans="2:5" ht="18" customHeight="1" x14ac:dyDescent="0.35">
      <c r="B61" s="5" t="s">
        <v>112</v>
      </c>
      <c r="C61" s="5" t="s">
        <v>113</v>
      </c>
      <c r="D61" s="5" t="s">
        <v>114</v>
      </c>
      <c r="E61" s="5" t="s">
        <v>115</v>
      </c>
    </row>
    <row r="62" spans="2:5" ht="57" customHeight="1" x14ac:dyDescent="0.35">
      <c r="B62" s="6" t="s">
        <v>116</v>
      </c>
      <c r="C62" s="7" t="s">
        <v>117</v>
      </c>
      <c r="D62" s="7" t="s">
        <v>118</v>
      </c>
      <c r="E62" s="7" t="s">
        <v>119</v>
      </c>
    </row>
    <row r="63" spans="2:5" ht="57" customHeight="1" x14ac:dyDescent="0.35">
      <c r="B63" s="6" t="s">
        <v>120</v>
      </c>
      <c r="C63" s="7" t="s">
        <v>121</v>
      </c>
      <c r="D63" s="7" t="s">
        <v>122</v>
      </c>
      <c r="E63" s="7" t="s">
        <v>123</v>
      </c>
    </row>
    <row r="64" spans="2:5" ht="30" customHeight="1" x14ac:dyDescent="0.35">
      <c r="B64" s="6" t="s">
        <v>124</v>
      </c>
      <c r="C64" s="7" t="s">
        <v>125</v>
      </c>
      <c r="D64" s="7" t="s">
        <v>126</v>
      </c>
      <c r="E64" s="7" t="s">
        <v>127</v>
      </c>
    </row>
    <row r="65" spans="2:5" ht="30" customHeight="1" x14ac:dyDescent="0.35">
      <c r="B65" s="6" t="s">
        <v>128</v>
      </c>
      <c r="C65" s="7" t="s">
        <v>129</v>
      </c>
      <c r="D65" s="7" t="s">
        <v>130</v>
      </c>
      <c r="E65" s="7" t="s">
        <v>131</v>
      </c>
    </row>
    <row r="66" spans="2:5" ht="70.5" customHeight="1" x14ac:dyDescent="0.35">
      <c r="B66" s="6" t="s">
        <v>132</v>
      </c>
      <c r="C66" s="7" t="s">
        <v>133</v>
      </c>
      <c r="D66" s="7" t="s">
        <v>134</v>
      </c>
      <c r="E66" s="7" t="s">
        <v>135</v>
      </c>
    </row>
    <row r="67" spans="2:5" ht="30" customHeight="1" x14ac:dyDescent="0.35">
      <c r="B67" s="6" t="s">
        <v>136</v>
      </c>
      <c r="C67" s="7" t="s">
        <v>137</v>
      </c>
      <c r="D67" s="7" t="s">
        <v>138</v>
      </c>
      <c r="E67" s="7" t="s">
        <v>139</v>
      </c>
    </row>
    <row r="69" spans="2:5" ht="18" customHeight="1" x14ac:dyDescent="0.35">
      <c r="B69" s="1" t="s">
        <v>140</v>
      </c>
      <c r="C69" s="1"/>
      <c r="D69" s="1"/>
      <c r="E69" s="1"/>
    </row>
    <row r="70" spans="2:5" ht="43.5" customHeight="1" x14ac:dyDescent="0.35">
      <c r="B70" s="35" t="s">
        <v>141</v>
      </c>
      <c r="C70" s="36"/>
      <c r="D70" s="36"/>
      <c r="E70" s="36"/>
    </row>
    <row r="71" spans="2:5" ht="30" customHeight="1" x14ac:dyDescent="0.35">
      <c r="B71" s="35" t="s">
        <v>142</v>
      </c>
      <c r="C71" s="36"/>
      <c r="D71" s="36"/>
      <c r="E71" s="36"/>
    </row>
    <row r="72" spans="2:5" ht="18" customHeight="1" x14ac:dyDescent="0.35">
      <c r="B72" s="5" t="s">
        <v>143</v>
      </c>
      <c r="C72" s="5" t="s">
        <v>144</v>
      </c>
      <c r="D72" s="5" t="s">
        <v>145</v>
      </c>
      <c r="E72" s="5" t="s">
        <v>146</v>
      </c>
    </row>
    <row r="73" spans="2:5" ht="30" customHeight="1" x14ac:dyDescent="0.35">
      <c r="B73" s="6" t="s">
        <v>147</v>
      </c>
      <c r="C73" s="7" t="s">
        <v>148</v>
      </c>
      <c r="D73" s="7" t="s">
        <v>149</v>
      </c>
      <c r="E73" s="7" t="s">
        <v>150</v>
      </c>
    </row>
    <row r="74" spans="2:5" ht="57" customHeight="1" x14ac:dyDescent="0.35">
      <c r="B74" s="6" t="s">
        <v>151</v>
      </c>
      <c r="C74" s="7" t="s">
        <v>152</v>
      </c>
      <c r="D74" s="7" t="s">
        <v>153</v>
      </c>
      <c r="E74" s="7" t="s">
        <v>154</v>
      </c>
    </row>
    <row r="75" spans="2:5" ht="30" customHeight="1" x14ac:dyDescent="0.35">
      <c r="B75" s="6" t="s">
        <v>155</v>
      </c>
      <c r="C75" s="7" t="s">
        <v>156</v>
      </c>
      <c r="D75" s="7" t="s">
        <v>157</v>
      </c>
      <c r="E75" s="7" t="s">
        <v>158</v>
      </c>
    </row>
    <row r="76" spans="2:5" ht="57" customHeight="1" x14ac:dyDescent="0.35">
      <c r="B76" s="6" t="s">
        <v>159</v>
      </c>
      <c r="C76" s="7" t="s">
        <v>160</v>
      </c>
      <c r="D76" s="7" t="s">
        <v>161</v>
      </c>
      <c r="E76" s="7" t="s">
        <v>162</v>
      </c>
    </row>
    <row r="77" spans="2:5" ht="30" customHeight="1" x14ac:dyDescent="0.35">
      <c r="B77" s="6" t="s">
        <v>163</v>
      </c>
      <c r="C77" s="7" t="s">
        <v>164</v>
      </c>
      <c r="D77" s="7" t="s">
        <v>165</v>
      </c>
      <c r="E77" s="7" t="s">
        <v>166</v>
      </c>
    </row>
    <row r="78" spans="2:5" ht="16.5" customHeight="1" x14ac:dyDescent="0.35">
      <c r="B78" s="6" t="s">
        <v>167</v>
      </c>
      <c r="C78" s="7" t="s">
        <v>168</v>
      </c>
      <c r="D78" s="7" t="s">
        <v>161</v>
      </c>
      <c r="E78" s="7" t="s">
        <v>169</v>
      </c>
    </row>
    <row r="79" spans="2:5" ht="16.5" customHeight="1" x14ac:dyDescent="0.35">
      <c r="B79" s="6" t="s">
        <v>170</v>
      </c>
      <c r="C79" s="7" t="s">
        <v>171</v>
      </c>
      <c r="D79" s="7" t="s">
        <v>172</v>
      </c>
      <c r="E79" s="7" t="s">
        <v>173</v>
      </c>
    </row>
    <row r="80" spans="2:5" ht="57" customHeight="1" x14ac:dyDescent="0.35">
      <c r="B80" s="6" t="s">
        <v>174</v>
      </c>
      <c r="C80" s="7" t="s">
        <v>175</v>
      </c>
      <c r="D80" s="7" t="s">
        <v>176</v>
      </c>
      <c r="E80" s="7" t="s">
        <v>177</v>
      </c>
    </row>
    <row r="81" spans="2:5" ht="43.5" customHeight="1" x14ac:dyDescent="0.35">
      <c r="B81" s="6" t="s">
        <v>178</v>
      </c>
      <c r="C81" s="7" t="s">
        <v>179</v>
      </c>
      <c r="D81" s="7" t="s">
        <v>180</v>
      </c>
      <c r="E81" s="7" t="s">
        <v>181</v>
      </c>
    </row>
    <row r="82" spans="2:5" ht="97.5" customHeight="1" x14ac:dyDescent="0.35">
      <c r="B82" s="6" t="s">
        <v>182</v>
      </c>
      <c r="C82" s="7" t="s">
        <v>183</v>
      </c>
      <c r="D82" s="7" t="s">
        <v>184</v>
      </c>
      <c r="E82" s="7" t="s">
        <v>185</v>
      </c>
    </row>
    <row r="84" spans="2:5" ht="18" customHeight="1" x14ac:dyDescent="0.35">
      <c r="B84" s="1" t="s">
        <v>186</v>
      </c>
      <c r="C84" s="1"/>
      <c r="D84" s="1"/>
      <c r="E84" s="1"/>
    </row>
    <row r="85" spans="2:5" ht="18" customHeight="1" x14ac:dyDescent="0.35">
      <c r="B85" s="5" t="s">
        <v>187</v>
      </c>
      <c r="C85" s="38" t="s">
        <v>43</v>
      </c>
      <c r="D85" s="36"/>
      <c r="E85" s="36"/>
    </row>
    <row r="86" spans="2:5" ht="30" customHeight="1" x14ac:dyDescent="0.35">
      <c r="B86" s="6" t="s">
        <v>188</v>
      </c>
      <c r="C86" s="33" t="s">
        <v>189</v>
      </c>
      <c r="D86" s="34"/>
      <c r="E86" s="34"/>
    </row>
    <row r="87" spans="2:5" ht="43.5" customHeight="1" x14ac:dyDescent="0.35">
      <c r="B87" s="6" t="s">
        <v>190</v>
      </c>
      <c r="C87" s="33" t="s">
        <v>191</v>
      </c>
      <c r="D87" s="34"/>
      <c r="E87" s="34"/>
    </row>
    <row r="88" spans="2:5" ht="57" customHeight="1" x14ac:dyDescent="0.35">
      <c r="B88" s="6" t="s">
        <v>192</v>
      </c>
      <c r="C88" s="33" t="s">
        <v>193</v>
      </c>
      <c r="D88" s="34"/>
      <c r="E88" s="34"/>
    </row>
    <row r="90" spans="2:5" ht="18" customHeight="1" x14ac:dyDescent="0.35">
      <c r="B90" s="1" t="s">
        <v>194</v>
      </c>
      <c r="C90" s="1"/>
      <c r="D90" s="1"/>
      <c r="E90" s="1"/>
    </row>
    <row r="91" spans="2:5" ht="18" customHeight="1" x14ac:dyDescent="0.35">
      <c r="B91" s="5" t="s">
        <v>195</v>
      </c>
      <c r="C91" s="38" t="s">
        <v>196</v>
      </c>
      <c r="D91" s="36"/>
      <c r="E91" s="36"/>
    </row>
    <row r="92" spans="2:5" ht="43.5" customHeight="1" x14ac:dyDescent="0.35">
      <c r="B92" s="6" t="s">
        <v>197</v>
      </c>
      <c r="C92" s="33" t="s">
        <v>198</v>
      </c>
      <c r="D92" s="34"/>
      <c r="E92" s="34"/>
    </row>
    <row r="93" spans="2:5" ht="57" customHeight="1" x14ac:dyDescent="0.35">
      <c r="B93" s="6" t="s">
        <v>199</v>
      </c>
      <c r="C93" s="33" t="s">
        <v>200</v>
      </c>
      <c r="D93" s="34"/>
      <c r="E93" s="34"/>
    </row>
    <row r="94" spans="2:5" ht="43.5" customHeight="1" x14ac:dyDescent="0.35">
      <c r="B94" s="6" t="s">
        <v>201</v>
      </c>
      <c r="C94" s="33" t="s">
        <v>202</v>
      </c>
      <c r="D94" s="34"/>
      <c r="E94" s="34"/>
    </row>
    <row r="95" spans="2:5" ht="43.5" customHeight="1" x14ac:dyDescent="0.35">
      <c r="B95" s="6" t="s">
        <v>203</v>
      </c>
      <c r="C95" s="33" t="s">
        <v>204</v>
      </c>
      <c r="D95" s="34"/>
      <c r="E95" s="34"/>
    </row>
    <row r="96" spans="2:5" ht="84" customHeight="1" x14ac:dyDescent="0.35">
      <c r="B96" s="6" t="s">
        <v>205</v>
      </c>
      <c r="C96" s="33" t="s">
        <v>206</v>
      </c>
      <c r="D96" s="34"/>
      <c r="E96" s="34"/>
    </row>
    <row r="97" spans="2:5" ht="43.5" customHeight="1" x14ac:dyDescent="0.35">
      <c r="B97" s="6" t="s">
        <v>207</v>
      </c>
      <c r="C97" s="33" t="s">
        <v>208</v>
      </c>
      <c r="D97" s="34"/>
      <c r="E97" s="34"/>
    </row>
    <row r="98" spans="2:5" ht="57" customHeight="1" x14ac:dyDescent="0.35">
      <c r="B98" s="6" t="s">
        <v>209</v>
      </c>
      <c r="C98" s="33" t="s">
        <v>210</v>
      </c>
      <c r="D98" s="34"/>
      <c r="E98" s="34"/>
    </row>
    <row r="99" spans="2:5" ht="57" customHeight="1" x14ac:dyDescent="0.35">
      <c r="B99" s="6" t="s">
        <v>211</v>
      </c>
      <c r="C99" s="33" t="s">
        <v>212</v>
      </c>
      <c r="D99" s="34"/>
      <c r="E99" s="34"/>
    </row>
    <row r="100" spans="2:5" ht="43.5" customHeight="1" x14ac:dyDescent="0.35">
      <c r="B100" s="6" t="s">
        <v>213</v>
      </c>
      <c r="C100" s="33" t="s">
        <v>214</v>
      </c>
      <c r="D100" s="34"/>
      <c r="E100" s="34"/>
    </row>
    <row r="102" spans="2:5" ht="16.5" customHeight="1" x14ac:dyDescent="0.35">
      <c r="B102" s="40" t="s">
        <v>215</v>
      </c>
      <c r="C102" s="36"/>
      <c r="D102" s="36"/>
      <c r="E102" s="36"/>
    </row>
    <row r="104" spans="2:5" ht="36" customHeight="1" x14ac:dyDescent="0.35">
      <c r="B104" s="37" t="s">
        <v>216</v>
      </c>
      <c r="C104" s="36"/>
      <c r="D104" s="36"/>
      <c r="E104" s="36"/>
    </row>
  </sheetData>
  <sheetProtection sheet="1"/>
  <mergeCells count="50">
    <mergeCell ref="B8:E8"/>
    <mergeCell ref="D24:E24"/>
    <mergeCell ref="D30:E30"/>
    <mergeCell ref="B53:E53"/>
    <mergeCell ref="B57:E57"/>
    <mergeCell ref="D33:E33"/>
    <mergeCell ref="D23:E23"/>
    <mergeCell ref="B37:E37"/>
    <mergeCell ref="D26:E26"/>
    <mergeCell ref="D35:E35"/>
    <mergeCell ref="C10:E10"/>
    <mergeCell ref="B7:E7"/>
    <mergeCell ref="D32:E32"/>
    <mergeCell ref="C91:E91"/>
    <mergeCell ref="B18:E18"/>
    <mergeCell ref="B56:E56"/>
    <mergeCell ref="B71:E71"/>
    <mergeCell ref="C13:E13"/>
    <mergeCell ref="B58:E58"/>
    <mergeCell ref="B52:E52"/>
    <mergeCell ref="B70:E70"/>
    <mergeCell ref="C87:E87"/>
    <mergeCell ref="C86:E86"/>
    <mergeCell ref="C15:E15"/>
    <mergeCell ref="C85:E85"/>
    <mergeCell ref="D25:E25"/>
    <mergeCell ref="C14:E14"/>
    <mergeCell ref="B104:E104"/>
    <mergeCell ref="D22:E22"/>
    <mergeCell ref="D36:E36"/>
    <mergeCell ref="D31:E31"/>
    <mergeCell ref="C12:E12"/>
    <mergeCell ref="C95:E95"/>
    <mergeCell ref="D21:E21"/>
    <mergeCell ref="D27:E27"/>
    <mergeCell ref="B54:E54"/>
    <mergeCell ref="B102:E102"/>
    <mergeCell ref="C96:E96"/>
    <mergeCell ref="C92:E92"/>
    <mergeCell ref="C98:E98"/>
    <mergeCell ref="C97:E97"/>
    <mergeCell ref="C88:E88"/>
    <mergeCell ref="C100:E100"/>
    <mergeCell ref="C99:E99"/>
    <mergeCell ref="B9:E9"/>
    <mergeCell ref="C94:E94"/>
    <mergeCell ref="C93:E93"/>
    <mergeCell ref="D34:E34"/>
    <mergeCell ref="B55:E55"/>
    <mergeCell ref="C11:E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66"/>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2" customWidth="1"/>
    <col min="3" max="3" width="16" customWidth="1"/>
    <col min="4" max="4" width="100" customWidth="1"/>
  </cols>
  <sheetData>
    <row r="1" spans="2:4" ht="20" customHeight="1" x14ac:dyDescent="0.35">
      <c r="B1" s="1" t="s">
        <v>0</v>
      </c>
      <c r="C1" s="1"/>
      <c r="D1" s="1"/>
    </row>
    <row r="2" spans="2:4" ht="26" customHeight="1" x14ac:dyDescent="0.35">
      <c r="B2" s="2" t="s">
        <v>217</v>
      </c>
    </row>
    <row r="3" spans="2:4" x14ac:dyDescent="0.35">
      <c r="B3" s="3" t="s">
        <v>218</v>
      </c>
    </row>
    <row r="5" spans="2:4" x14ac:dyDescent="0.35">
      <c r="B5" s="9" t="s">
        <v>219</v>
      </c>
    </row>
    <row r="6" spans="2:4" ht="18" customHeight="1" x14ac:dyDescent="0.35">
      <c r="B6" s="1" t="s">
        <v>220</v>
      </c>
      <c r="C6" s="1"/>
      <c r="D6" s="1"/>
    </row>
    <row r="7" spans="2:4" x14ac:dyDescent="0.35">
      <c r="B7" s="10" t="s">
        <v>221</v>
      </c>
      <c r="C7" s="11">
        <v>200000</v>
      </c>
      <c r="D7" s="9" t="s">
        <v>222</v>
      </c>
    </row>
    <row r="8" spans="2:4" x14ac:dyDescent="0.35">
      <c r="B8" s="10" t="s">
        <v>223</v>
      </c>
      <c r="C8" s="12" t="s">
        <v>224</v>
      </c>
      <c r="D8" s="9" t="s">
        <v>225</v>
      </c>
    </row>
    <row r="9" spans="2:4" x14ac:dyDescent="0.35">
      <c r="B9" s="10" t="s">
        <v>226</v>
      </c>
      <c r="C9" s="11">
        <v>16000</v>
      </c>
      <c r="D9" s="9" t="str">
        <f>"Notaire dans l'ancien : "&amp;ROUND(Paramètres!$C$91*100,1)&amp;" %"&amp;" à "&amp;ROUND(Paramètres!$C$92*100,1)&amp;" %"&amp;" du prix (Paramètres, repères), plus l'agence si elle est à votre charge."</f>
        <v>Notaire dans l'ancien : 7,5 % à 8,5 % du prix (Paramètres, repères), plus l'agence si elle est à votre charge.</v>
      </c>
    </row>
    <row r="10" spans="2:4" x14ac:dyDescent="0.35">
      <c r="B10" s="10" t="s">
        <v>227</v>
      </c>
      <c r="C10" s="11">
        <v>5000</v>
      </c>
      <c r="D10" s="9" t="s">
        <v>228</v>
      </c>
    </row>
    <row r="11" spans="2:4" x14ac:dyDescent="0.35">
      <c r="B11" s="10" t="s">
        <v>229</v>
      </c>
      <c r="C11" s="11">
        <v>8000</v>
      </c>
      <c r="D11" s="9" t="s">
        <v>230</v>
      </c>
    </row>
    <row r="12" spans="2:4" x14ac:dyDescent="0.35">
      <c r="B12" s="13" t="s">
        <v>231</v>
      </c>
      <c r="C12" s="14">
        <f>Hypothèses!$C$7+Hypothèses!$C$9+Hypothèses!$C$10+Hypothèses!$C$11</f>
        <v>229000</v>
      </c>
      <c r="D12" s="9" t="s">
        <v>232</v>
      </c>
    </row>
    <row r="13" spans="2:4" x14ac:dyDescent="0.35">
      <c r="B13" s="10" t="s">
        <v>233</v>
      </c>
      <c r="C13" s="15" t="str">
        <f>IF(AND(AND(ISNUMBER(Hypothèses!$C$7),Hypothèses!$C$7&gt;=0),Hypothèses!$C$7&gt;0,OR(Hypothèses!$C$9="",AND(ISNUMBER(Hypothèses!$C$9),Hypothèses!$C$9&gt;=0)),OR(Hypothèses!$C$10="",AND(ISNUMBER(Hypothèses!$C$10),Hypothèses!$C$10&gt;=0)),OR(Hypothèses!$C$11="",AND(ISNUMBER(Hypothèses!$C$11),Hypothèses!$C$11&gt;=0)),NOT(ISNA(MATCH(Hypothèses!$C$8,Paramètres!$E$33:$E$35,0)))),"OK","À CORRIGER")</f>
        <v>OK</v>
      </c>
      <c r="D13" s="9" t="s">
        <v>234</v>
      </c>
    </row>
    <row r="15" spans="2:4" ht="18" customHeight="1" x14ac:dyDescent="0.35">
      <c r="B15" s="1" t="s">
        <v>235</v>
      </c>
      <c r="C15" s="1"/>
      <c r="D15" s="1"/>
    </row>
    <row r="16" spans="2:4" x14ac:dyDescent="0.35">
      <c r="B16" s="10" t="s">
        <v>236</v>
      </c>
      <c r="C16" s="11">
        <v>13200</v>
      </c>
      <c r="D16" s="9" t="s">
        <v>237</v>
      </c>
    </row>
    <row r="17" spans="2:4" x14ac:dyDescent="0.35">
      <c r="B17" s="10" t="s">
        <v>238</v>
      </c>
      <c r="C17" s="11">
        <v>3100</v>
      </c>
      <c r="D17" s="9" t="s">
        <v>239</v>
      </c>
    </row>
    <row r="18" spans="2:4" x14ac:dyDescent="0.35">
      <c r="B18" s="10" t="s">
        <v>240</v>
      </c>
      <c r="C18" s="11">
        <v>400</v>
      </c>
      <c r="D18" s="9" t="str">
        <f>"Base minimum 2026 : "&amp;IF(Paramètres!$C$97&gt;=1000,INT(Paramètres!$C$97/1000)&amp;" "&amp;TEXT(MOD(Paramètres!$C$97,1000),"000"),TEXT(Paramètres!$C$97,"0"))&amp;" €"&amp;" à "&amp;IF(Paramètres!$C$98&gt;=1000,INT(Paramètres!$C$98/1000)&amp;" "&amp;TEXT(MOD(Paramètres!$C$98,1000),"000"),TEXT(Paramètres!$C$98,"0"))&amp;" €"&amp;" selon la commune (Paramètres, repères). Exonérée l'année de création."</f>
        <v>Base minimum 2026 : 247 € à 1 179 € selon la commune (Paramètres, repères). Exonérée l'année de création.</v>
      </c>
    </row>
    <row r="19" spans="2:4" x14ac:dyDescent="0.35">
      <c r="B19" s="10" t="s">
        <v>241</v>
      </c>
      <c r="C19" s="11">
        <v>500</v>
      </c>
      <c r="D19" s="9" t="str">
        <f>"Ordre de grandeur : "&amp;IF(Paramètres!$C$93&gt;=1000,INT(Paramètres!$C$93/1000)&amp;" "&amp;TEXT(MOD(Paramètres!$C$93,1000),"000"),TEXT(Paramètres!$C$93,"0"))&amp;" €"&amp;" à "&amp;IF(Paramètres!$C$94&gt;=1000,INT(Paramètres!$C$94/1000)&amp;" "&amp;TEXT(MOD(Paramètres!$C$94,1000),"000"),TEXT(Paramètres!$C$94,"0"))&amp;" €"&amp;" TTC par an (Paramètres, repères). Déduits au LMNP réel seulement."</f>
        <v>Ordre de grandeur : 300 € à 900 € TTC par an (Paramètres, repères). Déduits au LMNP réel seulement.</v>
      </c>
    </row>
    <row r="20" spans="2:4" x14ac:dyDescent="0.35">
      <c r="B20" s="10" t="s">
        <v>242</v>
      </c>
      <c r="C20" s="11">
        <v>1200</v>
      </c>
      <c r="D20" s="9" t="str">
        <f>"Ordre de grandeur : "&amp;IF(Paramètres!$C$95&gt;=1000,INT(Paramètres!$C$95/1000)&amp;" "&amp;TEXT(MOD(Paramètres!$C$95,1000),"000"),TEXT(Paramètres!$C$95,"0"))&amp;" €"&amp;" à "&amp;IF(Paramètres!$C$96&gt;=1000,INT(Paramètres!$C$96/1000)&amp;" "&amp;TEXT(MOD(Paramètres!$C$96,1000),"000"),TEXT(Paramètres!$C$96,"0"))&amp;" €"&amp;" HT par an (Paramètres, repères). Déduits à l'IS seulement."</f>
        <v>Ordre de grandeur : 1 200 € à 2 500 € HT par an (Paramètres, repères). Déduits à l'IS seulement.</v>
      </c>
    </row>
    <row r="21" spans="2:4" x14ac:dyDescent="0.35">
      <c r="B21" s="10" t="s">
        <v>243</v>
      </c>
      <c r="C21" s="16">
        <v>0.01</v>
      </c>
      <c r="D21" s="9" t="s">
        <v>244</v>
      </c>
    </row>
    <row r="22" spans="2:4" x14ac:dyDescent="0.35">
      <c r="B22" s="10" t="s">
        <v>245</v>
      </c>
      <c r="C22" s="17">
        <f>Hypothèses!$C$16-Hypothèses!$C$17</f>
        <v>10100</v>
      </c>
      <c r="D22" s="9" t="s">
        <v>246</v>
      </c>
    </row>
    <row r="23" spans="2:4" x14ac:dyDescent="0.35">
      <c r="B23" s="10" t="s">
        <v>247</v>
      </c>
      <c r="C23" s="15" t="str">
        <f>IF(AND(AND(ISNUMBER(Hypothèses!$C$16),Hypothèses!$C$16&gt;=0),Hypothèses!$C$16&gt;0,OR(Hypothèses!$C$17="",AND(ISNUMBER(Hypothèses!$C$17),Hypothèses!$C$17&gt;=0)),OR(Hypothèses!$C$18="",AND(ISNUMBER(Hypothèses!$C$18),Hypothèses!$C$18&gt;=0)),OR(Hypothèses!$C$19="",AND(ISNUMBER(Hypothèses!$C$19),Hypothèses!$C$19&gt;=0)),OR(Hypothèses!$C$20="",AND(ISNUMBER(Hypothèses!$C$20),Hypothèses!$C$20&gt;=0)),OR(Hypothèses!$C$21="",AND(ISNUMBER(Hypothèses!$C$21),Hypothèses!$C$21&gt;=-0.05,Hypothèses!$C$21&lt;=0.1))),"OK","À CORRIGER")</f>
        <v>OK</v>
      </c>
      <c r="D23" s="9" t="s">
        <v>248</v>
      </c>
    </row>
    <row r="25" spans="2:4" ht="18" customHeight="1" x14ac:dyDescent="0.35">
      <c r="B25" s="1" t="s">
        <v>249</v>
      </c>
      <c r="C25" s="1"/>
      <c r="D25" s="1"/>
    </row>
    <row r="26" spans="2:4" x14ac:dyDescent="0.35">
      <c r="B26" s="10" t="s">
        <v>250</v>
      </c>
      <c r="C26" s="11">
        <v>200000</v>
      </c>
      <c r="D26" s="9" t="s">
        <v>251</v>
      </c>
    </row>
    <row r="27" spans="2:4" x14ac:dyDescent="0.35">
      <c r="B27" s="10" t="s">
        <v>252</v>
      </c>
      <c r="C27" s="16">
        <v>3.2500000000000001E-2</v>
      </c>
      <c r="D27" s="9" t="str">
        <f>"Taux nominal annuel. Repère : "&amp;ROUND(Paramètres!$C$87*100,2)&amp;" %"&amp;" à "&amp;ROUND(Paramètres!$C$88*100,2)&amp;" %"&amp;" de 20 à 25 ans (Paramètres, repères). Tapez 3,25 pour 3,25 % : la cellule est déjà au format pourcentage, ne convertissez pas en fraction."</f>
        <v>Taux nominal annuel. Repère : 3,27 % à 3,35 % de 20 à 25 ans (Paramètres, repères). Tapez 3,25 pour 3,25 % : la cellule est déjà au format pourcentage, ne convertissez pas en fraction.</v>
      </c>
    </row>
    <row r="28" spans="2:4" x14ac:dyDescent="0.35">
      <c r="B28" s="10" t="s">
        <v>253</v>
      </c>
      <c r="C28" s="18">
        <v>20</v>
      </c>
      <c r="D28" s="9" t="s">
        <v>254</v>
      </c>
    </row>
    <row r="29" spans="2:4" x14ac:dyDescent="0.35">
      <c r="B29" s="10" t="s">
        <v>255</v>
      </c>
      <c r="C29" s="16">
        <v>3.3999999999999998E-3</v>
      </c>
      <c r="D29" s="9" t="str">
        <f>"Repère : "&amp;ROUND(Paramètres!$C$90*100,2)&amp;" %"&amp;" à "&amp;ROUND(Paramètres!$C$89*100,2)&amp;" %"&amp;" par an (Paramètres, repères). Déductible comme les intérêts."</f>
        <v>Repère : 0,17 % à 0,36 % par an (Paramètres, repères). Déductible comme les intérêts.</v>
      </c>
    </row>
    <row r="30" spans="2:4" x14ac:dyDescent="0.35">
      <c r="B30" s="10" t="s">
        <v>256</v>
      </c>
      <c r="C30" s="17">
        <f>Hypothèses!$C$12-Hypothèses!$C$26</f>
        <v>29000</v>
      </c>
      <c r="D30" s="9" t="s">
        <v>257</v>
      </c>
    </row>
    <row r="31" spans="2:4" x14ac:dyDescent="0.35">
      <c r="B31" s="10" t="s">
        <v>258</v>
      </c>
      <c r="C31" s="19">
        <f>IF(AND(Hypothèses!$C$33="OK",Hypothèses!$C$26&gt;0),IF(Hypothèses!$C$27=0,Hypothèses!$C$26/(Hypothèses!$C$28*12),-PMT(Hypothèses!$C$27/12,Hypothèses!$C$28*12,Hypothèses!$C$26)),0)</f>
        <v>1134.3915229886918</v>
      </c>
      <c r="D31" s="9" t="s">
        <v>259</v>
      </c>
    </row>
    <row r="32" spans="2:4" x14ac:dyDescent="0.35">
      <c r="B32" s="10" t="s">
        <v>260</v>
      </c>
      <c r="C32" s="17">
        <f>Pluriannuel!$D$14</f>
        <v>6393.0880888331958</v>
      </c>
      <c r="D32" s="9" t="s">
        <v>261</v>
      </c>
    </row>
    <row r="33" spans="2:4" x14ac:dyDescent="0.35">
      <c r="B33" s="10" t="s">
        <v>262</v>
      </c>
      <c r="C33" s="15" t="str">
        <f>IF(AND(OR(Hypothèses!$C$26="",AND(ISNUMBER(Hypothèses!$C$26),Hypothèses!$C$26&gt;=0,Hypothèses!$C$26&lt;=Hypothèses!$C$12)),OR(Hypothèses!$C$27="",AND(ISNUMBER(Hypothèses!$C$27),Hypothèses!$C$27&gt;=0,Hypothèses!$C$27&lt;=0.2)),OR(Hypothèses!$C$29="",AND(ISNUMBER(Hypothèses!$C$29),Hypothèses!$C$29&gt;=0,Hypothèses!$C$29&lt;=0.05)),OR(Hypothèses!$C$28="",AND(ISNUMBER(Hypothèses!$C$28),Hypothèses!$C$28&gt;=1,Hypothèses!$C$28&lt;=30,Hypothèses!$C$28=INT(Hypothèses!$C$28))),OR(Hypothèses!$C$26=0,ISNUMBER(Hypothèses!$C$28))),"OK","À CORRIGER")</f>
        <v>OK</v>
      </c>
      <c r="D33" s="9" t="s">
        <v>263</v>
      </c>
    </row>
    <row r="35" spans="2:4" ht="18" customHeight="1" x14ac:dyDescent="0.35">
      <c r="B35" s="1" t="s">
        <v>264</v>
      </c>
      <c r="C35" s="1"/>
      <c r="D35" s="1"/>
    </row>
    <row r="36" spans="2:4" x14ac:dyDescent="0.35">
      <c r="B36" s="10" t="s">
        <v>265</v>
      </c>
      <c r="C36" s="16">
        <v>0.3</v>
      </c>
      <c r="D36" s="9" t="s">
        <v>266</v>
      </c>
    </row>
    <row r="37" spans="2:4" x14ac:dyDescent="0.35">
      <c r="B37" s="10" t="s">
        <v>267</v>
      </c>
      <c r="C37" s="11">
        <v>0</v>
      </c>
      <c r="D37" s="9" t="s">
        <v>268</v>
      </c>
    </row>
    <row r="38" spans="2:4" x14ac:dyDescent="0.35">
      <c r="B38" s="10" t="s">
        <v>269</v>
      </c>
      <c r="C38" s="15" t="str">
        <f>IF(AND(ISNUMBER(Hypothèses!$C$36),NOT(ISNA(MATCH(Hypothèses!$C$36,Paramètres!$B$33:$B$37,0))),OR(Hypothèses!$C$37="",AND(ISNUMBER(Hypothèses!$C$37),Hypothèses!$C$37&gt;=0))),"OK","À CORRIGER")</f>
        <v>OK</v>
      </c>
      <c r="D38" s="9" t="s">
        <v>270</v>
      </c>
    </row>
    <row r="40" spans="2:4" ht="18" customHeight="1" x14ac:dyDescent="0.35">
      <c r="B40" s="1" t="s">
        <v>271</v>
      </c>
      <c r="C40" s="1"/>
      <c r="D40" s="1"/>
    </row>
    <row r="41" spans="2:4" x14ac:dyDescent="0.35">
      <c r="B41" s="10" t="s">
        <v>272</v>
      </c>
      <c r="C41" s="18">
        <v>10</v>
      </c>
      <c r="D41" s="9" t="s">
        <v>273</v>
      </c>
    </row>
    <row r="42" spans="2:4" x14ac:dyDescent="0.35">
      <c r="B42" s="10" t="s">
        <v>274</v>
      </c>
      <c r="C42" s="16">
        <v>1.4999999999999999E-2</v>
      </c>
      <c r="D42" s="9" t="s">
        <v>275</v>
      </c>
    </row>
    <row r="43" spans="2:4" x14ac:dyDescent="0.35">
      <c r="B43" s="10" t="s">
        <v>276</v>
      </c>
      <c r="C43" s="11"/>
      <c r="D43" s="9" t="s">
        <v>277</v>
      </c>
    </row>
    <row r="44" spans="2:4" x14ac:dyDescent="0.35">
      <c r="B44" s="10" t="s">
        <v>278</v>
      </c>
      <c r="C44" s="20">
        <f>IF(AND(ISNUMBER(Hypothèses!$C$41),Hypothèses!$C$41&gt;=1,Hypothèses!$C$41&lt;=30,Hypothèses!$C$41=INT(Hypothèses!$C$41)),Hypothèses!$C$41,1)</f>
        <v>10</v>
      </c>
      <c r="D44" s="9" t="s">
        <v>279</v>
      </c>
    </row>
    <row r="45" spans="2:4" x14ac:dyDescent="0.35">
      <c r="B45" s="10" t="s">
        <v>280</v>
      </c>
      <c r="C45" s="17">
        <f>IF(AND(ISNUMBER(Hypothèses!$C$43),Hypothèses!$C$43&gt;0),Hypothèses!$C$43,Hypothèses!$C$7*(1+Hypothèses!$C$42)^Hypothèses!$C$44)</f>
        <v>232108.1650050297</v>
      </c>
      <c r="D45" s="9" t="s">
        <v>281</v>
      </c>
    </row>
    <row r="46" spans="2:4" x14ac:dyDescent="0.35">
      <c r="B46" s="10" t="s">
        <v>282</v>
      </c>
      <c r="C46" s="15" t="str">
        <f>IF(AND(AND(ISNUMBER(Hypothèses!$C$41),Hypothèses!$C$41&gt;=1,Hypothèses!$C$41&lt;=30,Hypothèses!$C$41=INT(Hypothèses!$C$41)),OR(Hypothèses!$C$42="",AND(ISNUMBER(Hypothèses!$C$42),Hypothèses!$C$42&gt;=-0.1,Hypothèses!$C$42&lt;=0.2)),OR(Hypothèses!$C$43="",AND(ISNUMBER(Hypothèses!$C$43),Hypothèses!$C$43&gt;=0))),"OK","À CORRIGER")</f>
        <v>OK</v>
      </c>
      <c r="D46" s="9" t="s">
        <v>283</v>
      </c>
    </row>
    <row r="48" spans="2:4" ht="18" customHeight="1" x14ac:dyDescent="0.35">
      <c r="B48" s="1" t="s">
        <v>284</v>
      </c>
      <c r="C48" s="1"/>
      <c r="D48" s="1"/>
    </row>
    <row r="49" spans="2:4" x14ac:dyDescent="0.35">
      <c r="B49" s="10" t="s">
        <v>285</v>
      </c>
      <c r="C49" s="12" t="s">
        <v>286</v>
      </c>
      <c r="D49" s="9" t="s">
        <v>287</v>
      </c>
    </row>
    <row r="50" spans="2:4" x14ac:dyDescent="0.35">
      <c r="B50" s="10" t="s">
        <v>288</v>
      </c>
      <c r="C50" s="12" t="s">
        <v>289</v>
      </c>
      <c r="D50" s="9" t="s">
        <v>290</v>
      </c>
    </row>
    <row r="51" spans="2:4" x14ac:dyDescent="0.35">
      <c r="B51" s="10" t="s">
        <v>291</v>
      </c>
      <c r="C51" s="12" t="s">
        <v>292</v>
      </c>
      <c r="D51" s="9" t="s">
        <v>293</v>
      </c>
    </row>
    <row r="52" spans="2:4" x14ac:dyDescent="0.35">
      <c r="B52" s="10" t="s">
        <v>294</v>
      </c>
      <c r="C52" s="12" t="s">
        <v>289</v>
      </c>
      <c r="D52" s="9" t="s">
        <v>295</v>
      </c>
    </row>
    <row r="53" spans="2:4" x14ac:dyDescent="0.35">
      <c r="B53" s="10" t="s">
        <v>296</v>
      </c>
      <c r="C53" s="12" t="s">
        <v>289</v>
      </c>
      <c r="D53" s="9" t="s">
        <v>297</v>
      </c>
    </row>
    <row r="54" spans="2:4" x14ac:dyDescent="0.35">
      <c r="B54" s="10" t="s">
        <v>298</v>
      </c>
      <c r="C54" s="16">
        <v>0.15</v>
      </c>
      <c r="D54" s="9" t="str">
        <f>"Usage : "&amp;ROUND(Paramètres!$C$99*100,0)&amp;" %"&amp;" à "&amp;ROUND(Paramètres!$C$100*100,0)&amp;" %"&amp;" pour un appartement (Paramètres, repères). À justifier par comparaison. Au plus 50 %."</f>
        <v>Usage : 10 % à 20 % pour un appartement (Paramètres, repères). À justifier par comparaison. Au plus 50 %.</v>
      </c>
    </row>
    <row r="55" spans="2:4" x14ac:dyDescent="0.35">
      <c r="B55" s="10" t="s">
        <v>299</v>
      </c>
      <c r="C55" s="18">
        <v>30</v>
      </c>
      <c r="D55" s="9" t="str">
        <f>"Durée moyenne pondérée des composants. Usage : "&amp;Paramètres!$C$101&amp;" à "&amp;Paramètres!$C$102&amp;" ans (Paramètres, repères)."</f>
        <v>Durée moyenne pondérée des composants. Usage : 25 à 40 ans (Paramètres, repères).</v>
      </c>
    </row>
    <row r="56" spans="2:4" x14ac:dyDescent="0.35">
      <c r="B56" s="10" t="s">
        <v>300</v>
      </c>
      <c r="C56" s="18">
        <v>15</v>
      </c>
      <c r="D56" s="9" t="str">
        <f>"Usage : "&amp;Paramètres!$C$103&amp;" à "&amp;Paramètres!$C$104&amp;" ans selon la nature (Paramètres, repères)."</f>
        <v>Usage : 10 à 20 ans selon la nature (Paramètres, repères).</v>
      </c>
    </row>
    <row r="57" spans="2:4" x14ac:dyDescent="0.35">
      <c r="B57" s="10" t="s">
        <v>301</v>
      </c>
      <c r="C57" s="18">
        <v>7</v>
      </c>
      <c r="D57" s="9" t="str">
        <f>"Usage : "&amp;Paramètres!$C$105&amp;" à "&amp;Paramètres!$C$106&amp;" ans (Paramètres, repères)."</f>
        <v>Usage : 5 à 10 ans (Paramètres, repères).</v>
      </c>
    </row>
    <row r="58" spans="2:4" x14ac:dyDescent="0.35">
      <c r="B58" s="10" t="s">
        <v>302</v>
      </c>
      <c r="C58" s="15" t="str">
        <f>IF(AND(NOT(ISNA(MATCH(Hypothèses!$C$49,Paramètres!$B$27:$B$29,0))),NOT(ISNA(MATCH(Hypothèses!$C$50,Paramètres!$C$33:$C$34,0))),NOT(ISNA(MATCH(Hypothèses!$C$51,Paramètres!$D$33:$D$34,0))),NOT(ISNA(MATCH(Hypothèses!$C$52,Paramètres!$C$33:$C$34,0))),NOT(ISNA(MATCH(Hypothèses!$C$53,Paramètres!$C$33:$C$34,0))),OR(Hypothèses!$C$54="",AND(ISNUMBER(Hypothèses!$C$54),Hypothèses!$C$54&gt;=0,Hypothèses!$C$54&lt;=0.5)),AND(ISNUMBER(Hypothèses!$C$55),Hypothèses!$C$55&gt;=1,Hypothèses!$C$55&lt;=100,Hypothèses!$C$55=INT(Hypothèses!$C$55)),AND(ISNUMBER(Hypothèses!$C$56),Hypothèses!$C$56&gt;=1,Hypothèses!$C$56&lt;=100,Hypothèses!$C$56=INT(Hypothèses!$C$56)),AND(ISNUMBER(Hypothèses!$C$57),Hypothèses!$C$57&gt;=1,Hypothèses!$C$57&lt;=100,Hypothèses!$C$57=INT(Hypothèses!$C$57))),"OK","À CORRIGER")</f>
        <v>OK</v>
      </c>
      <c r="D58" s="9" t="s">
        <v>303</v>
      </c>
    </row>
    <row r="60" spans="2:4" ht="18" customHeight="1" x14ac:dyDescent="0.35">
      <c r="B60" s="1" t="s">
        <v>304</v>
      </c>
      <c r="C60" s="1"/>
      <c r="D60" s="1"/>
    </row>
    <row r="61" spans="2:4" x14ac:dyDescent="0.35">
      <c r="B61" s="10" t="s">
        <v>305</v>
      </c>
      <c r="C61" s="15" t="str">
        <f>IF(AND(ISNUMBER(Paramètres!$C$109),OR(NOT(ISNUMBER(Hypothèses!$C$21)),Hypothèses!$C$21&lt;=0,Hypothèses!$C$21&gt;=Paramètres!$C$109),OR(NOT(ISNUMBER(Hypothèses!$C$27)),Hypothèses!$C$27&lt;=0,Hypothèses!$C$27&gt;=Paramètres!$C$109),OR(NOT(ISNUMBER(Hypothèses!$C$29)),Hypothèses!$C$29&lt;=0,Hypothèses!$C$29&gt;=Paramètres!$C$109),OR(NOT(ISNUMBER(Hypothèses!$C$42)),Hypothèses!$C$42&lt;=0,Hypothèses!$C$42&gt;=Paramètres!$C$109),OR(NOT(ISNUMBER(Hypothèses!$C$54)),Hypothèses!$C$54&lt;=0,Hypothèses!$C$54&gt;=Paramètres!$C$109)),"OK","À CORRIGER")</f>
        <v>OK</v>
      </c>
      <c r="D61" s="9" t="str">
        <f>"KO si l’un des cinq taux (indexation, taux du prêt, assurance, revalorisation, part du terrain) est strictement positif et inférieur au plancher de plausibilité de Paramètres ("&amp;ROUND(Paramètres!$C$109*100,2)&amp;" %"&amp;") : un tel taux trahit une saisie en fraction, comme 0,0325 tapé pour 3,25 %."</f>
        <v>KO si l’un des cinq taux (indexation, taux du prêt, assurance, revalorisation, part du terrain) est strictement positif et inférieur au plancher de plausibilité de Paramètres (0,1 %) : un tel taux trahit une saisie en fraction, comme 0,0325 tapé pour 3,25 %.</v>
      </c>
    </row>
    <row r="62" spans="2:4" x14ac:dyDescent="0.35">
      <c r="B62" s="10" t="s">
        <v>306</v>
      </c>
      <c r="C62" s="15" t="str">
        <f>IF(AND(Hypothèses!$C$13="OK",Hypothèses!$C$23="OK",Hypothèses!$C$33="OK",Hypothèses!$C$38="OK",Hypothèses!$C$46="OK",Hypothèses!$C$58="OK",Hypothèses!$C$61="OK",COUNT(Paramètres!$C$8:$C$23)=16,COUNT(Paramètres!$C$41:$C$70)=30,COUNT(Paramètres!$D$41:$D$70)=30,COUNT(Paramètres!$C$27:$D$29)=6,COUNT(Paramètres!$B$74:$B$83)=10,COUNT(Paramètres!$C$74:$C$83)=10,COUNT(Paramètres!$D$74:$D$83)=10,COUNT(Paramètres!$E$74:$E$83)=10),"OK","À CORRIGER")</f>
        <v>OK</v>
      </c>
      <c r="D62" s="9" t="s">
        <v>307</v>
      </c>
    </row>
    <row r="63" spans="2:4" ht="21" customHeight="1" x14ac:dyDescent="0.35">
      <c r="B63" s="13" t="s">
        <v>308</v>
      </c>
      <c r="C63" s="21" t="str">
        <f>Comparateur!$C$41</f>
        <v>Meublé, LMNP réel</v>
      </c>
      <c r="D63" s="9" t="s">
        <v>309</v>
      </c>
    </row>
    <row r="64" spans="2:4" x14ac:dyDescent="0.35">
      <c r="B64" s="10" t="s">
        <v>310</v>
      </c>
      <c r="C64" s="17">
        <f>Comparateur!$C$42</f>
        <v>4763.4457846341102</v>
      </c>
      <c r="D64" s="9" t="s">
        <v>311</v>
      </c>
    </row>
    <row r="66" spans="2:4" ht="36" customHeight="1" x14ac:dyDescent="0.35">
      <c r="B66" s="37" t="s">
        <v>216</v>
      </c>
      <c r="C66" s="36"/>
      <c r="D66" s="36"/>
    </row>
  </sheetData>
  <sheetProtection sheet="1" formatColumns="0" formatRows="0"/>
  <mergeCells count="1">
    <mergeCell ref="B66:D66"/>
  </mergeCells>
  <conditionalFormatting sqref="C13">
    <cfRule type="cellIs" dxfId="16" priority="1" operator="equal">
      <formula>"OK"</formula>
    </cfRule>
    <cfRule type="cellIs" dxfId="15" priority="2" operator="equal">
      <formula>"À CORRIGER"</formula>
    </cfRule>
  </conditionalFormatting>
  <conditionalFormatting sqref="C23">
    <cfRule type="cellIs" dxfId="14" priority="3" operator="equal">
      <formula>"OK"</formula>
    </cfRule>
    <cfRule type="cellIs" dxfId="13" priority="4" operator="equal">
      <formula>"À CORRIGER"</formula>
    </cfRule>
  </conditionalFormatting>
  <conditionalFormatting sqref="C33">
    <cfRule type="cellIs" dxfId="12" priority="5" operator="equal">
      <formula>"OK"</formula>
    </cfRule>
    <cfRule type="cellIs" dxfId="11" priority="6" operator="equal">
      <formula>"À CORRIGER"</formula>
    </cfRule>
  </conditionalFormatting>
  <conditionalFormatting sqref="C38">
    <cfRule type="cellIs" dxfId="10" priority="7" operator="equal">
      <formula>"OK"</formula>
    </cfRule>
    <cfRule type="cellIs" dxfId="9" priority="8" operator="equal">
      <formula>"À CORRIGER"</formula>
    </cfRule>
  </conditionalFormatting>
  <conditionalFormatting sqref="C46">
    <cfRule type="cellIs" dxfId="8" priority="9" operator="equal">
      <formula>"OK"</formula>
    </cfRule>
    <cfRule type="cellIs" dxfId="7" priority="10" operator="equal">
      <formula>"À CORRIGER"</formula>
    </cfRule>
  </conditionalFormatting>
  <conditionalFormatting sqref="C58">
    <cfRule type="cellIs" dxfId="6" priority="11" operator="equal">
      <formula>"OK"</formula>
    </cfRule>
    <cfRule type="cellIs" dxfId="5" priority="12" operator="equal">
      <formula>"À CORRIGER"</formula>
    </cfRule>
  </conditionalFormatting>
  <conditionalFormatting sqref="C61:C62">
    <cfRule type="cellIs" dxfId="4" priority="13" operator="equal">
      <formula>"OK"</formula>
    </cfRule>
    <cfRule type="cellIs" dxfId="3" priority="14" operator="equal">
      <formula>"À CORRIGER"</formula>
    </cfRule>
  </conditionalFormatting>
  <dataValidations count="9">
    <dataValidation type="decimal" operator="greaterThanOrEqual" allowBlank="1" showErrorMessage="1" errorTitle="Saisie" error="Valeur hors des bornes admises." sqref="C7 C43 C37 C16:C20 C9:C11" xr:uid="{00000000-0002-0000-0100-000007000000}">
      <formula1>0</formula1>
    </dataValidation>
    <dataValidation type="decimal" allowBlank="1" showErrorMessage="1" errorTitle="Saisie" error="Valeur hors des bornes admises." sqref="C21" xr:uid="{00000000-0002-0000-0100-000010000000}">
      <formula1>-0.05</formula1>
      <formula2>0.1</formula2>
    </dataValidation>
    <dataValidation type="decimal" allowBlank="1" showErrorMessage="1" errorTitle="Saisie" error="Valeur hors des bornes admises." sqref="C26" xr:uid="{00000000-0002-0000-0100-000011000000}">
      <formula1>0</formula1>
      <formula2>$C$12</formula2>
    </dataValidation>
    <dataValidation type="decimal" allowBlank="1" showErrorMessage="1" errorTitle="Saisie" error="Valeur hors des bornes admises." sqref="C27" xr:uid="{00000000-0002-0000-0100-000012000000}">
      <formula1>0</formula1>
      <formula2>0.2</formula2>
    </dataValidation>
    <dataValidation type="whole" allowBlank="1" showErrorMessage="1" errorTitle="Saisie" error="Valeur hors des bornes admises." sqref="C28 C41" xr:uid="{00000000-0002-0000-0100-000013000000}">
      <formula1>1</formula1>
      <formula2>30</formula2>
    </dataValidation>
    <dataValidation type="decimal" allowBlank="1" showErrorMessage="1" errorTitle="Saisie" error="Valeur hors des bornes admises." sqref="C29" xr:uid="{00000000-0002-0000-0100-000014000000}">
      <formula1>0</formula1>
      <formula2>0.05</formula2>
    </dataValidation>
    <dataValidation type="decimal" allowBlank="1" showErrorMessage="1" errorTitle="Saisie" error="Valeur hors des bornes admises." sqref="C42" xr:uid="{00000000-0002-0000-0100-000017000000}">
      <formula1>-0.1</formula1>
      <formula2>0.2</formula2>
    </dataValidation>
    <dataValidation type="decimal" allowBlank="1" showErrorMessage="1" errorTitle="Saisie" error="Valeur hors des bornes admises." sqref="C54" xr:uid="{00000000-0002-0000-0100-000019000000}">
      <formula1>0</formula1>
      <formula2>0.5</formula2>
    </dataValidation>
    <dataValidation type="whole" allowBlank="1" showErrorMessage="1" errorTitle="Saisie" error="Valeur hors des bornes admises." sqref="C55:C57" xr:uid="{00000000-0002-0000-0100-00001A000000}">
      <formula1>1</formula1>
      <formula2>100</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showErrorMessage="1" errorTitle="Choisir dans la liste" error="Choisissez votre TMI dans la liste : 0, 11, 30, 41 ou 45 %." xr:uid="{00000000-0002-0000-0100-000000000000}">
          <x14:formula1>
            <xm:f>Paramètres!$B$33:$B$37</xm:f>
          </x14:formula1>
          <xm:sqref>C36</xm:sqref>
        </x14:dataValidation>
        <x14:dataValidation type="list" allowBlank="1" showErrorMessage="1" errorTitle="Choisir dans la liste" error="Choisissez un type de meublé dans la liste (onglet Paramètres)." xr:uid="{00000000-0002-0000-0100-000001000000}">
          <x14:formula1>
            <xm:f>Paramètres!$B$27:$B$29</xm:f>
          </x14:formula1>
          <xm:sqref>C49</xm:sqref>
        </x14:dataValidation>
        <x14:dataValidation type="list" allowBlank="1" showErrorMessage="1" errorTitle="Choisir dans la liste" error="Achat (à titre onéreux), Succession ou Donation." xr:uid="{00000000-0002-0000-0100-000002000000}">
          <x14:formula1>
            <xm:f>Paramètres!$E$33:$E$35</xm:f>
          </x14:formula1>
          <xm:sqref>C8</xm:sqref>
        </x14:dataValidation>
        <x14:dataValidation type="list" allowBlank="1" showErrorMessage="1" errorTitle="Choisir dans la liste" error="Oui ou Non." xr:uid="{00000000-0002-0000-0100-000003000000}">
          <x14:formula1>
            <xm:f>Paramètres!$C$33:$C$34</xm:f>
          </x14:formula1>
          <xm:sqref>C50 C52:C53</xm:sqref>
        </x14:dataValidation>
        <x14:dataValidation type="list" allowBlank="1" showErrorMessage="1" errorTitle="Choisir dans la liste" error="Choisissez une option de la liste." xr:uid="{00000000-0002-0000-0100-000006000000}">
          <x14:formula1>
            <xm:f>Paramètres!$D$33:$D$34</xm:f>
          </x14:formula1>
          <xm:sqref>C51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45"/>
  <sheetViews>
    <sheetView showGridLines="0" workbookViewId="0">
      <pane xSplit="2" ySplit="6" topLeftCell="C7"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50" customWidth="1"/>
    <col min="3" max="7" width="17" customWidth="1"/>
    <col min="8" max="8" width="70" customWidth="1"/>
  </cols>
  <sheetData>
    <row r="1" spans="2:8" ht="20" customHeight="1" x14ac:dyDescent="0.35">
      <c r="B1" s="1" t="s">
        <v>0</v>
      </c>
      <c r="C1" s="1"/>
      <c r="D1" s="1"/>
      <c r="E1" s="1"/>
      <c r="F1" s="1"/>
      <c r="G1" s="1"/>
      <c r="H1" s="1"/>
    </row>
    <row r="2" spans="2:8" ht="26" customHeight="1" x14ac:dyDescent="0.35">
      <c r="B2" s="2" t="s">
        <v>30</v>
      </c>
    </row>
    <row r="3" spans="2:8" x14ac:dyDescent="0.35">
      <c r="B3" s="3" t="s">
        <v>312</v>
      </c>
    </row>
    <row r="6" spans="2:8" ht="32" customHeight="1" x14ac:dyDescent="0.35">
      <c r="B6" s="22" t="s">
        <v>112</v>
      </c>
      <c r="C6" s="22" t="s">
        <v>313</v>
      </c>
      <c r="D6" s="22" t="s">
        <v>314</v>
      </c>
      <c r="E6" s="22" t="s">
        <v>315</v>
      </c>
      <c r="F6" s="22" t="s">
        <v>316</v>
      </c>
      <c r="G6" s="22" t="s">
        <v>317</v>
      </c>
      <c r="H6" s="22" t="s">
        <v>318</v>
      </c>
    </row>
    <row r="7" spans="2:8" ht="18" customHeight="1" x14ac:dyDescent="0.35">
      <c r="B7" s="1" t="s">
        <v>319</v>
      </c>
      <c r="C7" s="1"/>
      <c r="D7" s="1"/>
      <c r="E7" s="1"/>
      <c r="F7" s="1"/>
      <c r="G7" s="1"/>
      <c r="H7" s="1"/>
    </row>
    <row r="8" spans="2:8" ht="30" customHeight="1" x14ac:dyDescent="0.35">
      <c r="B8" s="10" t="s">
        <v>320</v>
      </c>
      <c r="C8" s="23" t="str">
        <f>IF(Hypothèses!$C$62&lt;&gt;"OK","",IF(MAX(Pluriannuel!$D$9,INDEX(Pluriannuel!$D$9:$AG$9,Hypothèses!$C$44))&lt;=Paramètres!$C$12,"Éligible","Non éligible"))</f>
        <v>Éligible</v>
      </c>
      <c r="D8" s="23" t="str">
        <f>IF(Hypothèses!$C$62&lt;&gt;"OK","","Éligible")</f>
        <v>Éligible</v>
      </c>
      <c r="E8" s="23" t="str">
        <f>IF(Hypothèses!$C$62&lt;&gt;"OK","",IF(MAX(Pluriannuel!$D$9,INDEX(Pluriannuel!$D$9:$AG$9,Hypothèses!$C$44))&lt;=IF(ISNUMBER(MATCH(Hypothèses!$C$49,Paramètres!$B$27:$B$29,0)),INDEX(Paramètres!$D$27:$D$29,MATCH(Hypothèses!$C$49,Paramètres!$B$27:$B$29,0)),0),"Éligible","Non éligible"))</f>
        <v>Éligible</v>
      </c>
      <c r="F8" s="23" t="str">
        <f>IF(Hypothèses!$C$62&lt;&gt;"OK","","Éligible")</f>
        <v>Éligible</v>
      </c>
      <c r="G8" s="23" t="str">
        <f>IF(Hypothèses!$C$62&lt;&gt;"OK","","Éligible")</f>
        <v>Éligible</v>
      </c>
      <c r="H8" s="24" t="s">
        <v>321</v>
      </c>
    </row>
    <row r="9" spans="2:8" ht="30" customHeight="1" x14ac:dyDescent="0.35">
      <c r="B9" s="10" t="s">
        <v>322</v>
      </c>
      <c r="C9" s="17">
        <f>IF(Hypothèses!$C$62&lt;&gt;"OK","",Pluriannuel!$D$25)</f>
        <v>9240</v>
      </c>
      <c r="D9" s="17">
        <f>IF(Hypothèses!$C$62&lt;&gt;"OK","",Pluriannuel!$D$41)</f>
        <v>0</v>
      </c>
      <c r="E9" s="17">
        <f>IF(Hypothèses!$C$62&lt;&gt;"OK","",Pluriannuel!$D$47)</f>
        <v>6600</v>
      </c>
      <c r="F9" s="17">
        <f>IF(Hypothèses!$C$62&lt;&gt;"OK","",Pluriannuel!$D$61)</f>
        <v>0</v>
      </c>
      <c r="G9" s="17">
        <f>IF(Hypothèses!$C$62&lt;&gt;"OK","",Pluriannuel!$D$73)</f>
        <v>0</v>
      </c>
      <c r="H9" s="24" t="s">
        <v>323</v>
      </c>
    </row>
    <row r="10" spans="2:8" ht="30" customHeight="1" x14ac:dyDescent="0.35">
      <c r="B10" s="10" t="s">
        <v>324</v>
      </c>
      <c r="C10" s="14">
        <f>IF(Hypothèses!$C$62&lt;&gt;"OK","",Pluriannuel!$D$26)</f>
        <v>4361.28</v>
      </c>
      <c r="D10" s="14">
        <f>IF(Hypothèses!$C$62&lt;&gt;"OK","",Pluriannuel!$D$42)</f>
        <v>-591.92642664995867</v>
      </c>
      <c r="E10" s="14">
        <f>IF(Hypothèses!$C$62&lt;&gt;"OK","",Pluriannuel!$D$48)</f>
        <v>3207.6</v>
      </c>
      <c r="F10" s="14">
        <f>IF(Hypothèses!$C$62&lt;&gt;"OK","",Pluriannuel!$D$62)</f>
        <v>0</v>
      </c>
      <c r="G10" s="14">
        <f>IF(Hypothèses!$C$62&lt;&gt;"OK","",Pluriannuel!$D$74)</f>
        <v>0</v>
      </c>
      <c r="H10" s="24" t="s">
        <v>325</v>
      </c>
    </row>
    <row r="11" spans="2:8" ht="30" customHeight="1" x14ac:dyDescent="0.35">
      <c r="B11" s="13" t="s">
        <v>326</v>
      </c>
      <c r="C11" s="14">
        <f>IF(Hypothèses!$C$62&lt;&gt;"OK","",Pluriannuel!$D$28)</f>
        <v>-8553.9782758643014</v>
      </c>
      <c r="D11" s="14">
        <f>IF(Hypothèses!$C$62&lt;&gt;"OK","",Pluriannuel!$D$44)</f>
        <v>-3600.771849214344</v>
      </c>
      <c r="E11" s="14">
        <f>IF(Hypothèses!$C$62&lt;&gt;"OK","",Pluriannuel!$D$50)</f>
        <v>-7800.2982758643029</v>
      </c>
      <c r="F11" s="14">
        <f>IF(Hypothèses!$C$62&lt;&gt;"OK","",Pluriannuel!$D$66)</f>
        <v>-5092.6982758643026</v>
      </c>
      <c r="G11" s="14">
        <f>IF(Hypothèses!$C$62&lt;&gt;"OK","",Pluriannuel!$D$86)</f>
        <v>-5792.6982758643026</v>
      </c>
      <c r="H11" s="24" t="s">
        <v>327</v>
      </c>
    </row>
    <row r="13" spans="2:8" ht="18" customHeight="1" x14ac:dyDescent="0.35">
      <c r="B13" s="1" t="s">
        <v>328</v>
      </c>
      <c r="C13" s="1"/>
      <c r="D13" s="1"/>
      <c r="E13" s="1"/>
      <c r="F13" s="1"/>
      <c r="G13" s="1"/>
      <c r="H13" s="1"/>
    </row>
    <row r="14" spans="2:8" ht="30" customHeight="1" x14ac:dyDescent="0.35">
      <c r="B14" s="10" t="s">
        <v>329</v>
      </c>
      <c r="C14" s="17">
        <f>IF(Hypothèses!$C$62&lt;&gt;"OK","",Pluriannuel!$C$26-Pluriannuel!$C$27)</f>
        <v>45628.638311337796</v>
      </c>
      <c r="D14" s="17">
        <f>IF(Hypothèses!$C$62&lt;&gt;"OK","",Pluriannuel!$C$42-Pluriannuel!$C$43)</f>
        <v>20000.200415546697</v>
      </c>
      <c r="E14" s="17">
        <f>IF(Hypothèses!$C$62&lt;&gt;"OK","",Pluriannuel!$C$48-Pluriannuel!$C$49)</f>
        <v>33558.592946897959</v>
      </c>
      <c r="F14" s="17">
        <f>IF(Hypothèses!$C$62&lt;&gt;"OK","",Pluriannuel!$C$62-Pluriannuel!$C$65)</f>
        <v>0</v>
      </c>
      <c r="G14" s="17">
        <f>IF(Hypothèses!$C$62&lt;&gt;"OK","",Pluriannuel!$C$74+Pluriannuel!$C$84)</f>
        <v>0</v>
      </c>
      <c r="H14" s="24" t="s">
        <v>330</v>
      </c>
    </row>
    <row r="15" spans="2:8" ht="30" customHeight="1" x14ac:dyDescent="0.35">
      <c r="B15" s="10" t="s">
        <v>331</v>
      </c>
      <c r="C15" s="14">
        <f>IF(Hypothèses!$C$62&lt;&gt;"OK","",Pluriannuel!$C$28)</f>
        <v>-82887.274404664262</v>
      </c>
      <c r="D15" s="14">
        <f>IF(Hypothèses!$C$62&lt;&gt;"OK","",Pluriannuel!$C$44)</f>
        <v>-57258.836508873166</v>
      </c>
      <c r="E15" s="14">
        <f>IF(Hypothèses!$C$62&lt;&gt;"OK","",Pluriannuel!$C$50)</f>
        <v>-75002.114056672595</v>
      </c>
      <c r="F15" s="14">
        <f>IF(Hypothèses!$C$62&lt;&gt;"OK","",Pluriannuel!$C$66)</f>
        <v>-46674.627380334874</v>
      </c>
      <c r="G15" s="14">
        <f>IF(Hypothèses!$C$62&lt;&gt;"OK","",Pluriannuel!$C$86)</f>
        <v>-53998.17615911919</v>
      </c>
      <c r="H15" s="24" t="s">
        <v>332</v>
      </c>
    </row>
    <row r="16" spans="2:8" ht="30" customHeight="1" x14ac:dyDescent="0.35">
      <c r="B16" s="10" t="s">
        <v>333</v>
      </c>
      <c r="C16" s="17">
        <f>IF(Hypothèses!$C$62&lt;&gt;"OK","",0)</f>
        <v>0</v>
      </c>
      <c r="D16" s="17">
        <f>IF(Hypothèses!$C$62&lt;&gt;"OK","",Pluriannuel!$C$40)</f>
        <v>0</v>
      </c>
      <c r="E16" s="17">
        <f>IF(Hypothèses!$C$62&lt;&gt;"OK","",0)</f>
        <v>0</v>
      </c>
      <c r="F16" s="17">
        <f>IF(Hypothèses!$C$62&lt;&gt;"OK","",Pluriannuel!$C$56+Pluriannuel!$C$60)</f>
        <v>35295.025331639656</v>
      </c>
      <c r="G16" s="17">
        <f>IF(Hypothèses!$C$62&lt;&gt;"OK","",Pluriannuel!$C$72)</f>
        <v>42618.574110423964</v>
      </c>
      <c r="H16" s="24" t="s">
        <v>334</v>
      </c>
    </row>
    <row r="17" spans="2:8" ht="16.5" customHeight="1" x14ac:dyDescent="0.35">
      <c r="B17" s="10" t="s">
        <v>136</v>
      </c>
      <c r="C17" s="17" t="str">
        <f>""</f>
        <v/>
      </c>
      <c r="D17" s="17" t="str">
        <f>""</f>
        <v/>
      </c>
      <c r="E17" s="17" t="str">
        <f>""</f>
        <v/>
      </c>
      <c r="F17" s="17" t="str">
        <f>""</f>
        <v/>
      </c>
      <c r="G17" s="17">
        <f>IF(Hypothèses!$C$62&lt;&gt;"OK","",Pluriannuel!$C$87)</f>
        <v>0</v>
      </c>
      <c r="H17" s="24" t="s">
        <v>335</v>
      </c>
    </row>
    <row r="19" spans="2:8" ht="18" customHeight="1" x14ac:dyDescent="0.35">
      <c r="B19" s="1" t="s">
        <v>336</v>
      </c>
      <c r="C19" s="1"/>
      <c r="D19" s="1"/>
      <c r="E19" s="1"/>
      <c r="F19" s="1"/>
      <c r="G19" s="1"/>
      <c r="H19" s="1"/>
    </row>
    <row r="20" spans="2:8" ht="16.5" customHeight="1" x14ac:dyDescent="0.35">
      <c r="B20" s="10" t="s">
        <v>337</v>
      </c>
      <c r="C20" s="17">
        <f>IF(Hypothèses!$C$62&lt;&gt;"OK","",Hypothèses!$C$45)</f>
        <v>232108.1650050297</v>
      </c>
      <c r="D20" s="17">
        <f>IF(Hypothèses!$C$62&lt;&gt;"OK","",Hypothèses!$C$45)</f>
        <v>232108.1650050297</v>
      </c>
      <c r="E20" s="17">
        <f>IF(Hypothèses!$C$62&lt;&gt;"OK","",Hypothèses!$C$45)</f>
        <v>232108.1650050297</v>
      </c>
      <c r="F20" s="17">
        <f>IF(Hypothèses!$C$62&lt;&gt;"OK","",Hypothèses!$C$45)</f>
        <v>232108.1650050297</v>
      </c>
      <c r="G20" s="17">
        <f>IF(Hypothèses!$C$62&lt;&gt;"OK","",Hypothèses!$C$45)</f>
        <v>232108.1650050297</v>
      </c>
      <c r="H20" s="24" t="s">
        <v>338</v>
      </c>
    </row>
    <row r="21" spans="2:8" ht="43.5" customHeight="1" x14ac:dyDescent="0.35">
      <c r="B21" s="10" t="s">
        <v>339</v>
      </c>
      <c r="C21" s="17">
        <f>IF(Hypothèses!$C$62&lt;&gt;"OK","",Hypothèses!$C$7+IF(Hypothèses!$C$8=Paramètres!$E$33,MAX(Hypothèses!$C$9,Hypothèses!$C$7*Paramètres!$C$21),Hypothèses!$C$9)+IF(Hypothèses!$C$44&gt;Paramètres!$C$23,Hypothèses!$C$7*Paramètres!$C$22,0))</f>
        <v>246000</v>
      </c>
      <c r="D21" s="17">
        <f>IF(Hypothèses!$C$62&lt;&gt;"OK","",Hypothèses!$C$7+IF(Hypothèses!$C$8=Paramètres!$E$33,MAX(Hypothèses!$C$9,Hypothèses!$C$7*Paramètres!$C$21),Hypothèses!$C$9)+IF(Hypothèses!$C$44&gt;Paramètres!$C$23,Hypothèses!$C$7*Paramètres!$C$22,0))</f>
        <v>246000</v>
      </c>
      <c r="E21" s="17">
        <f>IF(Hypothèses!$C$62&lt;&gt;"OK","",Hypothèses!$C$7+IF(Hypothèses!$C$8=Paramètres!$E$33,MAX(Hypothèses!$C$9,Hypothèses!$C$7*Paramètres!$C$21),Hypothèses!$C$9)+IF(Hypothèses!$C$44&gt;Paramètres!$C$23,Hypothèses!$C$7*Paramètres!$C$22,0))</f>
        <v>246000</v>
      </c>
      <c r="F21" s="17">
        <f>IF(Hypothèses!$C$62&lt;&gt;"OK","",Hypothèses!$C$7+IF(Hypothèses!$C$8=Paramètres!$E$33,MAX(Hypothèses!$C$9,Hypothèses!$C$7*Paramètres!$C$21),Hypothèses!$C$9)+IF(Hypothèses!$C$44&gt;Paramètres!$C$23,Hypothèses!$C$7*Paramètres!$C$22,0)-Pluriannuel!$C$64)</f>
        <v>212092.4731653262</v>
      </c>
      <c r="G21" s="17">
        <f>IF(Hypothèses!$C$62&lt;&gt;"OK","",Hypothèses!$C$7+IF(Hypothèses!$C$51=Paramètres!$D$33,Hypothèses!$C$9,0)+Hypothèses!$C$10+Hypothèses!$C$11-Pluriannuel!$C$22)</f>
        <v>156466.66666666669</v>
      </c>
      <c r="H21" s="24" t="s">
        <v>340</v>
      </c>
    </row>
    <row r="22" spans="2:8" ht="43.5" customHeight="1" x14ac:dyDescent="0.35">
      <c r="B22" s="10" t="s">
        <v>341</v>
      </c>
      <c r="C22" s="17" t="str">
        <f>""</f>
        <v/>
      </c>
      <c r="D22" s="17" t="str">
        <f>""</f>
        <v/>
      </c>
      <c r="E22" s="17" t="str">
        <f>""</f>
        <v/>
      </c>
      <c r="F22" s="17">
        <f>IF(Hypothèses!$C$62&lt;&gt;"OK","",Pluriannuel!$C$64)</f>
        <v>33907.526834673801</v>
      </c>
      <c r="G22" s="17" t="str">
        <f>""</f>
        <v/>
      </c>
      <c r="H22" s="24" t="s">
        <v>342</v>
      </c>
    </row>
    <row r="23" spans="2:8" ht="30" customHeight="1" x14ac:dyDescent="0.35">
      <c r="B23" s="10" t="s">
        <v>343</v>
      </c>
      <c r="C23" s="17">
        <f>IF(Hypothèses!$C$62&lt;&gt;"OK","",MAX(0,$C$20-$C$21))</f>
        <v>0</v>
      </c>
      <c r="D23" s="17">
        <f>IF(Hypothèses!$C$62&lt;&gt;"OK","",MAX(0,$D$20-$D$21))</f>
        <v>0</v>
      </c>
      <c r="E23" s="17">
        <f>IF(Hypothèses!$C$62&lt;&gt;"OK","",MAX(0,$E$20-$E$21))</f>
        <v>0</v>
      </c>
      <c r="F23" s="17">
        <f>IF(Hypothèses!$C$62&lt;&gt;"OK","",MAX(0,$F$20-$F$21))</f>
        <v>20015.691839703504</v>
      </c>
      <c r="G23" s="17">
        <f>IF(Hypothèses!$C$62&lt;&gt;"OK","",$G$20-$G$21)</f>
        <v>75641.498338363017</v>
      </c>
      <c r="H23" s="24" t="s">
        <v>344</v>
      </c>
    </row>
    <row r="24" spans="2:8" ht="43.5" customHeight="1" x14ac:dyDescent="0.35">
      <c r="B24" s="10" t="s">
        <v>345</v>
      </c>
      <c r="C24" s="17">
        <f>IF(Hypothèses!$C$62&lt;&gt;"OK","",$C$23*(1-INDEX(Paramètres!$C$41:$C$70,Hypothèses!$C$44)))</f>
        <v>0</v>
      </c>
      <c r="D24" s="17">
        <f>IF(Hypothèses!$C$62&lt;&gt;"OK","",$D$23*(1-INDEX(Paramètres!$C$41:$C$70,Hypothèses!$C$44)))</f>
        <v>0</v>
      </c>
      <c r="E24" s="17">
        <f>IF(Hypothèses!$C$62&lt;&gt;"OK","",$E$23*(1-INDEX(Paramètres!$C$41:$C$70,Hypothèses!$C$44)))</f>
        <v>0</v>
      </c>
      <c r="F24" s="17">
        <f>IF(Hypothèses!$C$62&lt;&gt;"OK","",$F$23*(1-INDEX(Paramètres!$C$41:$C$70,Hypothèses!$C$44)))</f>
        <v>14010.984287792453</v>
      </c>
      <c r="G24" s="17" t="str">
        <f>""</f>
        <v/>
      </c>
      <c r="H24" s="24" t="s">
        <v>346</v>
      </c>
    </row>
    <row r="25" spans="2:8" ht="57" customHeight="1" x14ac:dyDescent="0.35">
      <c r="B25" s="10" t="s">
        <v>347</v>
      </c>
      <c r="C25" s="17">
        <f>IF(Hypothèses!$C$62&lt;&gt;"OK","",IF($C$24&lt;=INDEX(Paramètres!$B$74:$B$83,1),0,MAX(0,INDEX(Paramètres!$C$74:$C$83,MATCH($C$24,Paramètres!$B$74:$B$83,1))*$C$24-INDEX(Paramètres!$D$74:$D$83,MATCH($C$24,Paramètres!$B$74:$B$83,1))*MAX(0,INDEX(Paramètres!$E$74:$E$83,MATCH($C$24,Paramètres!$B$74:$B$83,1))-$C$24))))</f>
        <v>0</v>
      </c>
      <c r="D25" s="17">
        <f>IF(Hypothèses!$C$62&lt;&gt;"OK","",IF($D$24&lt;=INDEX(Paramètres!$B$74:$B$83,1),0,MAX(0,INDEX(Paramètres!$C$74:$C$83,MATCH($D$24,Paramètres!$B$74:$B$83,1))*$D$24-INDEX(Paramètres!$D$74:$D$83,MATCH($D$24,Paramètres!$B$74:$B$83,1))*MAX(0,INDEX(Paramètres!$E$74:$E$83,MATCH($D$24,Paramètres!$B$74:$B$83,1))-$D$24))))</f>
        <v>0</v>
      </c>
      <c r="E25" s="17">
        <f>IF(Hypothèses!$C$62&lt;&gt;"OK","",IF($E$24&lt;=INDEX(Paramètres!$B$74:$B$83,1),0,MAX(0,INDEX(Paramètres!$C$74:$C$83,MATCH($E$24,Paramètres!$B$74:$B$83,1))*$E$24-INDEX(Paramètres!$D$74:$D$83,MATCH($E$24,Paramètres!$B$74:$B$83,1))*MAX(0,INDEX(Paramètres!$E$74:$E$83,MATCH($E$24,Paramètres!$B$74:$B$83,1))-$E$24))))</f>
        <v>0</v>
      </c>
      <c r="F25" s="17">
        <f>IF(Hypothèses!$C$62&lt;&gt;"OK","",IF($F$24&lt;=INDEX(Paramètres!$B$74:$B$83,1),0,MAX(0,INDEX(Paramètres!$C$74:$C$83,MATCH($F$24,Paramètres!$B$74:$B$83,1))*$F$24-INDEX(Paramètres!$D$74:$D$83,MATCH($F$24,Paramètres!$B$74:$B$83,1))*MAX(0,INDEX(Paramètres!$E$74:$E$83,MATCH($F$24,Paramètres!$B$74:$B$83,1))-$F$24))))</f>
        <v>0</v>
      </c>
      <c r="G25" s="17" t="str">
        <f>""</f>
        <v/>
      </c>
      <c r="H25" s="24" t="s">
        <v>348</v>
      </c>
    </row>
    <row r="26" spans="2:8" ht="30" customHeight="1" x14ac:dyDescent="0.35">
      <c r="B26" s="10" t="s">
        <v>349</v>
      </c>
      <c r="C26" s="17" t="str">
        <f>""</f>
        <v/>
      </c>
      <c r="D26" s="17" t="str">
        <f>""</f>
        <v/>
      </c>
      <c r="E26" s="17" t="str">
        <f>""</f>
        <v/>
      </c>
      <c r="F26" s="17" t="str">
        <f>""</f>
        <v/>
      </c>
      <c r="G26" s="17">
        <f>IF(Hypothèses!$C$62&lt;&gt;"OK","",(MIN(MAX(0,INDEX(Pluriannuel!$D$73:$AG$73,Hypothèses!$C$44)+$G$23-Pluriannuel!$C$72),Paramètres!$C$16)*Paramètres!$C$15+MAX(0,MAX(0,INDEX(Pluriannuel!$D$73:$AG$73,Hypothèses!$C$44)+$G$23-Pluriannuel!$C$72)-Paramètres!$C$16)*Paramètres!$C$17)-(MIN(INDEX(Pluriannuel!$D$73:$AG$73,Hypothèses!$C$44),Paramètres!$C$16)*Paramètres!$C$15+MAX(0,INDEX(Pluriannuel!$D$73:$AG$73,Hypothèses!$C$44)-Paramètres!$C$16)*Paramètres!$C$17))</f>
        <v>4953.4386341908576</v>
      </c>
      <c r="H26" s="24" t="s">
        <v>350</v>
      </c>
    </row>
    <row r="27" spans="2:8" ht="16.5" customHeight="1" x14ac:dyDescent="0.35">
      <c r="B27" s="10" t="s">
        <v>351</v>
      </c>
      <c r="C27" s="17" t="str">
        <f>""</f>
        <v/>
      </c>
      <c r="D27" s="17" t="str">
        <f>""</f>
        <v/>
      </c>
      <c r="E27" s="17" t="str">
        <f>""</f>
        <v/>
      </c>
      <c r="F27" s="17" t="str">
        <f>""</f>
        <v/>
      </c>
      <c r="G27" s="17">
        <f>IF(Hypothèses!$C$62&lt;&gt;"OK","",Pluriannuel!$C$87+$G$20-Pluriannuel!$C$18-$G$26)</f>
        <v>111067.66175286738</v>
      </c>
      <c r="H27" s="24" t="s">
        <v>352</v>
      </c>
    </row>
    <row r="28" spans="2:8" ht="16.5" customHeight="1" x14ac:dyDescent="0.35">
      <c r="B28" s="10" t="s">
        <v>353</v>
      </c>
      <c r="C28" s="17" t="str">
        <f>""</f>
        <v/>
      </c>
      <c r="D28" s="17" t="str">
        <f>""</f>
        <v/>
      </c>
      <c r="E28" s="17" t="str">
        <f>""</f>
        <v/>
      </c>
      <c r="F28" s="17" t="str">
        <f>""</f>
        <v/>
      </c>
      <c r="G28" s="17">
        <f>IF(Hypothèses!$C$62&lt;&gt;"OK","",MIN($G$27,Pluriannuel!$C$88))</f>
        <v>82998.176159119175</v>
      </c>
      <c r="H28" s="24" t="s">
        <v>354</v>
      </c>
    </row>
    <row r="29" spans="2:8" ht="16.5" customHeight="1" x14ac:dyDescent="0.35">
      <c r="B29" s="10" t="s">
        <v>355</v>
      </c>
      <c r="C29" s="17" t="str">
        <f>""</f>
        <v/>
      </c>
      <c r="D29" s="17" t="str">
        <f>""</f>
        <v/>
      </c>
      <c r="E29" s="17" t="str">
        <f>""</f>
        <v/>
      </c>
      <c r="F29" s="17" t="str">
        <f>""</f>
        <v/>
      </c>
      <c r="G29" s="17">
        <f>IF(Hypothèses!$C$62&lt;&gt;"OK","",MAX(0,$G$27-Pluriannuel!$C$88))</f>
        <v>28069.485593748206</v>
      </c>
      <c r="H29" s="24" t="s">
        <v>356</v>
      </c>
    </row>
    <row r="30" spans="2:8" ht="43.5" customHeight="1" x14ac:dyDescent="0.35">
      <c r="B30" s="10" t="s">
        <v>132</v>
      </c>
      <c r="C30" s="14">
        <f>IF(Hypothèses!$C$62&lt;&gt;"OK","",$C$24*Paramètres!$C$19+$C$23*(1-INDEX(Paramètres!$D$41:$D$70,Hypothèses!$C$44))*Paramètres!$C$20+$C$25)</f>
        <v>0</v>
      </c>
      <c r="D30" s="14">
        <f>IF(Hypothèses!$C$62&lt;&gt;"OK","",$D$24*Paramètres!$C$19+$D$23*(1-INDEX(Paramètres!$D$41:$D$70,Hypothèses!$C$44))*Paramètres!$C$20+$D$25)</f>
        <v>0</v>
      </c>
      <c r="E30" s="14">
        <f>IF(Hypothèses!$C$62&lt;&gt;"OK","",$E$24*Paramètres!$C$19+$E$23*(1-INDEX(Paramètres!$D$41:$D$70,Hypothèses!$C$44))*Paramètres!$C$20+$E$25)</f>
        <v>0</v>
      </c>
      <c r="F30" s="14">
        <f>IF(Hypothèses!$C$62&lt;&gt;"OK","",$F$24*Paramètres!$C$19+$F$23*(1-INDEX(Paramètres!$D$41:$D$70,Hypothèses!$C$44))*Paramètres!$C$20+$F$25)</f>
        <v>5820.7633439041756</v>
      </c>
      <c r="G30" s="14">
        <f>IF(Hypothèses!$C$62&lt;&gt;"OK","",$G$26+$G$29*Paramètres!$C$18)</f>
        <v>13767.257110627794</v>
      </c>
      <c r="H30" s="24" t="s">
        <v>357</v>
      </c>
    </row>
    <row r="31" spans="2:8" ht="30" customHeight="1" x14ac:dyDescent="0.35">
      <c r="B31" s="13" t="s">
        <v>358</v>
      </c>
      <c r="C31" s="14">
        <f>IF(Hypothèses!$C$62&lt;&gt;"OK","",$C$20-Pluriannuel!$C$18-$C$30)</f>
        <v>116021.10038705824</v>
      </c>
      <c r="D31" s="14">
        <f>IF(Hypothèses!$C$62&lt;&gt;"OK","",$D$20-Pluriannuel!$C$18-$D$30)</f>
        <v>116021.10038705824</v>
      </c>
      <c r="E31" s="14">
        <f>IF(Hypothèses!$C$62&lt;&gt;"OK","",$E$20-Pluriannuel!$C$18-$E$30)</f>
        <v>116021.10038705824</v>
      </c>
      <c r="F31" s="14">
        <f>IF(Hypothèses!$C$62&lt;&gt;"OK","",$F$20-Pluriannuel!$C$18-$F$30)</f>
        <v>110200.33704315405</v>
      </c>
      <c r="G31" s="14">
        <f>IF(Hypothèses!$C$62&lt;&gt;"OK","",$G$28+$G$29*(1-Paramètres!$C$18))</f>
        <v>102253.84327643045</v>
      </c>
      <c r="H31" s="24" t="s">
        <v>359</v>
      </c>
    </row>
    <row r="33" spans="2:8" ht="18" customHeight="1" x14ac:dyDescent="0.35">
      <c r="B33" s="1" t="s">
        <v>360</v>
      </c>
      <c r="C33" s="1"/>
      <c r="D33" s="1"/>
      <c r="E33" s="1"/>
      <c r="F33" s="1"/>
      <c r="G33" s="1"/>
      <c r="H33" s="1"/>
    </row>
    <row r="34" spans="2:8" ht="16.5" customHeight="1" x14ac:dyDescent="0.35">
      <c r="B34" s="13" t="s">
        <v>361</v>
      </c>
      <c r="C34" s="14">
        <f>IF(Hypothèses!$C$62&lt;&gt;"OK","",IF($C$8="Éligible",$C$15+$C$31,"Non éligible"))</f>
        <v>33133.825982393973</v>
      </c>
      <c r="D34" s="14">
        <f>IF(Hypothèses!$C$62&lt;&gt;"OK","",IF($D$8="Éligible",$D$15+$D$31,"Non éligible"))</f>
        <v>58762.263878185069</v>
      </c>
      <c r="E34" s="14">
        <f>IF(Hypothèses!$C$62&lt;&gt;"OK","",IF($E$8="Éligible",$E$15+$E$31,"Non éligible"))</f>
        <v>41018.98633038564</v>
      </c>
      <c r="F34" s="14">
        <f>IF(Hypothèses!$C$62&lt;&gt;"OK","",IF($F$8="Éligible",$F$15+$F$31,"Non éligible"))</f>
        <v>63525.709662819179</v>
      </c>
      <c r="G34" s="14">
        <f>IF(Hypothèses!$C$62&lt;&gt;"OK","",IF($G$8="Éligible",$G$15+$G$31,"Non éligible"))</f>
        <v>48255.667117311255</v>
      </c>
      <c r="H34" s="24" t="s">
        <v>362</v>
      </c>
    </row>
    <row r="35" spans="2:8" ht="16.5" customHeight="1" x14ac:dyDescent="0.35">
      <c r="B35" s="13" t="s">
        <v>363</v>
      </c>
      <c r="C35" s="14">
        <f>IF(ISNUMBER($C$34),$C$34-Hypothèses!$C$30,"")</f>
        <v>4133.8259823939734</v>
      </c>
      <c r="D35" s="14">
        <f>IF(ISNUMBER($D$34),$D$34-Hypothèses!$C$30,"")</f>
        <v>29762.263878185069</v>
      </c>
      <c r="E35" s="14">
        <f>IF(ISNUMBER($E$34),$E$34-Hypothèses!$C$30,"")</f>
        <v>12018.98633038564</v>
      </c>
      <c r="F35" s="14">
        <f>IF(ISNUMBER($F$34),$F$34-Hypothèses!$C$30,"")</f>
        <v>34525.709662819179</v>
      </c>
      <c r="G35" s="14">
        <f>IF(ISNUMBER($G$34),$G$34-Hypothèses!$C$30,"")</f>
        <v>19255.667117311255</v>
      </c>
      <c r="H35" s="24" t="s">
        <v>364</v>
      </c>
    </row>
    <row r="36" spans="2:8" ht="30" customHeight="1" x14ac:dyDescent="0.35">
      <c r="B36" s="13" t="s">
        <v>120</v>
      </c>
      <c r="C36" s="25">
        <f>IF(ISNUMBER($C$34),IF(AND(MIN(Pluriannuel!$C$92:$AG$92)&lt;0,MAX(Pluriannuel!$C$92:$AG$92)&gt;0),IRR(Pluriannuel!$C$92:$AG$92,IF($C$35&lt;0,-0.2,0.05)),"n.d."),"")</f>
        <v>6.0598173306469771E-3</v>
      </c>
      <c r="D36" s="25">
        <f>IF(ISNUMBER($D$34),IF(AND(MIN(Pluriannuel!$C$93:$AG$93)&lt;0,MAX(Pluriannuel!$C$93:$AG$93)&gt;0),IRR(Pluriannuel!$C$93:$AG$93,IF($D$35&lt;0,-0.2,0.05)),"n.d."),"")</f>
        <v>4.6979946320814259E-2</v>
      </c>
      <c r="E36" s="25">
        <f>IF(ISNUMBER($E$34),IF(AND(MIN(Pluriannuel!$C$94:$AG$94)&lt;0,MAX(Pluriannuel!$C$94:$AG$94)&gt;0),IRR(Pluriannuel!$C$94:$AG$94,IF($E$35&lt;0,-0.2,0.05)),"n.d."),"")</f>
        <v>1.7820640183841663E-2</v>
      </c>
      <c r="F36" s="25">
        <f>IF(ISNUMBER($F$34),IF(AND(MIN(Pluriannuel!$C$95:$AG$95)&lt;0,MAX(Pluriannuel!$C$95:$AG$95)&gt;0),IRR(Pluriannuel!$C$95:$AG$95,IF($F$35&lt;0,-0.2,0.05)),"n.d."),"")</f>
        <v>5.5035894916938277E-2</v>
      </c>
      <c r="G36" s="25">
        <f>IF(ISNUMBER($G$34),IF(AND(MIN(Pluriannuel!$C$96:$AG$96)&lt;0,MAX(Pluriannuel!$C$96:$AG$96)&gt;0),IRR(Pluriannuel!$C$96:$AG$96,IF($G$35&lt;0,-0.2,0.05)),"n.d."),"")</f>
        <v>3.1670478806612223E-2</v>
      </c>
      <c r="H36" s="24" t="s">
        <v>365</v>
      </c>
    </row>
    <row r="37" spans="2:8" ht="16.5" customHeight="1" x14ac:dyDescent="0.35">
      <c r="B37" s="10" t="s">
        <v>366</v>
      </c>
      <c r="C37" s="17">
        <f>IF(ISNUMBER($C$34),MAX($C$34:$G$34)-$C$34,"")</f>
        <v>30391.883680425206</v>
      </c>
      <c r="D37" s="17">
        <f>IF(ISNUMBER($D$34),MAX($C$34:$G$34)-$D$34,"")</f>
        <v>4763.4457846341102</v>
      </c>
      <c r="E37" s="17">
        <f>IF(ISNUMBER($E$34),MAX($C$34:$G$34)-$E$34,"")</f>
        <v>22506.723332433539</v>
      </c>
      <c r="F37" s="17">
        <f>IF(ISNUMBER($F$34),MAX($C$34:$G$34)-$F$34,"")</f>
        <v>0</v>
      </c>
      <c r="G37" s="17">
        <f>IF(ISNUMBER($G$34),MAX($C$34:$G$34)-$G$34,"")</f>
        <v>15270.042545507924</v>
      </c>
      <c r="H37" s="24" t="s">
        <v>367</v>
      </c>
    </row>
    <row r="38" spans="2:8" ht="16.5" customHeight="1" x14ac:dyDescent="0.35">
      <c r="B38" s="10" t="s">
        <v>368</v>
      </c>
      <c r="C38" s="26">
        <f>IF(ISNUMBER($C$34),COUNTIF($C$34:$G$34,"&gt;"&amp;$C$34)+1,"")</f>
        <v>5</v>
      </c>
      <c r="D38" s="26">
        <f>IF(ISNUMBER($D$34),COUNTIF($C$34:$G$34,"&gt;"&amp;$D$34)+1,"")</f>
        <v>2</v>
      </c>
      <c r="E38" s="26">
        <f>IF(ISNUMBER($E$34),COUNTIF($C$34:$G$34,"&gt;"&amp;$E$34)+1,"")</f>
        <v>4</v>
      </c>
      <c r="F38" s="26">
        <f>IF(ISNUMBER($F$34),COUNTIF($C$34:$G$34,"&gt;"&amp;$F$34)+1,"")</f>
        <v>1</v>
      </c>
      <c r="G38" s="26">
        <f>IF(ISNUMBER($G$34),COUNTIF($C$34:$G$34,"&gt;"&amp;$G$34)+1,"")</f>
        <v>3</v>
      </c>
      <c r="H38" s="24" t="s">
        <v>369</v>
      </c>
    </row>
    <row r="40" spans="2:8" ht="18" customHeight="1" x14ac:dyDescent="0.35">
      <c r="B40" s="1" t="s">
        <v>370</v>
      </c>
      <c r="C40" s="1"/>
      <c r="D40" s="1"/>
      <c r="E40" s="1"/>
      <c r="F40" s="1"/>
      <c r="G40" s="1"/>
      <c r="H40" s="1"/>
    </row>
    <row r="41" spans="2:8" ht="21" customHeight="1" x14ac:dyDescent="0.35">
      <c r="B41" s="13" t="s">
        <v>371</v>
      </c>
      <c r="C41" s="21" t="str">
        <f>IF(Hypothèses!$C$62&lt;&gt;"OK","",INDEX($C$6:$G$6,MATCH(MAX($C$34:$G$34),$C$34:$G$34,0)))</f>
        <v>Meublé, LMNP réel</v>
      </c>
      <c r="H41" s="24" t="s">
        <v>372</v>
      </c>
    </row>
    <row r="42" spans="2:8" ht="30" customHeight="1" x14ac:dyDescent="0.35">
      <c r="B42" s="13" t="s">
        <v>310</v>
      </c>
      <c r="C42" s="14">
        <f>IF(Hypothèses!$C$62&lt;&gt;"OK","",IF(COUNT($C$34:$G$34)&gt;=2,MAX($C$34:$G$34)-LARGE($C$34:$G$34,2),0))</f>
        <v>4763.4457846341102</v>
      </c>
      <c r="H42" s="24" t="s">
        <v>373</v>
      </c>
    </row>
    <row r="43" spans="2:8" ht="30" customHeight="1" x14ac:dyDescent="0.35">
      <c r="B43" s="10" t="s">
        <v>374</v>
      </c>
      <c r="C43" s="15" t="str">
        <f>IF(AND(Hypothèses!$C$62="OK",COUNTIF($C$34:$G$34,MAX($C$34:$G$34))=1),"OK","À CORRIGER")</f>
        <v>OK</v>
      </c>
      <c r="H43" s="24" t="s">
        <v>375</v>
      </c>
    </row>
    <row r="45" spans="2:8" ht="36" customHeight="1" x14ac:dyDescent="0.35">
      <c r="B45" s="37" t="s">
        <v>216</v>
      </c>
      <c r="C45" s="36"/>
      <c r="D45" s="36"/>
      <c r="E45" s="36"/>
      <c r="F45" s="36"/>
      <c r="G45" s="36"/>
      <c r="H45" s="36"/>
    </row>
  </sheetData>
  <sheetProtection sheet="1" formatColumns="0" formatRows="0"/>
  <mergeCells count="1">
    <mergeCell ref="B45:H45"/>
  </mergeCells>
  <conditionalFormatting sqref="C43">
    <cfRule type="cellIs" dxfId="2" priority="1" operator="equal">
      <formula>"OK"</formula>
    </cfRule>
    <cfRule type="cellIs" dxfId="1" priority="2" operator="equal">
      <formula>"À CORRIGER"</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G98"/>
  <sheetViews>
    <sheetView showGridLines="0" zoomScale="90" workbookViewId="0">
      <pane xSplit="3" ySplit="6" topLeftCell="D7"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58" customWidth="1"/>
    <col min="3" max="3" width="15" customWidth="1"/>
    <col min="4" max="33" width="12" customWidth="1"/>
  </cols>
  <sheetData>
    <row r="1" spans="2:33" ht="20" customHeight="1" x14ac:dyDescent="0.3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2:33" ht="26" customHeight="1" x14ac:dyDescent="0.35">
      <c r="B2" s="2" t="s">
        <v>33</v>
      </c>
    </row>
    <row r="3" spans="2:33" x14ac:dyDescent="0.35">
      <c r="B3" s="3" t="s">
        <v>376</v>
      </c>
    </row>
    <row r="6" spans="2:33" ht="30" customHeight="1" x14ac:dyDescent="0.35">
      <c r="B6" s="22" t="s">
        <v>377</v>
      </c>
      <c r="C6" s="22" t="s">
        <v>378</v>
      </c>
      <c r="D6" s="27">
        <v>1</v>
      </c>
      <c r="E6" s="27">
        <v>2</v>
      </c>
      <c r="F6" s="27">
        <v>3</v>
      </c>
      <c r="G6" s="27">
        <v>4</v>
      </c>
      <c r="H6" s="27">
        <v>5</v>
      </c>
      <c r="I6" s="27">
        <v>6</v>
      </c>
      <c r="J6" s="27">
        <v>7</v>
      </c>
      <c r="K6" s="27">
        <v>8</v>
      </c>
      <c r="L6" s="27">
        <v>9</v>
      </c>
      <c r="M6" s="27">
        <v>10</v>
      </c>
      <c r="N6" s="27">
        <v>11</v>
      </c>
      <c r="O6" s="27">
        <v>12</v>
      </c>
      <c r="P6" s="27">
        <v>13</v>
      </c>
      <c r="Q6" s="27">
        <v>14</v>
      </c>
      <c r="R6" s="27">
        <v>15</v>
      </c>
      <c r="S6" s="27">
        <v>16</v>
      </c>
      <c r="T6" s="27">
        <v>17</v>
      </c>
      <c r="U6" s="27">
        <v>18</v>
      </c>
      <c r="V6" s="27">
        <v>19</v>
      </c>
      <c r="W6" s="27">
        <v>20</v>
      </c>
      <c r="X6" s="27">
        <v>21</v>
      </c>
      <c r="Y6" s="27">
        <v>22</v>
      </c>
      <c r="Z6" s="27">
        <v>23</v>
      </c>
      <c r="AA6" s="27">
        <v>24</v>
      </c>
      <c r="AB6" s="27">
        <v>25</v>
      </c>
      <c r="AC6" s="27">
        <v>26</v>
      </c>
      <c r="AD6" s="27">
        <v>27</v>
      </c>
      <c r="AE6" s="27">
        <v>28</v>
      </c>
      <c r="AF6" s="27">
        <v>29</v>
      </c>
      <c r="AG6" s="27">
        <v>30</v>
      </c>
    </row>
    <row r="8" spans="2:33" ht="18" customHeight="1" x14ac:dyDescent="0.35">
      <c r="B8" s="1" t="s">
        <v>379</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2:33" x14ac:dyDescent="0.35">
      <c r="B9" s="10" t="s">
        <v>380</v>
      </c>
      <c r="C9" s="14">
        <f>SUMPRODUCT((D$6:AG$6&lt;=Hypothèses!$C$44)*(D9:AG9))</f>
        <v>138101.20554278995</v>
      </c>
      <c r="D9" s="17">
        <f>Hypothèses!$C$16*(1+Hypothèses!$C$21)^(D$6-1)</f>
        <v>13200</v>
      </c>
      <c r="E9" s="17">
        <f>Hypothèses!$C$16*(1+Hypothèses!$C$21)^(E$6-1)</f>
        <v>13332</v>
      </c>
      <c r="F9" s="17">
        <f>Hypothèses!$C$16*(1+Hypothèses!$C$21)^(F$6-1)</f>
        <v>13465.32</v>
      </c>
      <c r="G9" s="17">
        <f>Hypothèses!$C$16*(1+Hypothèses!$C$21)^(G$6-1)</f>
        <v>13599.973199999999</v>
      </c>
      <c r="H9" s="17">
        <f>Hypothèses!$C$16*(1+Hypothèses!$C$21)^(H$6-1)</f>
        <v>13735.972932000001</v>
      </c>
      <c r="I9" s="17">
        <f>Hypothèses!$C$16*(1+Hypothèses!$C$21)^(I$6-1)</f>
        <v>13873.332661319999</v>
      </c>
      <c r="J9" s="17">
        <f>Hypothèses!$C$16*(1+Hypothèses!$C$21)^(J$6-1)</f>
        <v>14012.065987933202</v>
      </c>
      <c r="K9" s="17">
        <f>Hypothèses!$C$16*(1+Hypothèses!$C$21)^(K$6-1)</f>
        <v>14152.18664781253</v>
      </c>
      <c r="L9" s="17">
        <f>Hypothèses!$C$16*(1+Hypothèses!$C$21)^(L$6-1)</f>
        <v>14293.70851429066</v>
      </c>
      <c r="M9" s="17">
        <f>Hypothèses!$C$16*(1+Hypothèses!$C$21)^(M$6-1)</f>
        <v>14436.645599433567</v>
      </c>
      <c r="N9" s="17">
        <f>Hypothèses!$C$16*(1+Hypothèses!$C$21)^(N$6-1)</f>
        <v>14581.012055427902</v>
      </c>
      <c r="O9" s="17">
        <f>Hypothèses!$C$16*(1+Hypothèses!$C$21)^(O$6-1)</f>
        <v>14726.822175982179</v>
      </c>
      <c r="P9" s="17">
        <f>Hypothèses!$C$16*(1+Hypothèses!$C$21)^(P$6-1)</f>
        <v>14874.090397742</v>
      </c>
      <c r="Q9" s="17">
        <f>Hypothèses!$C$16*(1+Hypothèses!$C$21)^(Q$6-1)</f>
        <v>15022.831301719421</v>
      </c>
      <c r="R9" s="17">
        <f>Hypothèses!$C$16*(1+Hypothèses!$C$21)^(R$6-1)</f>
        <v>15173.059614736618</v>
      </c>
      <c r="S9" s="17">
        <f>Hypothèses!$C$16*(1+Hypothèses!$C$21)^(S$6-1)</f>
        <v>15324.790210883979</v>
      </c>
      <c r="T9" s="17">
        <f>Hypothèses!$C$16*(1+Hypothèses!$C$21)^(T$6-1)</f>
        <v>15478.038112992825</v>
      </c>
      <c r="U9" s="17">
        <f>Hypothèses!$C$16*(1+Hypothèses!$C$21)^(U$6-1)</f>
        <v>15632.818494122754</v>
      </c>
      <c r="V9" s="17">
        <f>Hypothèses!$C$16*(1+Hypothèses!$C$21)^(V$6-1)</f>
        <v>15789.146679063981</v>
      </c>
      <c r="W9" s="17">
        <f>Hypothèses!$C$16*(1+Hypothèses!$C$21)^(W$6-1)</f>
        <v>15947.038145854618</v>
      </c>
      <c r="X9" s="17">
        <f>Hypothèses!$C$16*(1+Hypothèses!$C$21)^(X$6-1)</f>
        <v>16106.508527313164</v>
      </c>
      <c r="Y9" s="17">
        <f>Hypothèses!$C$16*(1+Hypothèses!$C$21)^(Y$6-1)</f>
        <v>16267.573612586295</v>
      </c>
      <c r="Z9" s="17">
        <f>Hypothèses!$C$16*(1+Hypothèses!$C$21)^(Z$6-1)</f>
        <v>16430.249348712161</v>
      </c>
      <c r="AA9" s="17">
        <f>Hypothèses!$C$16*(1+Hypothèses!$C$21)^(AA$6-1)</f>
        <v>16594.551842199282</v>
      </c>
      <c r="AB9" s="17">
        <f>Hypothèses!$C$16*(1+Hypothèses!$C$21)^(AB$6-1)</f>
        <v>16760.497360621277</v>
      </c>
      <c r="AC9" s="17">
        <f>Hypothèses!$C$16*(1+Hypothèses!$C$21)^(AC$6-1)</f>
        <v>16928.102334227493</v>
      </c>
      <c r="AD9" s="17">
        <f>Hypothèses!$C$16*(1+Hypothèses!$C$21)^(AD$6-1)</f>
        <v>17097.383357569768</v>
      </c>
      <c r="AE9" s="17">
        <f>Hypothèses!$C$16*(1+Hypothèses!$C$21)^(AE$6-1)</f>
        <v>17268.35719114546</v>
      </c>
      <c r="AF9" s="17">
        <f>Hypothèses!$C$16*(1+Hypothèses!$C$21)^(AF$6-1)</f>
        <v>17441.040763056913</v>
      </c>
      <c r="AG9" s="17">
        <f>Hypothèses!$C$16*(1+Hypothèses!$C$21)^(AG$6-1)</f>
        <v>17615.451170687484</v>
      </c>
    </row>
    <row r="10" spans="2:33" x14ac:dyDescent="0.35">
      <c r="B10" s="10" t="s">
        <v>381</v>
      </c>
      <c r="C10" s="14">
        <f>SUMPRODUCT((D$6:AG$6&lt;=Hypothèses!$C$44)*(D10:AG10))</f>
        <v>32432.858877473398</v>
      </c>
      <c r="D10" s="17">
        <f>Hypothèses!$C$17*(1+Hypothèses!$C$21)^(D$6-1)</f>
        <v>3100</v>
      </c>
      <c r="E10" s="17">
        <f>Hypothèses!$C$17*(1+Hypothèses!$C$21)^(E$6-1)</f>
        <v>3131</v>
      </c>
      <c r="F10" s="17">
        <f>Hypothèses!$C$17*(1+Hypothèses!$C$21)^(F$6-1)</f>
        <v>3162.31</v>
      </c>
      <c r="G10" s="17">
        <f>Hypothèses!$C$17*(1+Hypothèses!$C$21)^(G$6-1)</f>
        <v>3193.9330999999997</v>
      </c>
      <c r="H10" s="17">
        <f>Hypothèses!$C$17*(1+Hypothèses!$C$21)^(H$6-1)</f>
        <v>3225.8724310000002</v>
      </c>
      <c r="I10" s="17">
        <f>Hypothèses!$C$17*(1+Hypothèses!$C$21)^(I$6-1)</f>
        <v>3258.1311553099999</v>
      </c>
      <c r="J10" s="17">
        <f>Hypothèses!$C$17*(1+Hypothèses!$C$21)^(J$6-1)</f>
        <v>3290.7124668631004</v>
      </c>
      <c r="K10" s="17">
        <f>Hypothèses!$C$17*(1+Hypothèses!$C$21)^(K$6-1)</f>
        <v>3323.6195915317303</v>
      </c>
      <c r="L10" s="17">
        <f>Hypothèses!$C$17*(1+Hypothèses!$C$21)^(L$6-1)</f>
        <v>3356.8557874470489</v>
      </c>
      <c r="M10" s="17">
        <f>Hypothèses!$C$17*(1+Hypothèses!$C$21)^(M$6-1)</f>
        <v>3390.4243453215195</v>
      </c>
      <c r="N10" s="17">
        <f>Hypothèses!$C$17*(1+Hypothèses!$C$21)^(N$6-1)</f>
        <v>3424.3285887747347</v>
      </c>
      <c r="O10" s="17">
        <f>Hypothèses!$C$17*(1+Hypothèses!$C$21)^(O$6-1)</f>
        <v>3458.5718746624812</v>
      </c>
      <c r="P10" s="17">
        <f>Hypothèses!$C$17*(1+Hypothèses!$C$21)^(P$6-1)</f>
        <v>3493.1575934091061</v>
      </c>
      <c r="Q10" s="17">
        <f>Hypothèses!$C$17*(1+Hypothèses!$C$21)^(Q$6-1)</f>
        <v>3528.0891693431972</v>
      </c>
      <c r="R10" s="17">
        <f>Hypothèses!$C$17*(1+Hypothèses!$C$21)^(R$6-1)</f>
        <v>3563.37006103663</v>
      </c>
      <c r="S10" s="17">
        <f>Hypothèses!$C$17*(1+Hypothèses!$C$21)^(S$6-1)</f>
        <v>3599.0037616469954</v>
      </c>
      <c r="T10" s="17">
        <f>Hypothèses!$C$17*(1+Hypothèses!$C$21)^(T$6-1)</f>
        <v>3634.9937992634664</v>
      </c>
      <c r="U10" s="17">
        <f>Hypothèses!$C$17*(1+Hypothèses!$C$21)^(U$6-1)</f>
        <v>3671.3437372561011</v>
      </c>
      <c r="V10" s="17">
        <f>Hypothèses!$C$17*(1+Hypothèses!$C$21)^(V$6-1)</f>
        <v>3708.0571746286623</v>
      </c>
      <c r="W10" s="17">
        <f>Hypothèses!$C$17*(1+Hypothèses!$C$21)^(W$6-1)</f>
        <v>3745.1377463749482</v>
      </c>
      <c r="X10" s="17">
        <f>Hypothèses!$C$17*(1+Hypothèses!$C$21)^(X$6-1)</f>
        <v>3782.589123838698</v>
      </c>
      <c r="Y10" s="17">
        <f>Hypothèses!$C$17*(1+Hypothèses!$C$21)^(Y$6-1)</f>
        <v>3820.4150150770843</v>
      </c>
      <c r="Z10" s="17">
        <f>Hypothèses!$C$17*(1+Hypothèses!$C$21)^(Z$6-1)</f>
        <v>3858.6191652278562</v>
      </c>
      <c r="AA10" s="17">
        <f>Hypothèses!$C$17*(1+Hypothèses!$C$21)^(AA$6-1)</f>
        <v>3897.2053568801343</v>
      </c>
      <c r="AB10" s="17">
        <f>Hypothèses!$C$17*(1+Hypothèses!$C$21)^(AB$6-1)</f>
        <v>3936.1774104489364</v>
      </c>
      <c r="AC10" s="17">
        <f>Hypothèses!$C$17*(1+Hypothèses!$C$21)^(AC$6-1)</f>
        <v>3975.5391845534264</v>
      </c>
      <c r="AD10" s="17">
        <f>Hypothèses!$C$17*(1+Hypothèses!$C$21)^(AD$6-1)</f>
        <v>4015.2945763989605</v>
      </c>
      <c r="AE10" s="17">
        <f>Hypothèses!$C$17*(1+Hypothèses!$C$21)^(AE$6-1)</f>
        <v>4055.4475221629486</v>
      </c>
      <c r="AF10" s="17">
        <f>Hypothèses!$C$17*(1+Hypothèses!$C$21)^(AF$6-1)</f>
        <v>4096.0019973845783</v>
      </c>
      <c r="AG10" s="17">
        <f>Hypothèses!$C$17*(1+Hypothèses!$C$21)^(AG$6-1)</f>
        <v>4136.9620173584244</v>
      </c>
    </row>
    <row r="11" spans="2:33" x14ac:dyDescent="0.35">
      <c r="B11" s="10" t="s">
        <v>382</v>
      </c>
      <c r="C11" s="14">
        <f>SUMPRODUCT((D$6:AG$6&lt;=Hypothèses!$C$44)*(D11:AG11))</f>
        <v>4184.885016448181</v>
      </c>
      <c r="D11" s="17">
        <f>Hypothèses!$C$18*(1+Hypothèses!$C$21)^(D$6-1)</f>
        <v>400</v>
      </c>
      <c r="E11" s="17">
        <f>Hypothèses!$C$18*(1+Hypothèses!$C$21)^(E$6-1)</f>
        <v>404</v>
      </c>
      <c r="F11" s="17">
        <f>Hypothèses!$C$18*(1+Hypothèses!$C$21)^(F$6-1)</f>
        <v>408.04</v>
      </c>
      <c r="G11" s="17">
        <f>Hypothèses!$C$18*(1+Hypothèses!$C$21)^(G$6-1)</f>
        <v>412.12039999999996</v>
      </c>
      <c r="H11" s="17">
        <f>Hypothèses!$C$18*(1+Hypothèses!$C$21)^(H$6-1)</f>
        <v>416.241604</v>
      </c>
      <c r="I11" s="17">
        <f>Hypothèses!$C$18*(1+Hypothèses!$C$21)^(I$6-1)</f>
        <v>420.40402003999998</v>
      </c>
      <c r="J11" s="17">
        <f>Hypothèses!$C$18*(1+Hypothèses!$C$21)^(J$6-1)</f>
        <v>424.60806024040005</v>
      </c>
      <c r="K11" s="17">
        <f>Hypothèses!$C$18*(1+Hypothèses!$C$21)^(K$6-1)</f>
        <v>428.85414084280393</v>
      </c>
      <c r="L11" s="17">
        <f>Hypothèses!$C$18*(1+Hypothèses!$C$21)^(L$6-1)</f>
        <v>433.14268225123209</v>
      </c>
      <c r="M11" s="17">
        <f>Hypothèses!$C$18*(1+Hypothèses!$C$21)^(M$6-1)</f>
        <v>437.47410907374444</v>
      </c>
      <c r="N11" s="17">
        <f>Hypothèses!$C$18*(1+Hypothèses!$C$21)^(N$6-1)</f>
        <v>441.84885016448192</v>
      </c>
      <c r="O11" s="17">
        <f>Hypothèses!$C$18*(1+Hypothèses!$C$21)^(O$6-1)</f>
        <v>446.26733866612665</v>
      </c>
      <c r="P11" s="17">
        <f>Hypothèses!$C$18*(1+Hypothèses!$C$21)^(P$6-1)</f>
        <v>450.73001205278791</v>
      </c>
      <c r="Q11" s="17">
        <f>Hypothèses!$C$18*(1+Hypothèses!$C$21)^(Q$6-1)</f>
        <v>455.23731217331579</v>
      </c>
      <c r="R11" s="17">
        <f>Hypothèses!$C$18*(1+Hypothèses!$C$21)^(R$6-1)</f>
        <v>459.78968529504903</v>
      </c>
      <c r="S11" s="17">
        <f>Hypothèses!$C$18*(1+Hypothèses!$C$21)^(S$6-1)</f>
        <v>464.38758214799935</v>
      </c>
      <c r="T11" s="17">
        <f>Hypothèses!$C$18*(1+Hypothèses!$C$21)^(T$6-1)</f>
        <v>469.0314579694795</v>
      </c>
      <c r="U11" s="17">
        <f>Hypothèses!$C$18*(1+Hypothèses!$C$21)^(U$6-1)</f>
        <v>473.72177254917432</v>
      </c>
      <c r="V11" s="17">
        <f>Hypothèses!$C$18*(1+Hypothèses!$C$21)^(V$6-1)</f>
        <v>478.45899027466612</v>
      </c>
      <c r="W11" s="17">
        <f>Hypothèses!$C$18*(1+Hypothèses!$C$21)^(W$6-1)</f>
        <v>483.24358017741264</v>
      </c>
      <c r="X11" s="17">
        <f>Hypothèses!$C$18*(1+Hypothèses!$C$21)^(X$6-1)</f>
        <v>488.07601597918682</v>
      </c>
      <c r="Y11" s="17">
        <f>Hypothèses!$C$18*(1+Hypothèses!$C$21)^(Y$6-1)</f>
        <v>492.95677613897863</v>
      </c>
      <c r="Z11" s="17">
        <f>Hypothèses!$C$18*(1+Hypothèses!$C$21)^(Z$6-1)</f>
        <v>497.88634390036856</v>
      </c>
      <c r="AA11" s="17">
        <f>Hypothèses!$C$18*(1+Hypothèses!$C$21)^(AA$6-1)</f>
        <v>502.86520733937215</v>
      </c>
      <c r="AB11" s="17">
        <f>Hypothèses!$C$18*(1+Hypothèses!$C$21)^(AB$6-1)</f>
        <v>507.89385941276601</v>
      </c>
      <c r="AC11" s="17">
        <f>Hypothèses!$C$18*(1+Hypothèses!$C$21)^(AC$6-1)</f>
        <v>512.97279800689375</v>
      </c>
      <c r="AD11" s="17">
        <f>Hypothèses!$C$18*(1+Hypothèses!$C$21)^(AD$6-1)</f>
        <v>518.10252598696263</v>
      </c>
      <c r="AE11" s="17">
        <f>Hypothèses!$C$18*(1+Hypothèses!$C$21)^(AE$6-1)</f>
        <v>523.28355124683208</v>
      </c>
      <c r="AF11" s="17">
        <f>Hypothèses!$C$18*(1+Hypothèses!$C$21)^(AF$6-1)</f>
        <v>528.51638675930042</v>
      </c>
      <c r="AG11" s="17">
        <f>Hypothèses!$C$18*(1+Hypothèses!$C$21)^(AG$6-1)</f>
        <v>533.80155062689346</v>
      </c>
    </row>
    <row r="12" spans="2:33" x14ac:dyDescent="0.35">
      <c r="B12" s="10" t="s">
        <v>383</v>
      </c>
      <c r="C12" s="14">
        <f>SUMPRODUCT((D$6:AG$6&lt;=Hypothèses!$C$44)*(D12:AG12))</f>
        <v>5231.1062705602253</v>
      </c>
      <c r="D12" s="17">
        <f>Hypothèses!$C$19*(1+Hypothèses!$C$21)^(D$6-1)</f>
        <v>500</v>
      </c>
      <c r="E12" s="17">
        <f>Hypothèses!$C$19*(1+Hypothèses!$C$21)^(E$6-1)</f>
        <v>505</v>
      </c>
      <c r="F12" s="17">
        <f>Hypothèses!$C$19*(1+Hypothèses!$C$21)^(F$6-1)</f>
        <v>510.05</v>
      </c>
      <c r="G12" s="17">
        <f>Hypothèses!$C$19*(1+Hypothèses!$C$21)^(G$6-1)</f>
        <v>515.15049999999997</v>
      </c>
      <c r="H12" s="17">
        <f>Hypothèses!$C$19*(1+Hypothèses!$C$21)^(H$6-1)</f>
        <v>520.30200500000001</v>
      </c>
      <c r="I12" s="17">
        <f>Hypothèses!$C$19*(1+Hypothèses!$C$21)^(I$6-1)</f>
        <v>525.50502504999997</v>
      </c>
      <c r="J12" s="17">
        <f>Hypothèses!$C$19*(1+Hypothèses!$C$21)^(J$6-1)</f>
        <v>530.76007530050003</v>
      </c>
      <c r="K12" s="17">
        <f>Hypothèses!$C$19*(1+Hypothèses!$C$21)^(K$6-1)</f>
        <v>536.0676760535049</v>
      </c>
      <c r="L12" s="17">
        <f>Hypothèses!$C$19*(1+Hypothèses!$C$21)^(L$6-1)</f>
        <v>541.42835281404007</v>
      </c>
      <c r="M12" s="17">
        <f>Hypothèses!$C$19*(1+Hypothèses!$C$21)^(M$6-1)</f>
        <v>546.84263634218053</v>
      </c>
      <c r="N12" s="17">
        <f>Hypothèses!$C$19*(1+Hypothèses!$C$21)^(N$6-1)</f>
        <v>552.31106270560235</v>
      </c>
      <c r="O12" s="17">
        <f>Hypothèses!$C$19*(1+Hypothèses!$C$21)^(O$6-1)</f>
        <v>557.83417333265822</v>
      </c>
      <c r="P12" s="17">
        <f>Hypothèses!$C$19*(1+Hypothèses!$C$21)^(P$6-1)</f>
        <v>563.41251506598485</v>
      </c>
      <c r="Q12" s="17">
        <f>Hypothèses!$C$19*(1+Hypothèses!$C$21)^(Q$6-1)</f>
        <v>569.04664021664473</v>
      </c>
      <c r="R12" s="17">
        <f>Hypothèses!$C$19*(1+Hypothèses!$C$21)^(R$6-1)</f>
        <v>574.73710661881125</v>
      </c>
      <c r="S12" s="17">
        <f>Hypothèses!$C$19*(1+Hypothèses!$C$21)^(S$6-1)</f>
        <v>580.48447768499921</v>
      </c>
      <c r="T12" s="17">
        <f>Hypothèses!$C$19*(1+Hypothèses!$C$21)^(T$6-1)</f>
        <v>586.28932246184934</v>
      </c>
      <c r="U12" s="17">
        <f>Hypothèses!$C$19*(1+Hypothèses!$C$21)^(U$6-1)</f>
        <v>592.15221568646791</v>
      </c>
      <c r="V12" s="17">
        <f>Hypothèses!$C$19*(1+Hypothèses!$C$21)^(V$6-1)</f>
        <v>598.07373784333265</v>
      </c>
      <c r="W12" s="17">
        <f>Hypothèses!$C$19*(1+Hypothèses!$C$21)^(W$6-1)</f>
        <v>604.05447522176576</v>
      </c>
      <c r="X12" s="17">
        <f>Hypothèses!$C$19*(1+Hypothèses!$C$21)^(X$6-1)</f>
        <v>610.09501997398354</v>
      </c>
      <c r="Y12" s="17">
        <f>Hypothèses!$C$19*(1+Hypothèses!$C$21)^(Y$6-1)</f>
        <v>616.19597017372325</v>
      </c>
      <c r="Z12" s="17">
        <f>Hypothèses!$C$19*(1+Hypothèses!$C$21)^(Z$6-1)</f>
        <v>622.35792987546063</v>
      </c>
      <c r="AA12" s="17">
        <f>Hypothèses!$C$19*(1+Hypothèses!$C$21)^(AA$6-1)</f>
        <v>628.58150917421517</v>
      </c>
      <c r="AB12" s="17">
        <f>Hypothèses!$C$19*(1+Hypothèses!$C$21)^(AB$6-1)</f>
        <v>634.86732426595745</v>
      </c>
      <c r="AC12" s="17">
        <f>Hypothèses!$C$19*(1+Hypothèses!$C$21)^(AC$6-1)</f>
        <v>641.21599750861708</v>
      </c>
      <c r="AD12" s="17">
        <f>Hypothèses!$C$19*(1+Hypothèses!$C$21)^(AD$6-1)</f>
        <v>647.62815748370326</v>
      </c>
      <c r="AE12" s="17">
        <f>Hypothèses!$C$19*(1+Hypothèses!$C$21)^(AE$6-1)</f>
        <v>654.10443905854015</v>
      </c>
      <c r="AF12" s="17">
        <f>Hypothèses!$C$19*(1+Hypothèses!$C$21)^(AF$6-1)</f>
        <v>660.64548344912555</v>
      </c>
      <c r="AG12" s="17">
        <f>Hypothèses!$C$19*(1+Hypothèses!$C$21)^(AG$6-1)</f>
        <v>667.25193828361682</v>
      </c>
    </row>
    <row r="13" spans="2:33" x14ac:dyDescent="0.35">
      <c r="B13" s="10" t="s">
        <v>384</v>
      </c>
      <c r="C13" s="14">
        <f>SUMPRODUCT((D$6:AG$6&lt;=Hypothèses!$C$44)*(D13:AG13))</f>
        <v>12554.655049344541</v>
      </c>
      <c r="D13" s="17">
        <f>Hypothèses!$C$20*(1+Hypothèses!$C$21)^(D$6-1)</f>
        <v>1200</v>
      </c>
      <c r="E13" s="17">
        <f>Hypothèses!$C$20*(1+Hypothèses!$C$21)^(E$6-1)</f>
        <v>1212</v>
      </c>
      <c r="F13" s="17">
        <f>Hypothèses!$C$20*(1+Hypothèses!$C$21)^(F$6-1)</f>
        <v>1224.1200000000001</v>
      </c>
      <c r="G13" s="17">
        <f>Hypothèses!$C$20*(1+Hypothèses!$C$21)^(G$6-1)</f>
        <v>1236.3611999999998</v>
      </c>
      <c r="H13" s="17">
        <f>Hypothèses!$C$20*(1+Hypothèses!$C$21)^(H$6-1)</f>
        <v>1248.7248119999999</v>
      </c>
      <c r="I13" s="17">
        <f>Hypothèses!$C$20*(1+Hypothèses!$C$21)^(I$6-1)</f>
        <v>1261.2120601199999</v>
      </c>
      <c r="J13" s="17">
        <f>Hypothèses!$C$20*(1+Hypothèses!$C$21)^(J$6-1)</f>
        <v>1273.8241807212003</v>
      </c>
      <c r="K13" s="17">
        <f>Hypothèses!$C$20*(1+Hypothèses!$C$21)^(K$6-1)</f>
        <v>1286.5624225284118</v>
      </c>
      <c r="L13" s="17">
        <f>Hypothèses!$C$20*(1+Hypothèses!$C$21)^(L$6-1)</f>
        <v>1299.4280467536962</v>
      </c>
      <c r="M13" s="17">
        <f>Hypothèses!$C$20*(1+Hypothèses!$C$21)^(M$6-1)</f>
        <v>1312.4223272212334</v>
      </c>
      <c r="N13" s="17">
        <f>Hypothèses!$C$20*(1+Hypothèses!$C$21)^(N$6-1)</f>
        <v>1325.5465504934457</v>
      </c>
      <c r="O13" s="17">
        <f>Hypothèses!$C$20*(1+Hypothèses!$C$21)^(O$6-1)</f>
        <v>1338.8020159983798</v>
      </c>
      <c r="P13" s="17">
        <f>Hypothèses!$C$20*(1+Hypothèses!$C$21)^(P$6-1)</f>
        <v>1352.1900361583637</v>
      </c>
      <c r="Q13" s="17">
        <f>Hypothèses!$C$20*(1+Hypothèses!$C$21)^(Q$6-1)</f>
        <v>1365.7119365199474</v>
      </c>
      <c r="R13" s="17">
        <f>Hypothèses!$C$20*(1+Hypothèses!$C$21)^(R$6-1)</f>
        <v>1379.369055885147</v>
      </c>
      <c r="S13" s="17">
        <f>Hypothèses!$C$20*(1+Hypothèses!$C$21)^(S$6-1)</f>
        <v>1393.1627464439982</v>
      </c>
      <c r="T13" s="17">
        <f>Hypothèses!$C$20*(1+Hypothèses!$C$21)^(T$6-1)</f>
        <v>1407.0943739084385</v>
      </c>
      <c r="U13" s="17">
        <f>Hypothèses!$C$20*(1+Hypothèses!$C$21)^(U$6-1)</f>
        <v>1421.1653176475229</v>
      </c>
      <c r="V13" s="17">
        <f>Hypothèses!$C$20*(1+Hypothèses!$C$21)^(V$6-1)</f>
        <v>1435.3769708239984</v>
      </c>
      <c r="W13" s="17">
        <f>Hypothèses!$C$20*(1+Hypothèses!$C$21)^(W$6-1)</f>
        <v>1449.7307405322379</v>
      </c>
      <c r="X13" s="17">
        <f>Hypothèses!$C$20*(1+Hypothèses!$C$21)^(X$6-1)</f>
        <v>1464.2280479375604</v>
      </c>
      <c r="Y13" s="17">
        <f>Hypothèses!$C$20*(1+Hypothèses!$C$21)^(Y$6-1)</f>
        <v>1478.870328416936</v>
      </c>
      <c r="Z13" s="17">
        <f>Hypothèses!$C$20*(1+Hypothèses!$C$21)^(Z$6-1)</f>
        <v>1493.6590317011057</v>
      </c>
      <c r="AA13" s="17">
        <f>Hypothèses!$C$20*(1+Hypothèses!$C$21)^(AA$6-1)</f>
        <v>1508.5956220181165</v>
      </c>
      <c r="AB13" s="17">
        <f>Hypothèses!$C$20*(1+Hypothèses!$C$21)^(AB$6-1)</f>
        <v>1523.681578238298</v>
      </c>
      <c r="AC13" s="17">
        <f>Hypothèses!$C$20*(1+Hypothèses!$C$21)^(AC$6-1)</f>
        <v>1538.918394020681</v>
      </c>
      <c r="AD13" s="17">
        <f>Hypothèses!$C$20*(1+Hypothèses!$C$21)^(AD$6-1)</f>
        <v>1554.3075779608878</v>
      </c>
      <c r="AE13" s="17">
        <f>Hypothèses!$C$20*(1+Hypothèses!$C$21)^(AE$6-1)</f>
        <v>1569.8506537404962</v>
      </c>
      <c r="AF13" s="17">
        <f>Hypothèses!$C$20*(1+Hypothèses!$C$21)^(AF$6-1)</f>
        <v>1585.5491602779014</v>
      </c>
      <c r="AG13" s="17">
        <f>Hypothèses!$C$20*(1+Hypothèses!$C$21)^(AG$6-1)</f>
        <v>1601.4046518806804</v>
      </c>
    </row>
    <row r="14" spans="2:33" x14ac:dyDescent="0.35">
      <c r="B14" s="10" t="s">
        <v>385</v>
      </c>
      <c r="C14" s="14">
        <f>SUMPRODUCT((D$6:AG$6&lt;=Hypothèses!$C$44)*(D14:AG14))</f>
        <v>52214.047376614471</v>
      </c>
      <c r="D14" s="17">
        <f>IF(OR(NOT(AND(Hypothèses!$C$26&gt;0,Hypothèses!$C$33="OK",D$6&lt;=Hypothèses!$C$28)),Hypothèses!$C$27=0),0,-CUMIPMT(Hypothèses!$C$27/12,Hypothèses!$C$28*12,Hypothèses!$C$26,12*(D$6-1)+1,12*D$6,0))</f>
        <v>6393.0880888331958</v>
      </c>
      <c r="E14" s="17">
        <f>IF(OR(NOT(AND(Hypothèses!$C$26&gt;0,Hypothèses!$C$33="OK",E$6&lt;=Hypothèses!$C$28)),Hypothèses!$C$27=0),0,-CUMIPMT(Hypothèses!$C$27/12,Hypothèses!$C$28*12,Hypothèses!$C$26,12*(E$6-1)+1,12*E$6,0))</f>
        <v>6154.9238929104658</v>
      </c>
      <c r="F14" s="17">
        <f>IF(OR(NOT(AND(Hypothèses!$C$26&gt;0,Hypothèses!$C$33="OK",F$6&lt;=Hypothèses!$C$28)),Hypothèses!$C$27=0),0,-CUMIPMT(Hypothèses!$C$27/12,Hypothèses!$C$28*12,Hypothèses!$C$26,12*(F$6-1)+1,12*F$6,0))</f>
        <v>5908.9030145976785</v>
      </c>
      <c r="G14" s="17">
        <f>IF(OR(NOT(AND(Hypothèses!$C$26&gt;0,Hypothèses!$C$33="OK",G$6&lt;=Hypothèses!$C$28)),Hypothèses!$C$27=0),0,-CUMIPMT(Hypothèses!$C$27/12,Hypothèses!$C$28*12,Hypothèses!$C$26,12*(G$6-1)+1,12*G$6,0))</f>
        <v>5654.7662736350194</v>
      </c>
      <c r="H14" s="17">
        <f>IF(OR(NOT(AND(Hypothèses!$C$26&gt;0,Hypothèses!$C$33="OK",H$6&lt;=Hypothèses!$C$28)),Hypothèses!$C$27=0),0,-CUMIPMT(Hypothèses!$C$27/12,Hypothèses!$C$28*12,Hypothèses!$C$26,12*(H$6-1)+1,12*H$6,0))</f>
        <v>5392.2459397916082</v>
      </c>
      <c r="I14" s="17">
        <f>IF(OR(NOT(AND(Hypothèses!$C$26&gt;0,Hypothèses!$C$33="OK",I$6&lt;=Hypothèses!$C$28)),Hypothèses!$C$27=0),0,-CUMIPMT(Hypothèses!$C$27/12,Hypothèses!$C$28*12,Hypothèses!$C$26,12*(I$6-1)+1,12*I$6,0))</f>
        <v>5121.0654508146854</v>
      </c>
      <c r="J14" s="17">
        <f>IF(OR(NOT(AND(Hypothèses!$C$26&gt;0,Hypothèses!$C$33="OK",J$6&lt;=Hypothèses!$C$28)),Hypothèses!$C$27=0),0,-CUMIPMT(Hypothèses!$C$27/12,Hypothèses!$C$28*12,Hypothèses!$C$26,12*(J$6-1)+1,12*J$6,0))</f>
        <v>4840.9391210743433</v>
      </c>
      <c r="K14" s="17">
        <f>IF(OR(NOT(AND(Hypothèses!$C$26&gt;0,Hypothèses!$C$33="OK",K$6&lt;=Hypothèses!$C$28)),Hypothèses!$C$27=0),0,-CUMIPMT(Hypothèses!$C$27/12,Hypothèses!$C$28*12,Hypothèses!$C$26,12*(K$6-1)+1,12*K$6,0))</f>
        <v>4551.5718405969055</v>
      </c>
      <c r="L14" s="17">
        <f>IF(OR(NOT(AND(Hypothèses!$C$26&gt;0,Hypothèses!$C$33="OK",L$6&lt;=Hypothèses!$C$28)),Hypothèses!$C$27=0),0,-CUMIPMT(Hypothèses!$C$27/12,Hypothèses!$C$28*12,Hypothèses!$C$26,12*(L$6-1)+1,12*L$6,0))</f>
        <v>4252.6587641698407</v>
      </c>
      <c r="M14" s="17">
        <f>IF(OR(NOT(AND(Hypothèses!$C$26&gt;0,Hypothèses!$C$33="OK",M$6&lt;=Hypothèses!$C$28)),Hypothèses!$C$27=0),0,-CUMIPMT(Hypothèses!$C$27/12,Hypothèses!$C$28*12,Hypothèses!$C$26,12*(M$6-1)+1,12*M$6,0))</f>
        <v>3943.8849901907215</v>
      </c>
      <c r="N14" s="17">
        <f>IF(OR(NOT(AND(Hypothèses!$C$26&gt;0,Hypothèses!$C$33="OK",N$6&lt;=Hypothèses!$C$28)),Hypothèses!$C$27=0),0,-CUMIPMT(Hypothèses!$C$27/12,Hypothèses!$C$28*12,Hypothèses!$C$26,12*(N$6-1)+1,12*N$6,0))</f>
        <v>3624.9252289218912</v>
      </c>
      <c r="O14" s="17">
        <f>IF(OR(NOT(AND(Hypothèses!$C$26&gt;0,Hypothèses!$C$33="OK",O$6&lt;=Hypothèses!$C$28)),Hypothèses!$C$27=0),0,-CUMIPMT(Hypothèses!$C$27/12,Hypothèses!$C$28*12,Hypothèses!$C$26,12*(O$6-1)+1,12*O$6,0))</f>
        <v>3295.4434598013395</v>
      </c>
      <c r="P14" s="17">
        <f>IF(OR(NOT(AND(Hypothèses!$C$26&gt;0,Hypothèses!$C$33="OK",P$6&lt;=Hypothèses!$C$28)),Hypothèses!$C$27=0),0,-CUMIPMT(Hypothèses!$C$27/12,Hypothèses!$C$28*12,Hypothèses!$C$26,12*(P$6-1)+1,12*P$6,0))</f>
        <v>2955.0925774487841</v>
      </c>
      <c r="Q14" s="17">
        <f>IF(OR(NOT(AND(Hypothèses!$C$26&gt;0,Hypothèses!$C$33="OK",Q$6&lt;=Hypothèses!$C$28)),Hypothèses!$C$27=0),0,-CUMIPMT(Hypothèses!$C$27/12,Hypothèses!$C$28*12,Hypothèses!$C$26,12*(Q$6-1)+1,12*Q$6,0))</f>
        <v>2603.5140259939944</v>
      </c>
      <c r="R14" s="17">
        <f>IF(OR(NOT(AND(Hypothèses!$C$26&gt;0,Hypothèses!$C$33="OK",R$6&lt;=Hypothèses!$C$28)),Hypothèses!$C$27=0),0,-CUMIPMT(Hypothèses!$C$27/12,Hypothèses!$C$28*12,Hypothèses!$C$26,12*(R$6-1)+1,12*R$6,0))</f>
        <v>2240.3374213421885</v>
      </c>
      <c r="S14" s="17">
        <f>IF(OR(NOT(AND(Hypothèses!$C$26&gt;0,Hypothèses!$C$33="OK",S$6&lt;=Hypothèses!$C$28)),Hypothèses!$C$27=0),0,-CUMIPMT(Hypothèses!$C$27/12,Hypothèses!$C$28*12,Hypothèses!$C$26,12*(S$6-1)+1,12*S$6,0))</f>
        <v>1865.180160978498</v>
      </c>
      <c r="T14" s="17">
        <f>IF(OR(NOT(AND(Hypothèses!$C$26&gt;0,Hypothèses!$C$33="OK",T$6&lt;=Hypothèses!$C$28)),Hypothèses!$C$27=0),0,-CUMIPMT(Hypothèses!$C$27/12,Hypothèses!$C$28*12,Hypothèses!$C$26,12*(T$6-1)+1,12*T$6,0))</f>
        <v>1477.6470209004692</v>
      </c>
      <c r="U14" s="17">
        <f>IF(OR(NOT(AND(Hypothèses!$C$26&gt;0,Hypothèses!$C$33="OK",U$6&lt;=Hypothèses!$C$28)),Hypothèses!$C$27=0),0,-CUMIPMT(Hypothèses!$C$27/12,Hypothèses!$C$28*12,Hypothèses!$C$26,12*(U$6-1)+1,12*U$6,0))</f>
        <v>1077.3297392539844</v>
      </c>
      <c r="V14" s="17">
        <f>IF(OR(NOT(AND(Hypothèses!$C$26&gt;0,Hypothèses!$C$33="OK",V$6&lt;=Hypothèses!$C$28)),Hypothèses!$C$27=0),0,-CUMIPMT(Hypothèses!$C$27/12,Hypothèses!$C$28*12,Hypothèses!$C$26,12*(V$6-1)+1,12*V$6,0))</f>
        <v>663.80658623391719</v>
      </c>
      <c r="W14" s="17">
        <f>IF(OR(NOT(AND(Hypothèses!$C$26&gt;0,Hypothèses!$C$33="OK",W$6&lt;=Hypothèses!$C$28)),Hypothèses!$C$27=0),0,-CUMIPMT(Hypothèses!$C$27/12,Hypothèses!$C$28*12,Hypothèses!$C$26,12*(W$6-1)+1,12*W$6,0))</f>
        <v>236.64191979649877</v>
      </c>
      <c r="X14" s="17">
        <f>IF(OR(NOT(AND(Hypothèses!$C$26&gt;0,Hypothèses!$C$33="OK",X$6&lt;=Hypothèses!$C$28)),Hypothèses!$C$27=0),0,-CUMIPMT(Hypothèses!$C$27/12,Hypothèses!$C$28*12,Hypothèses!$C$26,12*(X$6-1)+1,12*X$6,0))</f>
        <v>0</v>
      </c>
      <c r="Y14" s="17">
        <f>IF(OR(NOT(AND(Hypothèses!$C$26&gt;0,Hypothèses!$C$33="OK",Y$6&lt;=Hypothèses!$C$28)),Hypothèses!$C$27=0),0,-CUMIPMT(Hypothèses!$C$27/12,Hypothèses!$C$28*12,Hypothèses!$C$26,12*(Y$6-1)+1,12*Y$6,0))</f>
        <v>0</v>
      </c>
      <c r="Z14" s="17">
        <f>IF(OR(NOT(AND(Hypothèses!$C$26&gt;0,Hypothèses!$C$33="OK",Z$6&lt;=Hypothèses!$C$28)),Hypothèses!$C$27=0),0,-CUMIPMT(Hypothèses!$C$27/12,Hypothèses!$C$28*12,Hypothèses!$C$26,12*(Z$6-1)+1,12*Z$6,0))</f>
        <v>0</v>
      </c>
      <c r="AA14" s="17">
        <f>IF(OR(NOT(AND(Hypothèses!$C$26&gt;0,Hypothèses!$C$33="OK",AA$6&lt;=Hypothèses!$C$28)),Hypothèses!$C$27=0),0,-CUMIPMT(Hypothèses!$C$27/12,Hypothèses!$C$28*12,Hypothèses!$C$26,12*(AA$6-1)+1,12*AA$6,0))</f>
        <v>0</v>
      </c>
      <c r="AB14" s="17">
        <f>IF(OR(NOT(AND(Hypothèses!$C$26&gt;0,Hypothèses!$C$33="OK",AB$6&lt;=Hypothèses!$C$28)),Hypothèses!$C$27=0),0,-CUMIPMT(Hypothèses!$C$27/12,Hypothèses!$C$28*12,Hypothèses!$C$26,12*(AB$6-1)+1,12*AB$6,0))</f>
        <v>0</v>
      </c>
      <c r="AC14" s="17">
        <f>IF(OR(NOT(AND(Hypothèses!$C$26&gt;0,Hypothèses!$C$33="OK",AC$6&lt;=Hypothèses!$C$28)),Hypothèses!$C$27=0),0,-CUMIPMT(Hypothèses!$C$27/12,Hypothèses!$C$28*12,Hypothèses!$C$26,12*(AC$6-1)+1,12*AC$6,0))</f>
        <v>0</v>
      </c>
      <c r="AD14" s="17">
        <f>IF(OR(NOT(AND(Hypothèses!$C$26&gt;0,Hypothèses!$C$33="OK",AD$6&lt;=Hypothèses!$C$28)),Hypothèses!$C$27=0),0,-CUMIPMT(Hypothèses!$C$27/12,Hypothèses!$C$28*12,Hypothèses!$C$26,12*(AD$6-1)+1,12*AD$6,0))</f>
        <v>0</v>
      </c>
      <c r="AE14" s="17">
        <f>IF(OR(NOT(AND(Hypothèses!$C$26&gt;0,Hypothèses!$C$33="OK",AE$6&lt;=Hypothèses!$C$28)),Hypothèses!$C$27=0),0,-CUMIPMT(Hypothèses!$C$27/12,Hypothèses!$C$28*12,Hypothèses!$C$26,12*(AE$6-1)+1,12*AE$6,0))</f>
        <v>0</v>
      </c>
      <c r="AF14" s="17">
        <f>IF(OR(NOT(AND(Hypothèses!$C$26&gt;0,Hypothèses!$C$33="OK",AF$6&lt;=Hypothèses!$C$28)),Hypothèses!$C$27=0),0,-CUMIPMT(Hypothèses!$C$27/12,Hypothèses!$C$28*12,Hypothèses!$C$26,12*(AF$6-1)+1,12*AF$6,0))</f>
        <v>0</v>
      </c>
      <c r="AG14" s="17">
        <f>IF(OR(NOT(AND(Hypothèses!$C$26&gt;0,Hypothèses!$C$33="OK",AG$6&lt;=Hypothèses!$C$28)),Hypothèses!$C$27=0),0,-CUMIPMT(Hypothèses!$C$27/12,Hypothèses!$C$28*12,Hypothèses!$C$26,12*(AG$6-1)+1,12*AG$6,0))</f>
        <v>0</v>
      </c>
    </row>
    <row r="15" spans="2:33" x14ac:dyDescent="0.35">
      <c r="B15" s="10" t="s">
        <v>386</v>
      </c>
      <c r="C15" s="14">
        <f>SUMPRODUCT((D$6:AG$6&lt;=Hypothèses!$C$44)*(D15:AG15))</f>
        <v>83912.935382028547</v>
      </c>
      <c r="D15" s="17">
        <f>IF(NOT(AND(Hypothèses!$C$26&gt;0,Hypothèses!$C$33="OK",D$6&lt;=Hypothèses!$C$28)),0,IF(Hypothèses!$C$27=0,Hypothèses!$C$26/Hypothèses!$C$28,-CUMPRINC(Hypothèses!$C$27/12,Hypothèses!$C$28*12,Hypothèses!$C$26,12*(D$6-1)+1,12*D$6,0)))</f>
        <v>7219.6101870311068</v>
      </c>
      <c r="E15" s="17">
        <f>IF(NOT(AND(Hypothèses!$C$26&gt;0,Hypothèses!$C$33="OK",E$6&lt;=Hypothèses!$C$28)),0,IF(Hypothèses!$C$27=0,Hypothèses!$C$26/Hypothèses!$C$28,-CUMPRINC(Hypothèses!$C$27/12,Hypothèses!$C$28*12,Hypothèses!$C$26,12*(E$6-1)+1,12*E$6,0)))</f>
        <v>7457.7743829538367</v>
      </c>
      <c r="F15" s="17">
        <f>IF(NOT(AND(Hypothèses!$C$26&gt;0,Hypothèses!$C$33="OK",F$6&lt;=Hypothèses!$C$28)),0,IF(Hypothèses!$C$27=0,Hypothèses!$C$26/Hypothèses!$C$28,-CUMPRINC(Hypothèses!$C$27/12,Hypothèses!$C$28*12,Hypothèses!$C$26,12*(F$6-1)+1,12*F$6,0)))</f>
        <v>7703.795261266624</v>
      </c>
      <c r="G15" s="17">
        <f>IF(NOT(AND(Hypothèses!$C$26&gt;0,Hypothèses!$C$33="OK",G$6&lt;=Hypothèses!$C$28)),0,IF(Hypothèses!$C$27=0,Hypothèses!$C$26/Hypothèses!$C$28,-CUMPRINC(Hypothèses!$C$27/12,Hypothèses!$C$28*12,Hypothèses!$C$26,12*(G$6-1)+1,12*G$6,0)))</f>
        <v>7957.9320022292832</v>
      </c>
      <c r="H15" s="17">
        <f>IF(NOT(AND(Hypothèses!$C$26&gt;0,Hypothèses!$C$33="OK",H$6&lt;=Hypothèses!$C$28)),0,IF(Hypothèses!$C$27=0,Hypothèses!$C$26/Hypothèses!$C$28,-CUMPRINC(Hypothèses!$C$27/12,Hypothèses!$C$28*12,Hypothèses!$C$26,12*(H$6-1)+1,12*H$6,0)))</f>
        <v>8220.4523360726944</v>
      </c>
      <c r="I15" s="17">
        <f>IF(NOT(AND(Hypothèses!$C$26&gt;0,Hypothèses!$C$33="OK",I$6&lt;=Hypothèses!$C$28)),0,IF(Hypothèses!$C$27=0,Hypothèses!$C$26/Hypothèses!$C$28,-CUMPRINC(Hypothèses!$C$27/12,Hypothèses!$C$28*12,Hypothèses!$C$26,12*(I$6-1)+1,12*I$6,0)))</f>
        <v>8491.6328250496172</v>
      </c>
      <c r="J15" s="17">
        <f>IF(NOT(AND(Hypothèses!$C$26&gt;0,Hypothèses!$C$33="OK",J$6&lt;=Hypothèses!$C$28)),0,IF(Hypothèses!$C$27=0,Hypothèses!$C$26/Hypothèses!$C$28,-CUMPRINC(Hypothèses!$C$27/12,Hypothèses!$C$28*12,Hypothèses!$C$26,12*(J$6-1)+1,12*J$6,0)))</f>
        <v>8771.7591547899592</v>
      </c>
      <c r="K15" s="17">
        <f>IF(NOT(AND(Hypothèses!$C$26&gt;0,Hypothèses!$C$33="OK",K$6&lt;=Hypothèses!$C$28)),0,IF(Hypothèses!$C$27=0,Hypothèses!$C$26/Hypothèses!$C$28,-CUMPRINC(Hypothèses!$C$27/12,Hypothèses!$C$28*12,Hypothèses!$C$26,12*(K$6-1)+1,12*K$6,0)))</f>
        <v>9061.126435267397</v>
      </c>
      <c r="L15" s="17">
        <f>IF(NOT(AND(Hypothèses!$C$26&gt;0,Hypothèses!$C$33="OK",L$6&lt;=Hypothèses!$C$28)),0,IF(Hypothèses!$C$27=0,Hypothèses!$C$26/Hypothèses!$C$28,-CUMPRINC(Hypothèses!$C$27/12,Hypothèses!$C$28*12,Hypothèses!$C$26,12*(L$6-1)+1,12*L$6,0)))</f>
        <v>9360.0395116944619</v>
      </c>
      <c r="M15" s="17">
        <f>IF(NOT(AND(Hypothèses!$C$26&gt;0,Hypothèses!$C$33="OK",M$6&lt;=Hypothèses!$C$28)),0,IF(Hypothèses!$C$27=0,Hypothèses!$C$26/Hypothèses!$C$28,-CUMPRINC(Hypothèses!$C$27/12,Hypothèses!$C$28*12,Hypothèses!$C$26,12*(M$6-1)+1,12*M$6,0)))</f>
        <v>9668.813285673581</v>
      </c>
      <c r="N15" s="17">
        <f>IF(NOT(AND(Hypothèses!$C$26&gt;0,Hypothèses!$C$33="OK",N$6&lt;=Hypothèses!$C$28)),0,IF(Hypothèses!$C$27=0,Hypothèses!$C$26/Hypothèses!$C$28,-CUMPRINC(Hypothèses!$C$27/12,Hypothèses!$C$28*12,Hypothèses!$C$26,12*(N$6-1)+1,12*N$6,0)))</f>
        <v>9987.7730469424114</v>
      </c>
      <c r="O15" s="17">
        <f>IF(NOT(AND(Hypothèses!$C$26&gt;0,Hypothèses!$C$33="OK",O$6&lt;=Hypothèses!$C$28)),0,IF(Hypothèses!$C$27=0,Hypothèses!$C$26/Hypothèses!$C$28,-CUMPRINC(Hypothèses!$C$27/12,Hypothèses!$C$28*12,Hypothèses!$C$26,12*(O$6-1)+1,12*O$6,0)))</f>
        <v>10317.254816062963</v>
      </c>
      <c r="P15" s="17">
        <f>IF(NOT(AND(Hypothèses!$C$26&gt;0,Hypothèses!$C$33="OK",P$6&lt;=Hypothèses!$C$28)),0,IF(Hypothèses!$C$27=0,Hypothèses!$C$26/Hypothèses!$C$28,-CUMPRINC(Hypothèses!$C$27/12,Hypothèses!$C$28*12,Hypothèses!$C$26,12*(P$6-1)+1,12*P$6,0)))</f>
        <v>10657.605698415518</v>
      </c>
      <c r="Q15" s="17">
        <f>IF(NOT(AND(Hypothèses!$C$26&gt;0,Hypothèses!$C$33="OK",Q$6&lt;=Hypothèses!$C$28)),0,IF(Hypothèses!$C$27=0,Hypothèses!$C$26/Hypothèses!$C$28,-CUMPRINC(Hypothèses!$C$27/12,Hypothèses!$C$28*12,Hypothèses!$C$26,12*(Q$6-1)+1,12*Q$6,0)))</f>
        <v>11009.184249870308</v>
      </c>
      <c r="R15" s="17">
        <f>IF(NOT(AND(Hypothèses!$C$26&gt;0,Hypothèses!$C$33="OK",R$6&lt;=Hypothèses!$C$28)),0,IF(Hypothèses!$C$27=0,Hypothèses!$C$26/Hypothèses!$C$28,-CUMPRINC(Hypothèses!$C$27/12,Hypothèses!$C$28*12,Hypothèses!$C$26,12*(R$6-1)+1,12*R$6,0)))</f>
        <v>11372.360854522114</v>
      </c>
      <c r="S15" s="17">
        <f>IF(NOT(AND(Hypothèses!$C$26&gt;0,Hypothèses!$C$33="OK",S$6&lt;=Hypothèses!$C$28)),0,IF(Hypothèses!$C$27=0,Hypothèses!$C$26/Hypothèses!$C$28,-CUMPRINC(Hypothèses!$C$27/12,Hypothèses!$C$28*12,Hypothèses!$C$26,12*(S$6-1)+1,12*S$6,0)))</f>
        <v>11747.518114885805</v>
      </c>
      <c r="T15" s="17">
        <f>IF(NOT(AND(Hypothèses!$C$26&gt;0,Hypothèses!$C$33="OK",T$6&lt;=Hypothèses!$C$28)),0,IF(Hypothèses!$C$27=0,Hypothèses!$C$26/Hypothèses!$C$28,-CUMPRINC(Hypothèses!$C$27/12,Hypothèses!$C$28*12,Hypothèses!$C$26,12*(T$6-1)+1,12*T$6,0)))</f>
        <v>12135.051254963833</v>
      </c>
      <c r="U15" s="17">
        <f>IF(NOT(AND(Hypothèses!$C$26&gt;0,Hypothèses!$C$33="OK",U$6&lt;=Hypothèses!$C$28)),0,IF(Hypothèses!$C$27=0,Hypothèses!$C$26/Hypothèses!$C$28,-CUMPRINC(Hypothèses!$C$27/12,Hypothèses!$C$28*12,Hypothèses!$C$26,12*(U$6-1)+1,12*U$6,0)))</f>
        <v>12535.368536610318</v>
      </c>
      <c r="V15" s="17">
        <f>IF(NOT(AND(Hypothèses!$C$26&gt;0,Hypothèses!$C$33="OK",V$6&lt;=Hypothèses!$C$28)),0,IF(Hypothèses!$C$27=0,Hypothèses!$C$26/Hypothèses!$C$28,-CUMPRINC(Hypothèses!$C$27/12,Hypothèses!$C$28*12,Hypothèses!$C$26,12*(V$6-1)+1,12*V$6,0)))</f>
        <v>12948.891689630385</v>
      </c>
      <c r="W15" s="17">
        <f>IF(NOT(AND(Hypothèses!$C$26&gt;0,Hypothèses!$C$33="OK",W$6&lt;=Hypothèses!$C$28)),0,IF(Hypothèses!$C$27=0,Hypothèses!$C$26/Hypothèses!$C$28,-CUMPRINC(Hypothèses!$C$27/12,Hypothèses!$C$28*12,Hypothèses!$C$26,12*(W$6-1)+1,12*W$6,0)))</f>
        <v>13376.056356067804</v>
      </c>
      <c r="X15" s="17">
        <f>IF(NOT(AND(Hypothèses!$C$26&gt;0,Hypothèses!$C$33="OK",X$6&lt;=Hypothèses!$C$28)),0,IF(Hypothèses!$C$27=0,Hypothèses!$C$26/Hypothèses!$C$28,-CUMPRINC(Hypothèses!$C$27/12,Hypothèses!$C$28*12,Hypothèses!$C$26,12*(X$6-1)+1,12*X$6,0)))</f>
        <v>0</v>
      </c>
      <c r="Y15" s="17">
        <f>IF(NOT(AND(Hypothèses!$C$26&gt;0,Hypothèses!$C$33="OK",Y$6&lt;=Hypothèses!$C$28)),0,IF(Hypothèses!$C$27=0,Hypothèses!$C$26/Hypothèses!$C$28,-CUMPRINC(Hypothèses!$C$27/12,Hypothèses!$C$28*12,Hypothèses!$C$26,12*(Y$6-1)+1,12*Y$6,0)))</f>
        <v>0</v>
      </c>
      <c r="Z15" s="17">
        <f>IF(NOT(AND(Hypothèses!$C$26&gt;0,Hypothèses!$C$33="OK",Z$6&lt;=Hypothèses!$C$28)),0,IF(Hypothèses!$C$27=0,Hypothèses!$C$26/Hypothèses!$C$28,-CUMPRINC(Hypothèses!$C$27/12,Hypothèses!$C$28*12,Hypothèses!$C$26,12*(Z$6-1)+1,12*Z$6,0)))</f>
        <v>0</v>
      </c>
      <c r="AA15" s="17">
        <f>IF(NOT(AND(Hypothèses!$C$26&gt;0,Hypothèses!$C$33="OK",AA$6&lt;=Hypothèses!$C$28)),0,IF(Hypothèses!$C$27=0,Hypothèses!$C$26/Hypothèses!$C$28,-CUMPRINC(Hypothèses!$C$27/12,Hypothèses!$C$28*12,Hypothèses!$C$26,12*(AA$6-1)+1,12*AA$6,0)))</f>
        <v>0</v>
      </c>
      <c r="AB15" s="17">
        <f>IF(NOT(AND(Hypothèses!$C$26&gt;0,Hypothèses!$C$33="OK",AB$6&lt;=Hypothèses!$C$28)),0,IF(Hypothèses!$C$27=0,Hypothèses!$C$26/Hypothèses!$C$28,-CUMPRINC(Hypothèses!$C$27/12,Hypothèses!$C$28*12,Hypothèses!$C$26,12*(AB$6-1)+1,12*AB$6,0)))</f>
        <v>0</v>
      </c>
      <c r="AC15" s="17">
        <f>IF(NOT(AND(Hypothèses!$C$26&gt;0,Hypothèses!$C$33="OK",AC$6&lt;=Hypothèses!$C$28)),0,IF(Hypothèses!$C$27=0,Hypothèses!$C$26/Hypothèses!$C$28,-CUMPRINC(Hypothèses!$C$27/12,Hypothèses!$C$28*12,Hypothèses!$C$26,12*(AC$6-1)+1,12*AC$6,0)))</f>
        <v>0</v>
      </c>
      <c r="AD15" s="17">
        <f>IF(NOT(AND(Hypothèses!$C$26&gt;0,Hypothèses!$C$33="OK",AD$6&lt;=Hypothèses!$C$28)),0,IF(Hypothèses!$C$27=0,Hypothèses!$C$26/Hypothèses!$C$28,-CUMPRINC(Hypothèses!$C$27/12,Hypothèses!$C$28*12,Hypothèses!$C$26,12*(AD$6-1)+1,12*AD$6,0)))</f>
        <v>0</v>
      </c>
      <c r="AE15" s="17">
        <f>IF(NOT(AND(Hypothèses!$C$26&gt;0,Hypothèses!$C$33="OK",AE$6&lt;=Hypothèses!$C$28)),0,IF(Hypothèses!$C$27=0,Hypothèses!$C$26/Hypothèses!$C$28,-CUMPRINC(Hypothèses!$C$27/12,Hypothèses!$C$28*12,Hypothèses!$C$26,12*(AE$6-1)+1,12*AE$6,0)))</f>
        <v>0</v>
      </c>
      <c r="AF15" s="17">
        <f>IF(NOT(AND(Hypothèses!$C$26&gt;0,Hypothèses!$C$33="OK",AF$6&lt;=Hypothèses!$C$28)),0,IF(Hypothèses!$C$27=0,Hypothèses!$C$26/Hypothèses!$C$28,-CUMPRINC(Hypothèses!$C$27/12,Hypothèses!$C$28*12,Hypothèses!$C$26,12*(AF$6-1)+1,12*AF$6,0)))</f>
        <v>0</v>
      </c>
      <c r="AG15" s="17">
        <f>IF(NOT(AND(Hypothèses!$C$26&gt;0,Hypothèses!$C$33="OK",AG$6&lt;=Hypothèses!$C$28)),0,IF(Hypothèses!$C$27=0,Hypothèses!$C$26/Hypothèses!$C$28,-CUMPRINC(Hypothèses!$C$27/12,Hypothèses!$C$28*12,Hypothèses!$C$26,12*(AG$6-1)+1,12*AG$6,0)))</f>
        <v>0</v>
      </c>
    </row>
    <row r="16" spans="2:33" x14ac:dyDescent="0.35">
      <c r="B16" s="10" t="s">
        <v>387</v>
      </c>
      <c r="C16" s="14">
        <f>SUMPRODUCT((D$6:AG$6&lt;=Hypothèses!$C$44)*(D16:AG16))</f>
        <v>6800</v>
      </c>
      <c r="D16" s="17">
        <f>IF(AND(Hypothèses!$C$26&gt;0,Hypothèses!$C$33="OK",D$6&lt;=Hypothèses!$C$28),Hypothèses!$C$26*Hypothèses!$C$29,0)</f>
        <v>680</v>
      </c>
      <c r="E16" s="17">
        <f>IF(AND(Hypothèses!$C$26&gt;0,Hypothèses!$C$33="OK",E$6&lt;=Hypothèses!$C$28),Hypothèses!$C$26*Hypothèses!$C$29,0)</f>
        <v>680</v>
      </c>
      <c r="F16" s="17">
        <f>IF(AND(Hypothèses!$C$26&gt;0,Hypothèses!$C$33="OK",F$6&lt;=Hypothèses!$C$28),Hypothèses!$C$26*Hypothèses!$C$29,0)</f>
        <v>680</v>
      </c>
      <c r="G16" s="17">
        <f>IF(AND(Hypothèses!$C$26&gt;0,Hypothèses!$C$33="OK",G$6&lt;=Hypothèses!$C$28),Hypothèses!$C$26*Hypothèses!$C$29,0)</f>
        <v>680</v>
      </c>
      <c r="H16" s="17">
        <f>IF(AND(Hypothèses!$C$26&gt;0,Hypothèses!$C$33="OK",H$6&lt;=Hypothèses!$C$28),Hypothèses!$C$26*Hypothèses!$C$29,0)</f>
        <v>680</v>
      </c>
      <c r="I16" s="17">
        <f>IF(AND(Hypothèses!$C$26&gt;0,Hypothèses!$C$33="OK",I$6&lt;=Hypothèses!$C$28),Hypothèses!$C$26*Hypothèses!$C$29,0)</f>
        <v>680</v>
      </c>
      <c r="J16" s="17">
        <f>IF(AND(Hypothèses!$C$26&gt;0,Hypothèses!$C$33="OK",J$6&lt;=Hypothèses!$C$28),Hypothèses!$C$26*Hypothèses!$C$29,0)</f>
        <v>680</v>
      </c>
      <c r="K16" s="17">
        <f>IF(AND(Hypothèses!$C$26&gt;0,Hypothèses!$C$33="OK",K$6&lt;=Hypothèses!$C$28),Hypothèses!$C$26*Hypothèses!$C$29,0)</f>
        <v>680</v>
      </c>
      <c r="L16" s="17">
        <f>IF(AND(Hypothèses!$C$26&gt;0,Hypothèses!$C$33="OK",L$6&lt;=Hypothèses!$C$28),Hypothèses!$C$26*Hypothèses!$C$29,0)</f>
        <v>680</v>
      </c>
      <c r="M16" s="17">
        <f>IF(AND(Hypothèses!$C$26&gt;0,Hypothèses!$C$33="OK",M$6&lt;=Hypothèses!$C$28),Hypothèses!$C$26*Hypothèses!$C$29,0)</f>
        <v>680</v>
      </c>
      <c r="N16" s="17">
        <f>IF(AND(Hypothèses!$C$26&gt;0,Hypothèses!$C$33="OK",N$6&lt;=Hypothèses!$C$28),Hypothèses!$C$26*Hypothèses!$C$29,0)</f>
        <v>680</v>
      </c>
      <c r="O16" s="17">
        <f>IF(AND(Hypothèses!$C$26&gt;0,Hypothèses!$C$33="OK",O$6&lt;=Hypothèses!$C$28),Hypothèses!$C$26*Hypothèses!$C$29,0)</f>
        <v>680</v>
      </c>
      <c r="P16" s="17">
        <f>IF(AND(Hypothèses!$C$26&gt;0,Hypothèses!$C$33="OK",P$6&lt;=Hypothèses!$C$28),Hypothèses!$C$26*Hypothèses!$C$29,0)</f>
        <v>680</v>
      </c>
      <c r="Q16" s="17">
        <f>IF(AND(Hypothèses!$C$26&gt;0,Hypothèses!$C$33="OK",Q$6&lt;=Hypothèses!$C$28),Hypothèses!$C$26*Hypothèses!$C$29,0)</f>
        <v>680</v>
      </c>
      <c r="R16" s="17">
        <f>IF(AND(Hypothèses!$C$26&gt;0,Hypothèses!$C$33="OK",R$6&lt;=Hypothèses!$C$28),Hypothèses!$C$26*Hypothèses!$C$29,0)</f>
        <v>680</v>
      </c>
      <c r="S16" s="17">
        <f>IF(AND(Hypothèses!$C$26&gt;0,Hypothèses!$C$33="OK",S$6&lt;=Hypothèses!$C$28),Hypothèses!$C$26*Hypothèses!$C$29,0)</f>
        <v>680</v>
      </c>
      <c r="T16" s="17">
        <f>IF(AND(Hypothèses!$C$26&gt;0,Hypothèses!$C$33="OK",T$6&lt;=Hypothèses!$C$28),Hypothèses!$C$26*Hypothèses!$C$29,0)</f>
        <v>680</v>
      </c>
      <c r="U16" s="17">
        <f>IF(AND(Hypothèses!$C$26&gt;0,Hypothèses!$C$33="OK",U$6&lt;=Hypothèses!$C$28),Hypothèses!$C$26*Hypothèses!$C$29,0)</f>
        <v>680</v>
      </c>
      <c r="V16" s="17">
        <f>IF(AND(Hypothèses!$C$26&gt;0,Hypothèses!$C$33="OK",V$6&lt;=Hypothèses!$C$28),Hypothèses!$C$26*Hypothèses!$C$29,0)</f>
        <v>680</v>
      </c>
      <c r="W16" s="17">
        <f>IF(AND(Hypothèses!$C$26&gt;0,Hypothèses!$C$33="OK",W$6&lt;=Hypothèses!$C$28),Hypothèses!$C$26*Hypothèses!$C$29,0)</f>
        <v>680</v>
      </c>
      <c r="X16" s="17">
        <f>IF(AND(Hypothèses!$C$26&gt;0,Hypothèses!$C$33="OK",X$6&lt;=Hypothèses!$C$28),Hypothèses!$C$26*Hypothèses!$C$29,0)</f>
        <v>0</v>
      </c>
      <c r="Y16" s="17">
        <f>IF(AND(Hypothèses!$C$26&gt;0,Hypothèses!$C$33="OK",Y$6&lt;=Hypothèses!$C$28),Hypothèses!$C$26*Hypothèses!$C$29,0)</f>
        <v>0</v>
      </c>
      <c r="Z16" s="17">
        <f>IF(AND(Hypothèses!$C$26&gt;0,Hypothèses!$C$33="OK",Z$6&lt;=Hypothèses!$C$28),Hypothèses!$C$26*Hypothèses!$C$29,0)</f>
        <v>0</v>
      </c>
      <c r="AA16" s="17">
        <f>IF(AND(Hypothèses!$C$26&gt;0,Hypothèses!$C$33="OK",AA$6&lt;=Hypothèses!$C$28),Hypothèses!$C$26*Hypothèses!$C$29,0)</f>
        <v>0</v>
      </c>
      <c r="AB16" s="17">
        <f>IF(AND(Hypothèses!$C$26&gt;0,Hypothèses!$C$33="OK",AB$6&lt;=Hypothèses!$C$28),Hypothèses!$C$26*Hypothèses!$C$29,0)</f>
        <v>0</v>
      </c>
      <c r="AC16" s="17">
        <f>IF(AND(Hypothèses!$C$26&gt;0,Hypothèses!$C$33="OK",AC$6&lt;=Hypothèses!$C$28),Hypothèses!$C$26*Hypothèses!$C$29,0)</f>
        <v>0</v>
      </c>
      <c r="AD16" s="17">
        <f>IF(AND(Hypothèses!$C$26&gt;0,Hypothèses!$C$33="OK",AD$6&lt;=Hypothèses!$C$28),Hypothèses!$C$26*Hypothèses!$C$29,0)</f>
        <v>0</v>
      </c>
      <c r="AE16" s="17">
        <f>IF(AND(Hypothèses!$C$26&gt;0,Hypothèses!$C$33="OK",AE$6&lt;=Hypothèses!$C$28),Hypothèses!$C$26*Hypothèses!$C$29,0)</f>
        <v>0</v>
      </c>
      <c r="AF16" s="17">
        <f>IF(AND(Hypothèses!$C$26&gt;0,Hypothèses!$C$33="OK",AF$6&lt;=Hypothèses!$C$28),Hypothèses!$C$26*Hypothèses!$C$29,0)</f>
        <v>0</v>
      </c>
      <c r="AG16" s="17">
        <f>IF(AND(Hypothèses!$C$26&gt;0,Hypothèses!$C$33="OK",AG$6&lt;=Hypothèses!$C$28),Hypothèses!$C$26*Hypothèses!$C$29,0)</f>
        <v>0</v>
      </c>
    </row>
    <row r="17" spans="2:33" x14ac:dyDescent="0.35">
      <c r="B17" s="13" t="s">
        <v>388</v>
      </c>
      <c r="C17" s="14">
        <f>SUMPRODUCT((D$6:AG$6&lt;=Hypothèses!$C$44)*(D17:AG17))</f>
        <v>142926.98275864302</v>
      </c>
      <c r="D17" s="17">
        <f t="shared" ref="D17:AG17" si="0">D14+D15+D16</f>
        <v>14292.698275864303</v>
      </c>
      <c r="E17" s="17">
        <f t="shared" si="0"/>
        <v>14292.698275864303</v>
      </c>
      <c r="F17" s="17">
        <f t="shared" si="0"/>
        <v>14292.698275864303</v>
      </c>
      <c r="G17" s="17">
        <f t="shared" si="0"/>
        <v>14292.698275864303</v>
      </c>
      <c r="H17" s="17">
        <f t="shared" si="0"/>
        <v>14292.698275864303</v>
      </c>
      <c r="I17" s="17">
        <f t="shared" si="0"/>
        <v>14292.698275864303</v>
      </c>
      <c r="J17" s="17">
        <f t="shared" si="0"/>
        <v>14292.698275864303</v>
      </c>
      <c r="K17" s="17">
        <f t="shared" si="0"/>
        <v>14292.698275864303</v>
      </c>
      <c r="L17" s="17">
        <f t="shared" si="0"/>
        <v>14292.698275864303</v>
      </c>
      <c r="M17" s="17">
        <f t="shared" si="0"/>
        <v>14292.698275864303</v>
      </c>
      <c r="N17" s="17">
        <f t="shared" si="0"/>
        <v>14292.698275864303</v>
      </c>
      <c r="O17" s="17">
        <f t="shared" si="0"/>
        <v>14292.698275864303</v>
      </c>
      <c r="P17" s="17">
        <f t="shared" si="0"/>
        <v>14292.698275864303</v>
      </c>
      <c r="Q17" s="17">
        <f t="shared" si="0"/>
        <v>14292.698275864303</v>
      </c>
      <c r="R17" s="17">
        <f t="shared" si="0"/>
        <v>14292.698275864303</v>
      </c>
      <c r="S17" s="17">
        <f t="shared" si="0"/>
        <v>14292.698275864303</v>
      </c>
      <c r="T17" s="17">
        <f t="shared" si="0"/>
        <v>14292.698275864303</v>
      </c>
      <c r="U17" s="17">
        <f t="shared" si="0"/>
        <v>14292.698275864303</v>
      </c>
      <c r="V17" s="17">
        <f t="shared" si="0"/>
        <v>14292.698275864303</v>
      </c>
      <c r="W17" s="17">
        <f t="shared" si="0"/>
        <v>14292.698275864303</v>
      </c>
      <c r="X17" s="17">
        <f t="shared" si="0"/>
        <v>0</v>
      </c>
      <c r="Y17" s="17">
        <f t="shared" si="0"/>
        <v>0</v>
      </c>
      <c r="Z17" s="17">
        <f t="shared" si="0"/>
        <v>0</v>
      </c>
      <c r="AA17" s="17">
        <f t="shared" si="0"/>
        <v>0</v>
      </c>
      <c r="AB17" s="17">
        <f t="shared" si="0"/>
        <v>0</v>
      </c>
      <c r="AC17" s="17">
        <f t="shared" si="0"/>
        <v>0</v>
      </c>
      <c r="AD17" s="17">
        <f t="shared" si="0"/>
        <v>0</v>
      </c>
      <c r="AE17" s="17">
        <f t="shared" si="0"/>
        <v>0</v>
      </c>
      <c r="AF17" s="17">
        <f t="shared" si="0"/>
        <v>0</v>
      </c>
      <c r="AG17" s="17">
        <f t="shared" si="0"/>
        <v>0</v>
      </c>
    </row>
    <row r="18" spans="2:33" x14ac:dyDescent="0.35">
      <c r="B18" s="10" t="s">
        <v>389</v>
      </c>
      <c r="C18" s="14">
        <f>INDEX(D18:AG18,Hypothèses!$C$44)</f>
        <v>116087.06461797147</v>
      </c>
      <c r="D18" s="17">
        <f>IF(AND(Hypothèses!$C$26&gt;0,Hypothèses!$C$33="OK",D$6&lt;=Hypothèses!$C$28),Hypothèses!$C$26-D15,0)</f>
        <v>192780.3898129689</v>
      </c>
      <c r="E18" s="17">
        <f>IF(AND(Hypothèses!$C$26&gt;0,Hypothèses!$C$33="OK",E$6&lt;=Hypothèses!$C$28),D18-E15,0)</f>
        <v>185322.61543001508</v>
      </c>
      <c r="F18" s="17">
        <f>IF(AND(Hypothèses!$C$26&gt;0,Hypothèses!$C$33="OK",F$6&lt;=Hypothèses!$C$28),E18-F15,0)</f>
        <v>177618.82016874847</v>
      </c>
      <c r="G18" s="17">
        <f>IF(AND(Hypothèses!$C$26&gt;0,Hypothèses!$C$33="OK",G$6&lt;=Hypothèses!$C$28),F18-G15,0)</f>
        <v>169660.88816651917</v>
      </c>
      <c r="H18" s="17">
        <f>IF(AND(Hypothèses!$C$26&gt;0,Hypothèses!$C$33="OK",H$6&lt;=Hypothèses!$C$28),G18-H15,0)</f>
        <v>161440.43583044648</v>
      </c>
      <c r="I18" s="17">
        <f>IF(AND(Hypothèses!$C$26&gt;0,Hypothèses!$C$33="OK",I$6&lt;=Hypothèses!$C$28),H18-I15,0)</f>
        <v>152948.80300539685</v>
      </c>
      <c r="J18" s="17">
        <f>IF(AND(Hypothèses!$C$26&gt;0,Hypothèses!$C$33="OK",J$6&lt;=Hypothèses!$C$28),I18-J15,0)</f>
        <v>144177.04385060689</v>
      </c>
      <c r="K18" s="17">
        <f>IF(AND(Hypothèses!$C$26&gt;0,Hypothèses!$C$33="OK",K$6&lt;=Hypothèses!$C$28),J18-K15,0)</f>
        <v>135115.9174153395</v>
      </c>
      <c r="L18" s="17">
        <f>IF(AND(Hypothèses!$C$26&gt;0,Hypothèses!$C$33="OK",L$6&lt;=Hypothèses!$C$28),K18-L15,0)</f>
        <v>125755.87790364504</v>
      </c>
      <c r="M18" s="17">
        <f>IF(AND(Hypothèses!$C$26&gt;0,Hypothèses!$C$33="OK",M$6&lt;=Hypothèses!$C$28),L18-M15,0)</f>
        <v>116087.06461797147</v>
      </c>
      <c r="N18" s="17">
        <f>IF(AND(Hypothèses!$C$26&gt;0,Hypothèses!$C$33="OK",N$6&lt;=Hypothèses!$C$28),M18-N15,0)</f>
        <v>106099.29157102905</v>
      </c>
      <c r="O18" s="17">
        <f>IF(AND(Hypothèses!$C$26&gt;0,Hypothèses!$C$33="OK",O$6&lt;=Hypothèses!$C$28),N18-O15,0)</f>
        <v>95782.036754966088</v>
      </c>
      <c r="P18" s="17">
        <f>IF(AND(Hypothèses!$C$26&gt;0,Hypothèses!$C$33="OK",P$6&lt;=Hypothèses!$C$28),O18-P15,0)</f>
        <v>85124.431056550573</v>
      </c>
      <c r="Q18" s="17">
        <f>IF(AND(Hypothèses!$C$26&gt;0,Hypothèses!$C$33="OK",Q$6&lt;=Hypothèses!$C$28),P18-Q15,0)</f>
        <v>74115.246806680268</v>
      </c>
      <c r="R18" s="17">
        <f>IF(AND(Hypothèses!$C$26&gt;0,Hypothèses!$C$33="OK",R$6&lt;=Hypothèses!$C$28),Q18-R15,0)</f>
        <v>62742.885952158154</v>
      </c>
      <c r="S18" s="17">
        <f>IF(AND(Hypothèses!$C$26&gt;0,Hypothèses!$C$33="OK",S$6&lt;=Hypothèses!$C$28),R18-S15,0)</f>
        <v>50995.367837272352</v>
      </c>
      <c r="T18" s="17">
        <f>IF(AND(Hypothèses!$C$26&gt;0,Hypothèses!$C$33="OK",T$6&lt;=Hypothèses!$C$28),S18-T15,0)</f>
        <v>38860.316582308515</v>
      </c>
      <c r="U18" s="17">
        <f>IF(AND(Hypothèses!$C$26&gt;0,Hypothèses!$C$33="OK",U$6&lt;=Hypothèses!$C$28),T18-U15,0)</f>
        <v>26324.948045698198</v>
      </c>
      <c r="V18" s="17">
        <f>IF(AND(Hypothèses!$C$26&gt;0,Hypothèses!$C$33="OK",V$6&lt;=Hypothèses!$C$28),U18-V15,0)</f>
        <v>13376.056356067813</v>
      </c>
      <c r="W18" s="17">
        <f>IF(AND(Hypothèses!$C$26&gt;0,Hypothèses!$C$33="OK",W$6&lt;=Hypothèses!$C$28),V18-W15,0)</f>
        <v>9.0949470177292824E-12</v>
      </c>
      <c r="X18" s="17">
        <f>IF(AND(Hypothèses!$C$26&gt;0,Hypothèses!$C$33="OK",X$6&lt;=Hypothèses!$C$28),W18-X15,0)</f>
        <v>0</v>
      </c>
      <c r="Y18" s="17">
        <f>IF(AND(Hypothèses!$C$26&gt;0,Hypothèses!$C$33="OK",Y$6&lt;=Hypothèses!$C$28),X18-Y15,0)</f>
        <v>0</v>
      </c>
      <c r="Z18" s="17">
        <f>IF(AND(Hypothèses!$C$26&gt;0,Hypothèses!$C$33="OK",Z$6&lt;=Hypothèses!$C$28),Y18-Z15,0)</f>
        <v>0</v>
      </c>
      <c r="AA18" s="17">
        <f>IF(AND(Hypothèses!$C$26&gt;0,Hypothèses!$C$33="OK",AA$6&lt;=Hypothèses!$C$28),Z18-AA15,0)</f>
        <v>0</v>
      </c>
      <c r="AB18" s="17">
        <f>IF(AND(Hypothèses!$C$26&gt;0,Hypothèses!$C$33="OK",AB$6&lt;=Hypothèses!$C$28),AA18-AB15,0)</f>
        <v>0</v>
      </c>
      <c r="AC18" s="17">
        <f>IF(AND(Hypothèses!$C$26&gt;0,Hypothèses!$C$33="OK",AC$6&lt;=Hypothèses!$C$28),AB18-AC15,0)</f>
        <v>0</v>
      </c>
      <c r="AD18" s="17">
        <f>IF(AND(Hypothèses!$C$26&gt;0,Hypothèses!$C$33="OK",AD$6&lt;=Hypothèses!$C$28),AC18-AD15,0)</f>
        <v>0</v>
      </c>
      <c r="AE18" s="17">
        <f>IF(AND(Hypothèses!$C$26&gt;0,Hypothèses!$C$33="OK",AE$6&lt;=Hypothèses!$C$28),AD18-AE15,0)</f>
        <v>0</v>
      </c>
      <c r="AF18" s="17">
        <f>IF(AND(Hypothèses!$C$26&gt;0,Hypothèses!$C$33="OK",AF$6&lt;=Hypothèses!$C$28),AE18-AF15,0)</f>
        <v>0</v>
      </c>
      <c r="AG18" s="17">
        <f>IF(AND(Hypothèses!$C$26&gt;0,Hypothèses!$C$33="OK",AG$6&lt;=Hypothèses!$C$28),AF18-AG15,0)</f>
        <v>0</v>
      </c>
    </row>
    <row r="19" spans="2:33" x14ac:dyDescent="0.35">
      <c r="B19" s="10" t="s">
        <v>390</v>
      </c>
      <c r="C19" s="14">
        <f>SUMPRODUCT((D$6:AG$6&lt;=Hypothèses!$C$44)*(D19:AG19))</f>
        <v>61200</v>
      </c>
      <c r="D19" s="17">
        <f>IF(AND(Hypothèses!$C$55&gt;0,D$6&lt;=Hypothèses!$C$55),((Hypothèses!$C$7+IF(Hypothèses!$C$51=Paramètres!$D$33,Hypothèses!$C$9,0))*(1-Hypothèses!$C$54))/Hypothèses!$C$55,0)</f>
        <v>6120</v>
      </c>
      <c r="E19" s="17">
        <f>IF(AND(Hypothèses!$C$55&gt;0,E$6&lt;=Hypothèses!$C$55),((Hypothèses!$C$7+IF(Hypothèses!$C$51=Paramètres!$D$33,Hypothèses!$C$9,0))*(1-Hypothèses!$C$54))/Hypothèses!$C$55,0)</f>
        <v>6120</v>
      </c>
      <c r="F19" s="17">
        <f>IF(AND(Hypothèses!$C$55&gt;0,F$6&lt;=Hypothèses!$C$55),((Hypothèses!$C$7+IF(Hypothèses!$C$51=Paramètres!$D$33,Hypothèses!$C$9,0))*(1-Hypothèses!$C$54))/Hypothèses!$C$55,0)</f>
        <v>6120</v>
      </c>
      <c r="G19" s="17">
        <f>IF(AND(Hypothèses!$C$55&gt;0,G$6&lt;=Hypothèses!$C$55),((Hypothèses!$C$7+IF(Hypothèses!$C$51=Paramètres!$D$33,Hypothèses!$C$9,0))*(1-Hypothèses!$C$54))/Hypothèses!$C$55,0)</f>
        <v>6120</v>
      </c>
      <c r="H19" s="17">
        <f>IF(AND(Hypothèses!$C$55&gt;0,H$6&lt;=Hypothèses!$C$55),((Hypothèses!$C$7+IF(Hypothèses!$C$51=Paramètres!$D$33,Hypothèses!$C$9,0))*(1-Hypothèses!$C$54))/Hypothèses!$C$55,0)</f>
        <v>6120</v>
      </c>
      <c r="I19" s="17">
        <f>IF(AND(Hypothèses!$C$55&gt;0,I$6&lt;=Hypothèses!$C$55),((Hypothèses!$C$7+IF(Hypothèses!$C$51=Paramètres!$D$33,Hypothèses!$C$9,0))*(1-Hypothèses!$C$54))/Hypothèses!$C$55,0)</f>
        <v>6120</v>
      </c>
      <c r="J19" s="17">
        <f>IF(AND(Hypothèses!$C$55&gt;0,J$6&lt;=Hypothèses!$C$55),((Hypothèses!$C$7+IF(Hypothèses!$C$51=Paramètres!$D$33,Hypothèses!$C$9,0))*(1-Hypothèses!$C$54))/Hypothèses!$C$55,0)</f>
        <v>6120</v>
      </c>
      <c r="K19" s="17">
        <f>IF(AND(Hypothèses!$C$55&gt;0,K$6&lt;=Hypothèses!$C$55),((Hypothèses!$C$7+IF(Hypothèses!$C$51=Paramètres!$D$33,Hypothèses!$C$9,0))*(1-Hypothèses!$C$54))/Hypothèses!$C$55,0)</f>
        <v>6120</v>
      </c>
      <c r="L19" s="17">
        <f>IF(AND(Hypothèses!$C$55&gt;0,L$6&lt;=Hypothèses!$C$55),((Hypothèses!$C$7+IF(Hypothèses!$C$51=Paramètres!$D$33,Hypothèses!$C$9,0))*(1-Hypothèses!$C$54))/Hypothèses!$C$55,0)</f>
        <v>6120</v>
      </c>
      <c r="M19" s="17">
        <f>IF(AND(Hypothèses!$C$55&gt;0,M$6&lt;=Hypothèses!$C$55),((Hypothèses!$C$7+IF(Hypothèses!$C$51=Paramètres!$D$33,Hypothèses!$C$9,0))*(1-Hypothèses!$C$54))/Hypothèses!$C$55,0)</f>
        <v>6120</v>
      </c>
      <c r="N19" s="17">
        <f>IF(AND(Hypothèses!$C$55&gt;0,N$6&lt;=Hypothèses!$C$55),((Hypothèses!$C$7+IF(Hypothèses!$C$51=Paramètres!$D$33,Hypothèses!$C$9,0))*(1-Hypothèses!$C$54))/Hypothèses!$C$55,0)</f>
        <v>6120</v>
      </c>
      <c r="O19" s="17">
        <f>IF(AND(Hypothèses!$C$55&gt;0,O$6&lt;=Hypothèses!$C$55),((Hypothèses!$C$7+IF(Hypothèses!$C$51=Paramètres!$D$33,Hypothèses!$C$9,0))*(1-Hypothèses!$C$54))/Hypothèses!$C$55,0)</f>
        <v>6120</v>
      </c>
      <c r="P19" s="17">
        <f>IF(AND(Hypothèses!$C$55&gt;0,P$6&lt;=Hypothèses!$C$55),((Hypothèses!$C$7+IF(Hypothèses!$C$51=Paramètres!$D$33,Hypothèses!$C$9,0))*(1-Hypothèses!$C$54))/Hypothèses!$C$55,0)</f>
        <v>6120</v>
      </c>
      <c r="Q19" s="17">
        <f>IF(AND(Hypothèses!$C$55&gt;0,Q$6&lt;=Hypothèses!$C$55),((Hypothèses!$C$7+IF(Hypothèses!$C$51=Paramètres!$D$33,Hypothèses!$C$9,0))*(1-Hypothèses!$C$54))/Hypothèses!$C$55,0)</f>
        <v>6120</v>
      </c>
      <c r="R19" s="17">
        <f>IF(AND(Hypothèses!$C$55&gt;0,R$6&lt;=Hypothèses!$C$55),((Hypothèses!$C$7+IF(Hypothèses!$C$51=Paramètres!$D$33,Hypothèses!$C$9,0))*(1-Hypothèses!$C$54))/Hypothèses!$C$55,0)</f>
        <v>6120</v>
      </c>
      <c r="S19" s="17">
        <f>IF(AND(Hypothèses!$C$55&gt;0,S$6&lt;=Hypothèses!$C$55),((Hypothèses!$C$7+IF(Hypothèses!$C$51=Paramètres!$D$33,Hypothèses!$C$9,0))*(1-Hypothèses!$C$54))/Hypothèses!$C$55,0)</f>
        <v>6120</v>
      </c>
      <c r="T19" s="17">
        <f>IF(AND(Hypothèses!$C$55&gt;0,T$6&lt;=Hypothèses!$C$55),((Hypothèses!$C$7+IF(Hypothèses!$C$51=Paramètres!$D$33,Hypothèses!$C$9,0))*(1-Hypothèses!$C$54))/Hypothèses!$C$55,0)</f>
        <v>6120</v>
      </c>
      <c r="U19" s="17">
        <f>IF(AND(Hypothèses!$C$55&gt;0,U$6&lt;=Hypothèses!$C$55),((Hypothèses!$C$7+IF(Hypothèses!$C$51=Paramètres!$D$33,Hypothèses!$C$9,0))*(1-Hypothèses!$C$54))/Hypothèses!$C$55,0)</f>
        <v>6120</v>
      </c>
      <c r="V19" s="17">
        <f>IF(AND(Hypothèses!$C$55&gt;0,V$6&lt;=Hypothèses!$C$55),((Hypothèses!$C$7+IF(Hypothèses!$C$51=Paramètres!$D$33,Hypothèses!$C$9,0))*(1-Hypothèses!$C$54))/Hypothèses!$C$55,0)</f>
        <v>6120</v>
      </c>
      <c r="W19" s="17">
        <f>IF(AND(Hypothèses!$C$55&gt;0,W$6&lt;=Hypothèses!$C$55),((Hypothèses!$C$7+IF(Hypothèses!$C$51=Paramètres!$D$33,Hypothèses!$C$9,0))*(1-Hypothèses!$C$54))/Hypothèses!$C$55,0)</f>
        <v>6120</v>
      </c>
      <c r="X19" s="17">
        <f>IF(AND(Hypothèses!$C$55&gt;0,X$6&lt;=Hypothèses!$C$55),((Hypothèses!$C$7+IF(Hypothèses!$C$51=Paramètres!$D$33,Hypothèses!$C$9,0))*(1-Hypothèses!$C$54))/Hypothèses!$C$55,0)</f>
        <v>6120</v>
      </c>
      <c r="Y19" s="17">
        <f>IF(AND(Hypothèses!$C$55&gt;0,Y$6&lt;=Hypothèses!$C$55),((Hypothèses!$C$7+IF(Hypothèses!$C$51=Paramètres!$D$33,Hypothèses!$C$9,0))*(1-Hypothèses!$C$54))/Hypothèses!$C$55,0)</f>
        <v>6120</v>
      </c>
      <c r="Z19" s="17">
        <f>IF(AND(Hypothèses!$C$55&gt;0,Z$6&lt;=Hypothèses!$C$55),((Hypothèses!$C$7+IF(Hypothèses!$C$51=Paramètres!$D$33,Hypothèses!$C$9,0))*(1-Hypothèses!$C$54))/Hypothèses!$C$55,0)</f>
        <v>6120</v>
      </c>
      <c r="AA19" s="17">
        <f>IF(AND(Hypothèses!$C$55&gt;0,AA$6&lt;=Hypothèses!$C$55),((Hypothèses!$C$7+IF(Hypothèses!$C$51=Paramètres!$D$33,Hypothèses!$C$9,0))*(1-Hypothèses!$C$54))/Hypothèses!$C$55,0)</f>
        <v>6120</v>
      </c>
      <c r="AB19" s="17">
        <f>IF(AND(Hypothèses!$C$55&gt;0,AB$6&lt;=Hypothèses!$C$55),((Hypothèses!$C$7+IF(Hypothèses!$C$51=Paramètres!$D$33,Hypothèses!$C$9,0))*(1-Hypothèses!$C$54))/Hypothèses!$C$55,0)</f>
        <v>6120</v>
      </c>
      <c r="AC19" s="17">
        <f>IF(AND(Hypothèses!$C$55&gt;0,AC$6&lt;=Hypothèses!$C$55),((Hypothèses!$C$7+IF(Hypothèses!$C$51=Paramètres!$D$33,Hypothèses!$C$9,0))*(1-Hypothèses!$C$54))/Hypothèses!$C$55,0)</f>
        <v>6120</v>
      </c>
      <c r="AD19" s="17">
        <f>IF(AND(Hypothèses!$C$55&gt;0,AD$6&lt;=Hypothèses!$C$55),((Hypothèses!$C$7+IF(Hypothèses!$C$51=Paramètres!$D$33,Hypothèses!$C$9,0))*(1-Hypothèses!$C$54))/Hypothèses!$C$55,0)</f>
        <v>6120</v>
      </c>
      <c r="AE19" s="17">
        <f>IF(AND(Hypothèses!$C$55&gt;0,AE$6&lt;=Hypothèses!$C$55),((Hypothèses!$C$7+IF(Hypothèses!$C$51=Paramètres!$D$33,Hypothèses!$C$9,0))*(1-Hypothèses!$C$54))/Hypothèses!$C$55,0)</f>
        <v>6120</v>
      </c>
      <c r="AF19" s="17">
        <f>IF(AND(Hypothèses!$C$55&gt;0,AF$6&lt;=Hypothèses!$C$55),((Hypothèses!$C$7+IF(Hypothèses!$C$51=Paramètres!$D$33,Hypothèses!$C$9,0))*(1-Hypothèses!$C$54))/Hypothèses!$C$55,0)</f>
        <v>6120</v>
      </c>
      <c r="AG19" s="17">
        <f>IF(AND(Hypothèses!$C$55&gt;0,AG$6&lt;=Hypothèses!$C$55),((Hypothèses!$C$7+IF(Hypothèses!$C$51=Paramètres!$D$33,Hypothèses!$C$9,0))*(1-Hypothèses!$C$54))/Hypothèses!$C$55,0)</f>
        <v>6120</v>
      </c>
    </row>
    <row r="20" spans="2:33" x14ac:dyDescent="0.35">
      <c r="B20" s="10" t="s">
        <v>391</v>
      </c>
      <c r="C20" s="14">
        <f>SUMPRODUCT((D$6:AG$6&lt;=Hypothèses!$C$44)*(D20:AG20))</f>
        <v>3333.3333333333335</v>
      </c>
      <c r="D20" s="17">
        <f>IF(AND(Hypothèses!$C$56&gt;0,D$6&lt;=Hypothèses!$C$56),Hypothèses!$C$10/Hypothèses!$C$56,0)</f>
        <v>333.33333333333331</v>
      </c>
      <c r="E20" s="17">
        <f>IF(AND(Hypothèses!$C$56&gt;0,E$6&lt;=Hypothèses!$C$56),Hypothèses!$C$10/Hypothèses!$C$56,0)</f>
        <v>333.33333333333331</v>
      </c>
      <c r="F20" s="17">
        <f>IF(AND(Hypothèses!$C$56&gt;0,F$6&lt;=Hypothèses!$C$56),Hypothèses!$C$10/Hypothèses!$C$56,0)</f>
        <v>333.33333333333331</v>
      </c>
      <c r="G20" s="17">
        <f>IF(AND(Hypothèses!$C$56&gt;0,G$6&lt;=Hypothèses!$C$56),Hypothèses!$C$10/Hypothèses!$C$56,0)</f>
        <v>333.33333333333331</v>
      </c>
      <c r="H20" s="17">
        <f>IF(AND(Hypothèses!$C$56&gt;0,H$6&lt;=Hypothèses!$C$56),Hypothèses!$C$10/Hypothèses!$C$56,0)</f>
        <v>333.33333333333331</v>
      </c>
      <c r="I20" s="17">
        <f>IF(AND(Hypothèses!$C$56&gt;0,I$6&lt;=Hypothèses!$C$56),Hypothèses!$C$10/Hypothèses!$C$56,0)</f>
        <v>333.33333333333331</v>
      </c>
      <c r="J20" s="17">
        <f>IF(AND(Hypothèses!$C$56&gt;0,J$6&lt;=Hypothèses!$C$56),Hypothèses!$C$10/Hypothèses!$C$56,0)</f>
        <v>333.33333333333331</v>
      </c>
      <c r="K20" s="17">
        <f>IF(AND(Hypothèses!$C$56&gt;0,K$6&lt;=Hypothèses!$C$56),Hypothèses!$C$10/Hypothèses!$C$56,0)</f>
        <v>333.33333333333331</v>
      </c>
      <c r="L20" s="17">
        <f>IF(AND(Hypothèses!$C$56&gt;0,L$6&lt;=Hypothèses!$C$56),Hypothèses!$C$10/Hypothèses!$C$56,0)</f>
        <v>333.33333333333331</v>
      </c>
      <c r="M20" s="17">
        <f>IF(AND(Hypothèses!$C$56&gt;0,M$6&lt;=Hypothèses!$C$56),Hypothèses!$C$10/Hypothèses!$C$56,0)</f>
        <v>333.33333333333331</v>
      </c>
      <c r="N20" s="17">
        <f>IF(AND(Hypothèses!$C$56&gt;0,N$6&lt;=Hypothèses!$C$56),Hypothèses!$C$10/Hypothèses!$C$56,0)</f>
        <v>333.33333333333331</v>
      </c>
      <c r="O20" s="17">
        <f>IF(AND(Hypothèses!$C$56&gt;0,O$6&lt;=Hypothèses!$C$56),Hypothèses!$C$10/Hypothèses!$C$56,0)</f>
        <v>333.33333333333331</v>
      </c>
      <c r="P20" s="17">
        <f>IF(AND(Hypothèses!$C$56&gt;0,P$6&lt;=Hypothèses!$C$56),Hypothèses!$C$10/Hypothèses!$C$56,0)</f>
        <v>333.33333333333331</v>
      </c>
      <c r="Q20" s="17">
        <f>IF(AND(Hypothèses!$C$56&gt;0,Q$6&lt;=Hypothèses!$C$56),Hypothèses!$C$10/Hypothèses!$C$56,0)</f>
        <v>333.33333333333331</v>
      </c>
      <c r="R20" s="17">
        <f>IF(AND(Hypothèses!$C$56&gt;0,R$6&lt;=Hypothèses!$C$56),Hypothèses!$C$10/Hypothèses!$C$56,0)</f>
        <v>333.33333333333331</v>
      </c>
      <c r="S20" s="17">
        <f>IF(AND(Hypothèses!$C$56&gt;0,S$6&lt;=Hypothèses!$C$56),Hypothèses!$C$10/Hypothèses!$C$56,0)</f>
        <v>0</v>
      </c>
      <c r="T20" s="17">
        <f>IF(AND(Hypothèses!$C$56&gt;0,T$6&lt;=Hypothèses!$C$56),Hypothèses!$C$10/Hypothèses!$C$56,0)</f>
        <v>0</v>
      </c>
      <c r="U20" s="17">
        <f>IF(AND(Hypothèses!$C$56&gt;0,U$6&lt;=Hypothèses!$C$56),Hypothèses!$C$10/Hypothèses!$C$56,0)</f>
        <v>0</v>
      </c>
      <c r="V20" s="17">
        <f>IF(AND(Hypothèses!$C$56&gt;0,V$6&lt;=Hypothèses!$C$56),Hypothèses!$C$10/Hypothèses!$C$56,0)</f>
        <v>0</v>
      </c>
      <c r="W20" s="17">
        <f>IF(AND(Hypothèses!$C$56&gt;0,W$6&lt;=Hypothèses!$C$56),Hypothèses!$C$10/Hypothèses!$C$56,0)</f>
        <v>0</v>
      </c>
      <c r="X20" s="17">
        <f>IF(AND(Hypothèses!$C$56&gt;0,X$6&lt;=Hypothèses!$C$56),Hypothèses!$C$10/Hypothèses!$C$56,0)</f>
        <v>0</v>
      </c>
      <c r="Y20" s="17">
        <f>IF(AND(Hypothèses!$C$56&gt;0,Y$6&lt;=Hypothèses!$C$56),Hypothèses!$C$10/Hypothèses!$C$56,0)</f>
        <v>0</v>
      </c>
      <c r="Z20" s="17">
        <f>IF(AND(Hypothèses!$C$56&gt;0,Z$6&lt;=Hypothèses!$C$56),Hypothèses!$C$10/Hypothèses!$C$56,0)</f>
        <v>0</v>
      </c>
      <c r="AA20" s="17">
        <f>IF(AND(Hypothèses!$C$56&gt;0,AA$6&lt;=Hypothèses!$C$56),Hypothèses!$C$10/Hypothèses!$C$56,0)</f>
        <v>0</v>
      </c>
      <c r="AB20" s="17">
        <f>IF(AND(Hypothèses!$C$56&gt;0,AB$6&lt;=Hypothèses!$C$56),Hypothèses!$C$10/Hypothèses!$C$56,0)</f>
        <v>0</v>
      </c>
      <c r="AC20" s="17">
        <f>IF(AND(Hypothèses!$C$56&gt;0,AC$6&lt;=Hypothèses!$C$56),Hypothèses!$C$10/Hypothèses!$C$56,0)</f>
        <v>0</v>
      </c>
      <c r="AD20" s="17">
        <f>IF(AND(Hypothèses!$C$56&gt;0,AD$6&lt;=Hypothèses!$C$56),Hypothèses!$C$10/Hypothèses!$C$56,0)</f>
        <v>0</v>
      </c>
      <c r="AE20" s="17">
        <f>IF(AND(Hypothèses!$C$56&gt;0,AE$6&lt;=Hypothèses!$C$56),Hypothèses!$C$10/Hypothèses!$C$56,0)</f>
        <v>0</v>
      </c>
      <c r="AF20" s="17">
        <f>IF(AND(Hypothèses!$C$56&gt;0,AF$6&lt;=Hypothèses!$C$56),Hypothèses!$C$10/Hypothèses!$C$56,0)</f>
        <v>0</v>
      </c>
      <c r="AG20" s="17">
        <f>IF(AND(Hypothèses!$C$56&gt;0,AG$6&lt;=Hypothèses!$C$56),Hypothèses!$C$10/Hypothèses!$C$56,0)</f>
        <v>0</v>
      </c>
    </row>
    <row r="21" spans="2:33" x14ac:dyDescent="0.35">
      <c r="B21" s="10" t="s">
        <v>392</v>
      </c>
      <c r="C21" s="14">
        <f>SUMPRODUCT((D$6:AG$6&lt;=Hypothèses!$C$44)*(D21:AG21))</f>
        <v>8000.0000000000009</v>
      </c>
      <c r="D21" s="17">
        <f>IF(AND(Hypothèses!$C$57&gt;0,D$6&lt;=Hypothèses!$C$57),Hypothèses!$C$11/Hypothèses!$C$57,0)</f>
        <v>1142.8571428571429</v>
      </c>
      <c r="E21" s="17">
        <f>IF(AND(Hypothèses!$C$57&gt;0,E$6&lt;=Hypothèses!$C$57),Hypothèses!$C$11/Hypothèses!$C$57,0)</f>
        <v>1142.8571428571429</v>
      </c>
      <c r="F21" s="17">
        <f>IF(AND(Hypothèses!$C$57&gt;0,F$6&lt;=Hypothèses!$C$57),Hypothèses!$C$11/Hypothèses!$C$57,0)</f>
        <v>1142.8571428571429</v>
      </c>
      <c r="G21" s="17">
        <f>IF(AND(Hypothèses!$C$57&gt;0,G$6&lt;=Hypothèses!$C$57),Hypothèses!$C$11/Hypothèses!$C$57,0)</f>
        <v>1142.8571428571429</v>
      </c>
      <c r="H21" s="17">
        <f>IF(AND(Hypothèses!$C$57&gt;0,H$6&lt;=Hypothèses!$C$57),Hypothèses!$C$11/Hypothèses!$C$57,0)</f>
        <v>1142.8571428571429</v>
      </c>
      <c r="I21" s="17">
        <f>IF(AND(Hypothèses!$C$57&gt;0,I$6&lt;=Hypothèses!$C$57),Hypothèses!$C$11/Hypothèses!$C$57,0)</f>
        <v>1142.8571428571429</v>
      </c>
      <c r="J21" s="17">
        <f>IF(AND(Hypothèses!$C$57&gt;0,J$6&lt;=Hypothèses!$C$57),Hypothèses!$C$11/Hypothèses!$C$57,0)</f>
        <v>1142.8571428571429</v>
      </c>
      <c r="K21" s="17">
        <f>IF(AND(Hypothèses!$C$57&gt;0,K$6&lt;=Hypothèses!$C$57),Hypothèses!$C$11/Hypothèses!$C$57,0)</f>
        <v>0</v>
      </c>
      <c r="L21" s="17">
        <f>IF(AND(Hypothèses!$C$57&gt;0,L$6&lt;=Hypothèses!$C$57),Hypothèses!$C$11/Hypothèses!$C$57,0)</f>
        <v>0</v>
      </c>
      <c r="M21" s="17">
        <f>IF(AND(Hypothèses!$C$57&gt;0,M$6&lt;=Hypothèses!$C$57),Hypothèses!$C$11/Hypothèses!$C$57,0)</f>
        <v>0</v>
      </c>
      <c r="N21" s="17">
        <f>IF(AND(Hypothèses!$C$57&gt;0,N$6&lt;=Hypothèses!$C$57),Hypothèses!$C$11/Hypothèses!$C$57,0)</f>
        <v>0</v>
      </c>
      <c r="O21" s="17">
        <f>IF(AND(Hypothèses!$C$57&gt;0,O$6&lt;=Hypothèses!$C$57),Hypothèses!$C$11/Hypothèses!$C$57,0)</f>
        <v>0</v>
      </c>
      <c r="P21" s="17">
        <f>IF(AND(Hypothèses!$C$57&gt;0,P$6&lt;=Hypothèses!$C$57),Hypothèses!$C$11/Hypothèses!$C$57,0)</f>
        <v>0</v>
      </c>
      <c r="Q21" s="17">
        <f>IF(AND(Hypothèses!$C$57&gt;0,Q$6&lt;=Hypothèses!$C$57),Hypothèses!$C$11/Hypothèses!$C$57,0)</f>
        <v>0</v>
      </c>
      <c r="R21" s="17">
        <f>IF(AND(Hypothèses!$C$57&gt;0,R$6&lt;=Hypothèses!$C$57),Hypothèses!$C$11/Hypothèses!$C$57,0)</f>
        <v>0</v>
      </c>
      <c r="S21" s="17">
        <f>IF(AND(Hypothèses!$C$57&gt;0,S$6&lt;=Hypothèses!$C$57),Hypothèses!$C$11/Hypothèses!$C$57,0)</f>
        <v>0</v>
      </c>
      <c r="T21" s="17">
        <f>IF(AND(Hypothèses!$C$57&gt;0,T$6&lt;=Hypothèses!$C$57),Hypothèses!$C$11/Hypothèses!$C$57,0)</f>
        <v>0</v>
      </c>
      <c r="U21" s="17">
        <f>IF(AND(Hypothèses!$C$57&gt;0,U$6&lt;=Hypothèses!$C$57),Hypothèses!$C$11/Hypothèses!$C$57,0)</f>
        <v>0</v>
      </c>
      <c r="V21" s="17">
        <f>IF(AND(Hypothèses!$C$57&gt;0,V$6&lt;=Hypothèses!$C$57),Hypothèses!$C$11/Hypothèses!$C$57,0)</f>
        <v>0</v>
      </c>
      <c r="W21" s="17">
        <f>IF(AND(Hypothèses!$C$57&gt;0,W$6&lt;=Hypothèses!$C$57),Hypothèses!$C$11/Hypothèses!$C$57,0)</f>
        <v>0</v>
      </c>
      <c r="X21" s="17">
        <f>IF(AND(Hypothèses!$C$57&gt;0,X$6&lt;=Hypothèses!$C$57),Hypothèses!$C$11/Hypothèses!$C$57,0)</f>
        <v>0</v>
      </c>
      <c r="Y21" s="17">
        <f>IF(AND(Hypothèses!$C$57&gt;0,Y$6&lt;=Hypothèses!$C$57),Hypothèses!$C$11/Hypothèses!$C$57,0)</f>
        <v>0</v>
      </c>
      <c r="Z21" s="17">
        <f>IF(AND(Hypothèses!$C$57&gt;0,Z$6&lt;=Hypothèses!$C$57),Hypothèses!$C$11/Hypothèses!$C$57,0)</f>
        <v>0</v>
      </c>
      <c r="AA21" s="17">
        <f>IF(AND(Hypothèses!$C$57&gt;0,AA$6&lt;=Hypothèses!$C$57),Hypothèses!$C$11/Hypothèses!$C$57,0)</f>
        <v>0</v>
      </c>
      <c r="AB21" s="17">
        <f>IF(AND(Hypothèses!$C$57&gt;0,AB$6&lt;=Hypothèses!$C$57),Hypothèses!$C$11/Hypothèses!$C$57,0)</f>
        <v>0</v>
      </c>
      <c r="AC21" s="17">
        <f>IF(AND(Hypothèses!$C$57&gt;0,AC$6&lt;=Hypothèses!$C$57),Hypothèses!$C$11/Hypothèses!$C$57,0)</f>
        <v>0</v>
      </c>
      <c r="AD21" s="17">
        <f>IF(AND(Hypothèses!$C$57&gt;0,AD$6&lt;=Hypothèses!$C$57),Hypothèses!$C$11/Hypothèses!$C$57,0)</f>
        <v>0</v>
      </c>
      <c r="AE21" s="17">
        <f>IF(AND(Hypothèses!$C$57&gt;0,AE$6&lt;=Hypothèses!$C$57),Hypothèses!$C$11/Hypothèses!$C$57,0)</f>
        <v>0</v>
      </c>
      <c r="AF21" s="17">
        <f>IF(AND(Hypothèses!$C$57&gt;0,AF$6&lt;=Hypothèses!$C$57),Hypothèses!$C$11/Hypothèses!$C$57,0)</f>
        <v>0</v>
      </c>
      <c r="AG21" s="17">
        <f>IF(AND(Hypothèses!$C$57&gt;0,AG$6&lt;=Hypothèses!$C$57),Hypothèses!$C$11/Hypothèses!$C$57,0)</f>
        <v>0</v>
      </c>
    </row>
    <row r="22" spans="2:33" x14ac:dyDescent="0.35">
      <c r="B22" s="13" t="s">
        <v>393</v>
      </c>
      <c r="C22" s="14">
        <f>SUMPRODUCT((D$6:AG$6&lt;=Hypothèses!$C$44)*(D22:AG22))</f>
        <v>72533.333333333328</v>
      </c>
      <c r="D22" s="17">
        <f t="shared" ref="D22:AG22" si="1">D19+D20+D21</f>
        <v>7596.1904761904761</v>
      </c>
      <c r="E22" s="17">
        <f t="shared" si="1"/>
        <v>7596.1904761904761</v>
      </c>
      <c r="F22" s="17">
        <f t="shared" si="1"/>
        <v>7596.1904761904761</v>
      </c>
      <c r="G22" s="17">
        <f t="shared" si="1"/>
        <v>7596.1904761904761</v>
      </c>
      <c r="H22" s="17">
        <f t="shared" si="1"/>
        <v>7596.1904761904761</v>
      </c>
      <c r="I22" s="17">
        <f t="shared" si="1"/>
        <v>7596.1904761904761</v>
      </c>
      <c r="J22" s="17">
        <f t="shared" si="1"/>
        <v>7596.1904761904761</v>
      </c>
      <c r="K22" s="17">
        <f t="shared" si="1"/>
        <v>6453.333333333333</v>
      </c>
      <c r="L22" s="17">
        <f t="shared" si="1"/>
        <v>6453.333333333333</v>
      </c>
      <c r="M22" s="17">
        <f t="shared" si="1"/>
        <v>6453.333333333333</v>
      </c>
      <c r="N22" s="17">
        <f t="shared" si="1"/>
        <v>6453.333333333333</v>
      </c>
      <c r="O22" s="17">
        <f t="shared" si="1"/>
        <v>6453.333333333333</v>
      </c>
      <c r="P22" s="17">
        <f t="shared" si="1"/>
        <v>6453.333333333333</v>
      </c>
      <c r="Q22" s="17">
        <f t="shared" si="1"/>
        <v>6453.333333333333</v>
      </c>
      <c r="R22" s="17">
        <f t="shared" si="1"/>
        <v>6453.333333333333</v>
      </c>
      <c r="S22" s="17">
        <f t="shared" si="1"/>
        <v>6120</v>
      </c>
      <c r="T22" s="17">
        <f t="shared" si="1"/>
        <v>6120</v>
      </c>
      <c r="U22" s="17">
        <f t="shared" si="1"/>
        <v>6120</v>
      </c>
      <c r="V22" s="17">
        <f t="shared" si="1"/>
        <v>6120</v>
      </c>
      <c r="W22" s="17">
        <f t="shared" si="1"/>
        <v>6120</v>
      </c>
      <c r="X22" s="17">
        <f t="shared" si="1"/>
        <v>6120</v>
      </c>
      <c r="Y22" s="17">
        <f t="shared" si="1"/>
        <v>6120</v>
      </c>
      <c r="Z22" s="17">
        <f t="shared" si="1"/>
        <v>6120</v>
      </c>
      <c r="AA22" s="17">
        <f t="shared" si="1"/>
        <v>6120</v>
      </c>
      <c r="AB22" s="17">
        <f t="shared" si="1"/>
        <v>6120</v>
      </c>
      <c r="AC22" s="17">
        <f t="shared" si="1"/>
        <v>6120</v>
      </c>
      <c r="AD22" s="17">
        <f t="shared" si="1"/>
        <v>6120</v>
      </c>
      <c r="AE22" s="17">
        <f t="shared" si="1"/>
        <v>6120</v>
      </c>
      <c r="AF22" s="17">
        <f t="shared" si="1"/>
        <v>6120</v>
      </c>
      <c r="AG22" s="17">
        <f t="shared" si="1"/>
        <v>6120</v>
      </c>
    </row>
    <row r="24" spans="2:33" ht="18" customHeight="1" x14ac:dyDescent="0.35">
      <c r="B24" s="1" t="s">
        <v>394</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2:33" x14ac:dyDescent="0.35">
      <c r="B25" s="10" t="s">
        <v>395</v>
      </c>
      <c r="C25" s="14">
        <f>SUMPRODUCT((D$6:AG$6&lt;=Hypothèses!$C$44)*(D25:AG25))</f>
        <v>96670.843879952969</v>
      </c>
      <c r="D25" s="17">
        <f>D9*(1-Paramètres!$C$11)</f>
        <v>9240</v>
      </c>
      <c r="E25" s="17">
        <f>E9*(1-Paramètres!$C$11)</f>
        <v>9332.4</v>
      </c>
      <c r="F25" s="17">
        <f>F9*(1-Paramètres!$C$11)</f>
        <v>9425.7239999999983</v>
      </c>
      <c r="G25" s="17">
        <f>G9*(1-Paramètres!$C$11)</f>
        <v>9519.9812399999992</v>
      </c>
      <c r="H25" s="17">
        <f>H9*(1-Paramètres!$C$11)</f>
        <v>9615.1810523999993</v>
      </c>
      <c r="I25" s="17">
        <f>I9*(1-Paramètres!$C$11)</f>
        <v>9711.3328629239986</v>
      </c>
      <c r="J25" s="17">
        <f>J9*(1-Paramètres!$C$11)</f>
        <v>9808.4461915532411</v>
      </c>
      <c r="K25" s="17">
        <f>K9*(1-Paramètres!$C$11)</f>
        <v>9906.5306534687697</v>
      </c>
      <c r="L25" s="17">
        <f>L9*(1-Paramètres!$C$11)</f>
        <v>10005.595960003462</v>
      </c>
      <c r="M25" s="17">
        <f>M9*(1-Paramètres!$C$11)</f>
        <v>10105.651919603495</v>
      </c>
      <c r="N25" s="17">
        <f>N9*(1-Paramètres!$C$11)</f>
        <v>10206.708438799531</v>
      </c>
      <c r="O25" s="17">
        <f>O9*(1-Paramètres!$C$11)</f>
        <v>10308.775523187525</v>
      </c>
      <c r="P25" s="17">
        <f>P9*(1-Paramètres!$C$11)</f>
        <v>10411.8632784194</v>
      </c>
      <c r="Q25" s="17">
        <f>Q9*(1-Paramètres!$C$11)</f>
        <v>10515.981911203595</v>
      </c>
      <c r="R25" s="17">
        <f>R9*(1-Paramètres!$C$11)</f>
        <v>10621.141730315632</v>
      </c>
      <c r="S25" s="17">
        <f>S9*(1-Paramètres!$C$11)</f>
        <v>10727.353147618785</v>
      </c>
      <c r="T25" s="17">
        <f>T9*(1-Paramètres!$C$11)</f>
        <v>10834.626679094976</v>
      </c>
      <c r="U25" s="17">
        <f>U9*(1-Paramètres!$C$11)</f>
        <v>10942.972945885927</v>
      </c>
      <c r="V25" s="17">
        <f>V9*(1-Paramètres!$C$11)</f>
        <v>11052.402675344785</v>
      </c>
      <c r="W25" s="17">
        <f>W9*(1-Paramètres!$C$11)</f>
        <v>11162.926702098232</v>
      </c>
      <c r="X25" s="17">
        <f>X9*(1-Paramètres!$C$11)</f>
        <v>11274.555969119214</v>
      </c>
      <c r="Y25" s="17">
        <f>Y9*(1-Paramètres!$C$11)</f>
        <v>11387.301528810405</v>
      </c>
      <c r="Z25" s="17">
        <f>Z9*(1-Paramètres!$C$11)</f>
        <v>11501.174544098512</v>
      </c>
      <c r="AA25" s="17">
        <f>AA9*(1-Paramètres!$C$11)</f>
        <v>11616.186289539497</v>
      </c>
      <c r="AB25" s="17">
        <f>AB9*(1-Paramètres!$C$11)</f>
        <v>11732.348152434894</v>
      </c>
      <c r="AC25" s="17">
        <f>AC9*(1-Paramètres!$C$11)</f>
        <v>11849.671633959244</v>
      </c>
      <c r="AD25" s="17">
        <f>AD9*(1-Paramètres!$C$11)</f>
        <v>11968.168350298836</v>
      </c>
      <c r="AE25" s="17">
        <f>AE9*(1-Paramètres!$C$11)</f>
        <v>12087.850033801822</v>
      </c>
      <c r="AF25" s="17">
        <f>AF9*(1-Paramètres!$C$11)</f>
        <v>12208.728534139838</v>
      </c>
      <c r="AG25" s="17">
        <f>AG9*(1-Paramètres!$C$11)</f>
        <v>12330.815819481239</v>
      </c>
    </row>
    <row r="26" spans="2:33" x14ac:dyDescent="0.35">
      <c r="B26" s="10" t="s">
        <v>396</v>
      </c>
      <c r="C26" s="14">
        <f>SUMPRODUCT((D$6:AG$6&lt;=Hypothèses!$C$44)*(D26:AG26))</f>
        <v>45628.638311337796</v>
      </c>
      <c r="D26" s="14">
        <f>D25*(Hypothèses!$C$36+Paramètres!$C$8)</f>
        <v>4361.28</v>
      </c>
      <c r="E26" s="14">
        <f>E25*(Hypothèses!$C$36+Paramètres!$C$8)</f>
        <v>4404.8927999999996</v>
      </c>
      <c r="F26" s="14">
        <f>F25*(Hypothèses!$C$36+Paramètres!$C$8)</f>
        <v>4448.9417279999989</v>
      </c>
      <c r="G26" s="14">
        <f>G25*(Hypothèses!$C$36+Paramètres!$C$8)</f>
        <v>4493.4311452799993</v>
      </c>
      <c r="H26" s="14">
        <f>H25*(Hypothèses!$C$36+Paramètres!$C$8)</f>
        <v>4538.3654567327994</v>
      </c>
      <c r="I26" s="14">
        <f>I25*(Hypothèses!$C$36+Paramètres!$C$8)</f>
        <v>4583.749111300127</v>
      </c>
      <c r="J26" s="14">
        <f>J25*(Hypothèses!$C$36+Paramètres!$C$8)</f>
        <v>4629.5866024131292</v>
      </c>
      <c r="K26" s="14">
        <f>K25*(Hypothèses!$C$36+Paramètres!$C$8)</f>
        <v>4675.8824684372594</v>
      </c>
      <c r="L26" s="14">
        <f>L25*(Hypothèses!$C$36+Paramètres!$C$8)</f>
        <v>4722.6412931216337</v>
      </c>
      <c r="M26" s="14">
        <f>M25*(Hypothèses!$C$36+Paramètres!$C$8)</f>
        <v>4769.8677060528498</v>
      </c>
      <c r="N26" s="14">
        <f>N25*(Hypothèses!$C$36+Paramètres!$C$8)</f>
        <v>4817.5663831133779</v>
      </c>
      <c r="O26" s="14">
        <f>O25*(Hypothèses!$C$36+Paramètres!$C$8)</f>
        <v>4865.7420469445115</v>
      </c>
      <c r="P26" s="14">
        <f>P25*(Hypothèses!$C$36+Paramètres!$C$8)</f>
        <v>4914.3994674139567</v>
      </c>
      <c r="Q26" s="14">
        <f>Q25*(Hypothèses!$C$36+Paramètres!$C$8)</f>
        <v>4963.5434620880969</v>
      </c>
      <c r="R26" s="14">
        <f>R25*(Hypothèses!$C$36+Paramètres!$C$8)</f>
        <v>5013.1788967089778</v>
      </c>
      <c r="S26" s="14">
        <f>S25*(Hypothèses!$C$36+Paramètres!$C$8)</f>
        <v>5063.3106856760669</v>
      </c>
      <c r="T26" s="14">
        <f>T25*(Hypothèses!$C$36+Paramètres!$C$8)</f>
        <v>5113.9437925328284</v>
      </c>
      <c r="U26" s="14">
        <f>U25*(Hypothèses!$C$36+Paramètres!$C$8)</f>
        <v>5165.0832304581572</v>
      </c>
      <c r="V26" s="14">
        <f>V25*(Hypothèses!$C$36+Paramètres!$C$8)</f>
        <v>5216.7340627627382</v>
      </c>
      <c r="W26" s="14">
        <f>W25*(Hypothèses!$C$36+Paramètres!$C$8)</f>
        <v>5268.901403390365</v>
      </c>
      <c r="X26" s="14">
        <f>X25*(Hypothèses!$C$36+Paramètres!$C$8)</f>
        <v>5321.5904174242687</v>
      </c>
      <c r="Y26" s="14">
        <f>Y25*(Hypothèses!$C$36+Paramètres!$C$8)</f>
        <v>5374.8063215985112</v>
      </c>
      <c r="Z26" s="14">
        <f>Z25*(Hypothèses!$C$36+Paramètres!$C$8)</f>
        <v>5428.5543848144971</v>
      </c>
      <c r="AA26" s="14">
        <f>AA25*(Hypothèses!$C$36+Paramètres!$C$8)</f>
        <v>5482.8399286626427</v>
      </c>
      <c r="AB26" s="14">
        <f>AB25*(Hypothèses!$C$36+Paramètres!$C$8)</f>
        <v>5537.668327949269</v>
      </c>
      <c r="AC26" s="14">
        <f>AC25*(Hypothèses!$C$36+Paramètres!$C$8)</f>
        <v>5593.0450112287626</v>
      </c>
      <c r="AD26" s="14">
        <f>AD25*(Hypothèses!$C$36+Paramètres!$C$8)</f>
        <v>5648.9754613410505</v>
      </c>
      <c r="AE26" s="14">
        <f>AE25*(Hypothèses!$C$36+Paramètres!$C$8)</f>
        <v>5705.4652159544594</v>
      </c>
      <c r="AF26" s="14">
        <f>AF25*(Hypothèses!$C$36+Paramètres!$C$8)</f>
        <v>5762.5198681140037</v>
      </c>
      <c r="AG26" s="14">
        <f>AG25*(Hypothèses!$C$36+Paramètres!$C$8)</f>
        <v>5820.145066795144</v>
      </c>
    </row>
    <row r="27" spans="2:33" x14ac:dyDescent="0.35">
      <c r="B27" s="10" t="s">
        <v>397</v>
      </c>
      <c r="C27" s="14">
        <f>SUMPRODUCT((D$6:AG$6&lt;=Hypothèses!$C$44)*(D27:AG27))</f>
        <v>0</v>
      </c>
      <c r="D27" s="17">
        <f>0</f>
        <v>0</v>
      </c>
      <c r="E27" s="17">
        <f>IF(Hypothèses!$C$53=Paramètres!$C$33,MAX(0,D25)*Paramètres!$C$10*Hypothèses!$C$36,0)</f>
        <v>0</v>
      </c>
      <c r="F27" s="17">
        <f>IF(Hypothèses!$C$53=Paramètres!$C$33,MAX(0,E25)*Paramètres!$C$10*Hypothèses!$C$36,0)</f>
        <v>0</v>
      </c>
      <c r="G27" s="17">
        <f>IF(Hypothèses!$C$53=Paramètres!$C$33,MAX(0,F25)*Paramètres!$C$10*Hypothèses!$C$36,0)</f>
        <v>0</v>
      </c>
      <c r="H27" s="17">
        <f>IF(Hypothèses!$C$53=Paramètres!$C$33,MAX(0,G25)*Paramètres!$C$10*Hypothèses!$C$36,0)</f>
        <v>0</v>
      </c>
      <c r="I27" s="17">
        <f>IF(Hypothèses!$C$53=Paramètres!$C$33,MAX(0,H25)*Paramètres!$C$10*Hypothèses!$C$36,0)</f>
        <v>0</v>
      </c>
      <c r="J27" s="17">
        <f>IF(Hypothèses!$C$53=Paramètres!$C$33,MAX(0,I25)*Paramètres!$C$10*Hypothèses!$C$36,0)</f>
        <v>0</v>
      </c>
      <c r="K27" s="17">
        <f>IF(Hypothèses!$C$53=Paramètres!$C$33,MAX(0,J25)*Paramètres!$C$10*Hypothèses!$C$36,0)</f>
        <v>0</v>
      </c>
      <c r="L27" s="17">
        <f>IF(Hypothèses!$C$53=Paramètres!$C$33,MAX(0,K25)*Paramètres!$C$10*Hypothèses!$C$36,0)</f>
        <v>0</v>
      </c>
      <c r="M27" s="17">
        <f>IF(Hypothèses!$C$53=Paramètres!$C$33,MAX(0,L25)*Paramètres!$C$10*Hypothèses!$C$36,0)</f>
        <v>0</v>
      </c>
      <c r="N27" s="17">
        <f>IF(Hypothèses!$C$53=Paramètres!$C$33,MAX(0,M25)*Paramètres!$C$10*Hypothèses!$C$36,0)</f>
        <v>0</v>
      </c>
      <c r="O27" s="17">
        <f>IF(Hypothèses!$C$53=Paramètres!$C$33,MAX(0,N25)*Paramètres!$C$10*Hypothèses!$C$36,0)</f>
        <v>0</v>
      </c>
      <c r="P27" s="17">
        <f>IF(Hypothèses!$C$53=Paramètres!$C$33,MAX(0,O25)*Paramètres!$C$10*Hypothèses!$C$36,0)</f>
        <v>0</v>
      </c>
      <c r="Q27" s="17">
        <f>IF(Hypothèses!$C$53=Paramètres!$C$33,MAX(0,P25)*Paramètres!$C$10*Hypothèses!$C$36,0)</f>
        <v>0</v>
      </c>
      <c r="R27" s="17">
        <f>IF(Hypothèses!$C$53=Paramètres!$C$33,MAX(0,Q25)*Paramètres!$C$10*Hypothèses!$C$36,0)</f>
        <v>0</v>
      </c>
      <c r="S27" s="17">
        <f>IF(Hypothèses!$C$53=Paramètres!$C$33,MAX(0,R25)*Paramètres!$C$10*Hypothèses!$C$36,0)</f>
        <v>0</v>
      </c>
      <c r="T27" s="17">
        <f>IF(Hypothèses!$C$53=Paramètres!$C$33,MAX(0,S25)*Paramètres!$C$10*Hypothèses!$C$36,0)</f>
        <v>0</v>
      </c>
      <c r="U27" s="17">
        <f>IF(Hypothèses!$C$53=Paramètres!$C$33,MAX(0,T25)*Paramètres!$C$10*Hypothèses!$C$36,0)</f>
        <v>0</v>
      </c>
      <c r="V27" s="17">
        <f>IF(Hypothèses!$C$53=Paramètres!$C$33,MAX(0,U25)*Paramètres!$C$10*Hypothèses!$C$36,0)</f>
        <v>0</v>
      </c>
      <c r="W27" s="17">
        <f>IF(Hypothèses!$C$53=Paramètres!$C$33,MAX(0,V25)*Paramètres!$C$10*Hypothèses!$C$36,0)</f>
        <v>0</v>
      </c>
      <c r="X27" s="17">
        <f>IF(Hypothèses!$C$53=Paramètres!$C$33,MAX(0,W25)*Paramètres!$C$10*Hypothèses!$C$36,0)</f>
        <v>0</v>
      </c>
      <c r="Y27" s="17">
        <f>IF(Hypothèses!$C$53=Paramètres!$C$33,MAX(0,X25)*Paramètres!$C$10*Hypothèses!$C$36,0)</f>
        <v>0</v>
      </c>
      <c r="Z27" s="17">
        <f>IF(Hypothèses!$C$53=Paramètres!$C$33,MAX(0,Y25)*Paramètres!$C$10*Hypothèses!$C$36,0)</f>
        <v>0</v>
      </c>
      <c r="AA27" s="17">
        <f>IF(Hypothèses!$C$53=Paramètres!$C$33,MAX(0,Z25)*Paramètres!$C$10*Hypothèses!$C$36,0)</f>
        <v>0</v>
      </c>
      <c r="AB27" s="17">
        <f>IF(Hypothèses!$C$53=Paramètres!$C$33,MAX(0,AA25)*Paramètres!$C$10*Hypothèses!$C$36,0)</f>
        <v>0</v>
      </c>
      <c r="AC27" s="17">
        <f>IF(Hypothèses!$C$53=Paramètres!$C$33,MAX(0,AB25)*Paramètres!$C$10*Hypothèses!$C$36,0)</f>
        <v>0</v>
      </c>
      <c r="AD27" s="17">
        <f>IF(Hypothèses!$C$53=Paramètres!$C$33,MAX(0,AC25)*Paramètres!$C$10*Hypothèses!$C$36,0)</f>
        <v>0</v>
      </c>
      <c r="AE27" s="17">
        <f>IF(Hypothèses!$C$53=Paramètres!$C$33,MAX(0,AD25)*Paramètres!$C$10*Hypothèses!$C$36,0)</f>
        <v>0</v>
      </c>
      <c r="AF27" s="17">
        <f>IF(Hypothèses!$C$53=Paramètres!$C$33,MAX(0,AE25)*Paramètres!$C$10*Hypothèses!$C$36,0)</f>
        <v>0</v>
      </c>
      <c r="AG27" s="17">
        <f>IF(Hypothèses!$C$53=Paramètres!$C$33,MAX(0,AF25)*Paramètres!$C$10*Hypothèses!$C$36,0)</f>
        <v>0</v>
      </c>
    </row>
    <row r="28" spans="2:33" x14ac:dyDescent="0.35">
      <c r="B28" s="13" t="s">
        <v>398</v>
      </c>
      <c r="C28" s="14">
        <f>SUMPRODUCT((D$6:AG$6&lt;=Hypothèses!$C$44)*(D28:AG28))</f>
        <v>-82887.274404664262</v>
      </c>
      <c r="D28" s="14">
        <f t="shared" ref="D28:AG28" si="2">D9-D10-D17-D26+D27</f>
        <v>-8553.9782758643014</v>
      </c>
      <c r="E28" s="14">
        <f t="shared" si="2"/>
        <v>-8496.5910758643022</v>
      </c>
      <c r="F28" s="14">
        <f t="shared" si="2"/>
        <v>-8438.6300038643021</v>
      </c>
      <c r="G28" s="14">
        <f t="shared" si="2"/>
        <v>-8380.0893211443035</v>
      </c>
      <c r="H28" s="14">
        <f t="shared" si="2"/>
        <v>-8320.9632315971012</v>
      </c>
      <c r="I28" s="14">
        <f t="shared" si="2"/>
        <v>-8261.2458811544311</v>
      </c>
      <c r="J28" s="14">
        <f t="shared" si="2"/>
        <v>-8200.9313572073297</v>
      </c>
      <c r="K28" s="14">
        <f t="shared" si="2"/>
        <v>-8140.013688020761</v>
      </c>
      <c r="L28" s="14">
        <f t="shared" si="2"/>
        <v>-8078.4868421423243</v>
      </c>
      <c r="M28" s="14">
        <f t="shared" si="2"/>
        <v>-8016.3447278051062</v>
      </c>
      <c r="N28" s="14">
        <f t="shared" si="2"/>
        <v>-7953.5811923245137</v>
      </c>
      <c r="O28" s="14">
        <f t="shared" si="2"/>
        <v>-7890.1900214891157</v>
      </c>
      <c r="P28" s="14">
        <f t="shared" si="2"/>
        <v>-7826.164938945366</v>
      </c>
      <c r="Q28" s="14">
        <f t="shared" si="2"/>
        <v>-7761.4996055761749</v>
      </c>
      <c r="R28" s="14">
        <f t="shared" si="2"/>
        <v>-7696.1876188732931</v>
      </c>
      <c r="S28" s="14">
        <f t="shared" si="2"/>
        <v>-7630.222512303385</v>
      </c>
      <c r="T28" s="14">
        <f t="shared" si="2"/>
        <v>-7563.5977546677723</v>
      </c>
      <c r="U28" s="14">
        <f t="shared" si="2"/>
        <v>-7496.3067494558063</v>
      </c>
      <c r="V28" s="14">
        <f t="shared" si="2"/>
        <v>-7428.3428341917224</v>
      </c>
      <c r="W28" s="14">
        <f t="shared" si="2"/>
        <v>-7359.6992797749981</v>
      </c>
      <c r="X28" s="14">
        <f t="shared" si="2"/>
        <v>7002.3289860501982</v>
      </c>
      <c r="Y28" s="14">
        <f t="shared" si="2"/>
        <v>7072.3522759107</v>
      </c>
      <c r="Z28" s="14">
        <f t="shared" si="2"/>
        <v>7143.0757986698081</v>
      </c>
      <c r="AA28" s="14">
        <f t="shared" si="2"/>
        <v>7214.5065566565045</v>
      </c>
      <c r="AB28" s="14">
        <f t="shared" si="2"/>
        <v>7286.6516222230721</v>
      </c>
      <c r="AC28" s="14">
        <f t="shared" si="2"/>
        <v>7359.5181384453035</v>
      </c>
      <c r="AD28" s="14">
        <f t="shared" si="2"/>
        <v>7433.1133198297566</v>
      </c>
      <c r="AE28" s="14">
        <f t="shared" si="2"/>
        <v>7507.4444530280516</v>
      </c>
      <c r="AF28" s="14">
        <f t="shared" si="2"/>
        <v>7582.5188975583324</v>
      </c>
      <c r="AG28" s="14">
        <f t="shared" si="2"/>
        <v>7658.3440865339153</v>
      </c>
    </row>
    <row r="30" spans="2:33" ht="18" customHeight="1" x14ac:dyDescent="0.35">
      <c r="B30" s="1" t="s">
        <v>399</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2:33" x14ac:dyDescent="0.35">
      <c r="B31" s="10" t="s">
        <v>400</v>
      </c>
      <c r="C31" s="14">
        <f>SUMPRODUCT((D$6:AG$6&lt;=Hypothèses!$C$44)*(D31:AG31))</f>
        <v>41654.299288702088</v>
      </c>
      <c r="D31" s="17">
        <f>D9-D10-(D14+D16)-IF(D$6=1,Hypothèses!$C$10,0)</f>
        <v>-1973.0880888331958</v>
      </c>
      <c r="E31" s="17">
        <f>E9-E10-(E14+E16)-IF(E$6=1,Hypothèses!$C$10,0)</f>
        <v>3366.0761070895342</v>
      </c>
      <c r="F31" s="17">
        <f>F9-F10-(F14+F16)-IF(F$6=1,Hypothèses!$C$10,0)</f>
        <v>3714.1069854023217</v>
      </c>
      <c r="G31" s="17">
        <f>G9-G10-(G14+G16)-IF(G$6=1,Hypothèses!$C$10,0)</f>
        <v>4071.273826364979</v>
      </c>
      <c r="H31" s="17">
        <f>H9-H10-(H14+H16)-IF(H$6=1,Hypothèses!$C$10,0)</f>
        <v>4437.8545612083926</v>
      </c>
      <c r="I31" s="17">
        <f>I9-I10-(I14+I16)-IF(I$6=1,Hypothèses!$C$10,0)</f>
        <v>4814.136055195313</v>
      </c>
      <c r="J31" s="17">
        <f>J9-J10-(J14+J16)-IF(J$6=1,Hypothèses!$C$10,0)</f>
        <v>5200.4143999957578</v>
      </c>
      <c r="K31" s="17">
        <f>K9-K10-(K14+K16)-IF(K$6=1,Hypothèses!$C$10,0)</f>
        <v>5596.9952156838954</v>
      </c>
      <c r="L31" s="17">
        <f>L9-L10-(L14+L16)-IF(L$6=1,Hypothèses!$C$10,0)</f>
        <v>6004.1939626737712</v>
      </c>
      <c r="M31" s="17">
        <f>M9-M10-(M14+M16)-IF(M$6=1,Hypothèses!$C$10,0)</f>
        <v>6422.3362639213246</v>
      </c>
      <c r="N31" s="17">
        <f>N9-N10-(N14+N16)-IF(N$6=1,Hypothèses!$C$10,0)</f>
        <v>6851.7582377312756</v>
      </c>
      <c r="O31" s="17">
        <f>O9-O10-(O14+O16)-IF(O$6=1,Hypothèses!$C$10,0)</f>
        <v>7292.8068415183589</v>
      </c>
      <c r="P31" s="17">
        <f>P9-P10-(P14+P16)-IF(P$6=1,Hypothèses!$C$10,0)</f>
        <v>7745.8402268841091</v>
      </c>
      <c r="Q31" s="17">
        <f>Q9-Q10-(Q14+Q16)-IF(Q$6=1,Hypothèses!$C$10,0)</f>
        <v>8211.2281063822302</v>
      </c>
      <c r="R31" s="17">
        <f>R9-R10-(R14+R16)-IF(R$6=1,Hypothèses!$C$10,0)</f>
        <v>8689.3521323577988</v>
      </c>
      <c r="S31" s="17">
        <f>S9-S10-(S14+S16)-IF(S$6=1,Hypothèses!$C$10,0)</f>
        <v>9180.6062882584865</v>
      </c>
      <c r="T31" s="17">
        <f>T9-T10-(T14+T16)-IF(T$6=1,Hypothèses!$C$10,0)</f>
        <v>9685.3972928288895</v>
      </c>
      <c r="U31" s="17">
        <f>U9-U10-(U14+U16)-IF(U$6=1,Hypothèses!$C$10,0)</f>
        <v>10204.145017612669</v>
      </c>
      <c r="V31" s="17">
        <f>V9-V10-(V14+V16)-IF(V$6=1,Hypothèses!$C$10,0)</f>
        <v>10737.282918201401</v>
      </c>
      <c r="W31" s="17">
        <f>W9-W10-(W14+W16)-IF(W$6=1,Hypothèses!$C$10,0)</f>
        <v>11285.258479683171</v>
      </c>
      <c r="X31" s="17">
        <f>X9-X10-(X14+X16)-IF(X$6=1,Hypothèses!$C$10,0)</f>
        <v>12323.919403474467</v>
      </c>
      <c r="Y31" s="17">
        <f>Y9-Y10-(Y14+Y16)-IF(Y$6=1,Hypothèses!$C$10,0)</f>
        <v>12447.158597509211</v>
      </c>
      <c r="Z31" s="17">
        <f>Z9-Z10-(Z14+Z16)-IF(Z$6=1,Hypothèses!$C$10,0)</f>
        <v>12571.630183484305</v>
      </c>
      <c r="AA31" s="17">
        <f>AA9-AA10-(AA14+AA16)-IF(AA$6=1,Hypothèses!$C$10,0)</f>
        <v>12697.346485319147</v>
      </c>
      <c r="AB31" s="17">
        <f>AB9-AB10-(AB14+AB16)-IF(AB$6=1,Hypothèses!$C$10,0)</f>
        <v>12824.319950172341</v>
      </c>
      <c r="AC31" s="17">
        <f>AC9-AC10-(AC14+AC16)-IF(AC$6=1,Hypothèses!$C$10,0)</f>
        <v>12952.563149674066</v>
      </c>
      <c r="AD31" s="17">
        <f>AD9-AD10-(AD14+AD16)-IF(AD$6=1,Hypothèses!$C$10,0)</f>
        <v>13082.088781170807</v>
      </c>
      <c r="AE31" s="17">
        <f>AE9-AE10-(AE14+AE16)-IF(AE$6=1,Hypothèses!$C$10,0)</f>
        <v>13212.909668982511</v>
      </c>
      <c r="AF31" s="17">
        <f>AF9-AF10-(AF14+AF16)-IF(AF$6=1,Hypothèses!$C$10,0)</f>
        <v>13345.038765672336</v>
      </c>
      <c r="AG31" s="17">
        <f>AG9-AG10-(AG14+AG16)-IF(AG$6=1,Hypothèses!$C$10,0)</f>
        <v>13478.489153329059</v>
      </c>
    </row>
    <row r="32" spans="2:33" x14ac:dyDescent="0.35">
      <c r="B32" s="10" t="s">
        <v>401</v>
      </c>
      <c r="C32" s="14">
        <f>SUMPRODUCT((D$6:AG$6&lt;=Hypothèses!$C$44)*(D32:AG32))</f>
        <v>0</v>
      </c>
      <c r="D32" s="17">
        <f t="shared" ref="D32:AG32" si="3">MAX(0,(D14+D16)-D9)</f>
        <v>0</v>
      </c>
      <c r="E32" s="17">
        <f t="shared" si="3"/>
        <v>0</v>
      </c>
      <c r="F32" s="17">
        <f t="shared" si="3"/>
        <v>0</v>
      </c>
      <c r="G32" s="17">
        <f t="shared" si="3"/>
        <v>0</v>
      </c>
      <c r="H32" s="17">
        <f t="shared" si="3"/>
        <v>0</v>
      </c>
      <c r="I32" s="17">
        <f t="shared" si="3"/>
        <v>0</v>
      </c>
      <c r="J32" s="17">
        <f t="shared" si="3"/>
        <v>0</v>
      </c>
      <c r="K32" s="17">
        <f t="shared" si="3"/>
        <v>0</v>
      </c>
      <c r="L32" s="17">
        <f t="shared" si="3"/>
        <v>0</v>
      </c>
      <c r="M32" s="17">
        <f t="shared" si="3"/>
        <v>0</v>
      </c>
      <c r="N32" s="17">
        <f t="shared" si="3"/>
        <v>0</v>
      </c>
      <c r="O32" s="17">
        <f t="shared" si="3"/>
        <v>0</v>
      </c>
      <c r="P32" s="17">
        <f t="shared" si="3"/>
        <v>0</v>
      </c>
      <c r="Q32" s="17">
        <f t="shared" si="3"/>
        <v>0</v>
      </c>
      <c r="R32" s="17">
        <f t="shared" si="3"/>
        <v>0</v>
      </c>
      <c r="S32" s="17">
        <f t="shared" si="3"/>
        <v>0</v>
      </c>
      <c r="T32" s="17">
        <f t="shared" si="3"/>
        <v>0</v>
      </c>
      <c r="U32" s="17">
        <f t="shared" si="3"/>
        <v>0</v>
      </c>
      <c r="V32" s="17">
        <f t="shared" si="3"/>
        <v>0</v>
      </c>
      <c r="W32" s="17">
        <f t="shared" si="3"/>
        <v>0</v>
      </c>
      <c r="X32" s="17">
        <f t="shared" si="3"/>
        <v>0</v>
      </c>
      <c r="Y32" s="17">
        <f t="shared" si="3"/>
        <v>0</v>
      </c>
      <c r="Z32" s="17">
        <f t="shared" si="3"/>
        <v>0</v>
      </c>
      <c r="AA32" s="17">
        <f t="shared" si="3"/>
        <v>0</v>
      </c>
      <c r="AB32" s="17">
        <f t="shared" si="3"/>
        <v>0</v>
      </c>
      <c r="AC32" s="17">
        <f t="shared" si="3"/>
        <v>0</v>
      </c>
      <c r="AD32" s="17">
        <f t="shared" si="3"/>
        <v>0</v>
      </c>
      <c r="AE32" s="17">
        <f t="shared" si="3"/>
        <v>0</v>
      </c>
      <c r="AF32" s="17">
        <f t="shared" si="3"/>
        <v>0</v>
      </c>
      <c r="AG32" s="17">
        <f t="shared" si="3"/>
        <v>0</v>
      </c>
    </row>
    <row r="33" spans="2:33" x14ac:dyDescent="0.35">
      <c r="B33" s="10" t="s">
        <v>402</v>
      </c>
      <c r="C33" s="14">
        <f>SUMPRODUCT((D$6:AG$6&lt;=Hypothèses!$C$44)*(D33:AG33))</f>
        <v>1973.0880888331958</v>
      </c>
      <c r="D33" s="17">
        <f t="shared" ref="D33:AG33" si="4">MAX(0,-D31-D32)</f>
        <v>1973.0880888331958</v>
      </c>
      <c r="E33" s="17">
        <f t="shared" si="4"/>
        <v>0</v>
      </c>
      <c r="F33" s="17">
        <f t="shared" si="4"/>
        <v>0</v>
      </c>
      <c r="G33" s="17">
        <f t="shared" si="4"/>
        <v>0</v>
      </c>
      <c r="H33" s="17">
        <f t="shared" si="4"/>
        <v>0</v>
      </c>
      <c r="I33" s="17">
        <f t="shared" si="4"/>
        <v>0</v>
      </c>
      <c r="J33" s="17">
        <f t="shared" si="4"/>
        <v>0</v>
      </c>
      <c r="K33" s="17">
        <f t="shared" si="4"/>
        <v>0</v>
      </c>
      <c r="L33" s="17">
        <f t="shared" si="4"/>
        <v>0</v>
      </c>
      <c r="M33" s="17">
        <f t="shared" si="4"/>
        <v>0</v>
      </c>
      <c r="N33" s="17">
        <f t="shared" si="4"/>
        <v>0</v>
      </c>
      <c r="O33" s="17">
        <f t="shared" si="4"/>
        <v>0</v>
      </c>
      <c r="P33" s="17">
        <f t="shared" si="4"/>
        <v>0</v>
      </c>
      <c r="Q33" s="17">
        <f t="shared" si="4"/>
        <v>0</v>
      </c>
      <c r="R33" s="17">
        <f t="shared" si="4"/>
        <v>0</v>
      </c>
      <c r="S33" s="17">
        <f t="shared" si="4"/>
        <v>0</v>
      </c>
      <c r="T33" s="17">
        <f t="shared" si="4"/>
        <v>0</v>
      </c>
      <c r="U33" s="17">
        <f t="shared" si="4"/>
        <v>0</v>
      </c>
      <c r="V33" s="17">
        <f t="shared" si="4"/>
        <v>0</v>
      </c>
      <c r="W33" s="17">
        <f t="shared" si="4"/>
        <v>0</v>
      </c>
      <c r="X33" s="17">
        <f t="shared" si="4"/>
        <v>0</v>
      </c>
      <c r="Y33" s="17">
        <f t="shared" si="4"/>
        <v>0</v>
      </c>
      <c r="Z33" s="17">
        <f t="shared" si="4"/>
        <v>0</v>
      </c>
      <c r="AA33" s="17">
        <f t="shared" si="4"/>
        <v>0</v>
      </c>
      <c r="AB33" s="17">
        <f t="shared" si="4"/>
        <v>0</v>
      </c>
      <c r="AC33" s="17">
        <f t="shared" si="4"/>
        <v>0</v>
      </c>
      <c r="AD33" s="17">
        <f t="shared" si="4"/>
        <v>0</v>
      </c>
      <c r="AE33" s="17">
        <f t="shared" si="4"/>
        <v>0</v>
      </c>
      <c r="AF33" s="17">
        <f t="shared" si="4"/>
        <v>0</v>
      </c>
      <c r="AG33" s="17">
        <f t="shared" si="4"/>
        <v>0</v>
      </c>
    </row>
    <row r="34" spans="2:33" x14ac:dyDescent="0.35">
      <c r="B34" s="10" t="s">
        <v>403</v>
      </c>
      <c r="C34" s="14">
        <f>SUMPRODUCT((D$6:AG$6&lt;=Hypothèses!$C$44)*(D34:AG34))</f>
        <v>0</v>
      </c>
      <c r="D34" s="17">
        <f>MAX(0,D32-Hypothèses!$C$37)</f>
        <v>0</v>
      </c>
      <c r="E34" s="17">
        <f>MAX(0,E32-Hypothèses!$C$37)</f>
        <v>0</v>
      </c>
      <c r="F34" s="17">
        <f>MAX(0,F32-Hypothèses!$C$37)</f>
        <v>0</v>
      </c>
      <c r="G34" s="17">
        <f>MAX(0,G32-Hypothèses!$C$37)</f>
        <v>0</v>
      </c>
      <c r="H34" s="17">
        <f>MAX(0,H32-Hypothèses!$C$37)</f>
        <v>0</v>
      </c>
      <c r="I34" s="17">
        <f>MAX(0,I32-Hypothèses!$C$37)</f>
        <v>0</v>
      </c>
      <c r="J34" s="17">
        <f>MAX(0,J32-Hypothèses!$C$37)</f>
        <v>0</v>
      </c>
      <c r="K34" s="17">
        <f>MAX(0,K32-Hypothèses!$C$37)</f>
        <v>0</v>
      </c>
      <c r="L34" s="17">
        <f>MAX(0,L32-Hypothèses!$C$37)</f>
        <v>0</v>
      </c>
      <c r="M34" s="17">
        <f>MAX(0,M32-Hypothèses!$C$37)</f>
        <v>0</v>
      </c>
      <c r="N34" s="17">
        <f>MAX(0,N32-Hypothèses!$C$37)</f>
        <v>0</v>
      </c>
      <c r="O34" s="17">
        <f>MAX(0,O32-Hypothèses!$C$37)</f>
        <v>0</v>
      </c>
      <c r="P34" s="17">
        <f>MAX(0,P32-Hypothèses!$C$37)</f>
        <v>0</v>
      </c>
      <c r="Q34" s="17">
        <f>MAX(0,Q32-Hypothèses!$C$37)</f>
        <v>0</v>
      </c>
      <c r="R34" s="17">
        <f>MAX(0,R32-Hypothèses!$C$37)</f>
        <v>0</v>
      </c>
      <c r="S34" s="17">
        <f>MAX(0,S32-Hypothèses!$C$37)</f>
        <v>0</v>
      </c>
      <c r="T34" s="17">
        <f>MAX(0,T32-Hypothèses!$C$37)</f>
        <v>0</v>
      </c>
      <c r="U34" s="17">
        <f>MAX(0,U32-Hypothèses!$C$37)</f>
        <v>0</v>
      </c>
      <c r="V34" s="17">
        <f>MAX(0,V32-Hypothèses!$C$37)</f>
        <v>0</v>
      </c>
      <c r="W34" s="17">
        <f>MAX(0,W32-Hypothèses!$C$37)</f>
        <v>0</v>
      </c>
      <c r="X34" s="17">
        <f>MAX(0,X32-Hypothèses!$C$37)</f>
        <v>0</v>
      </c>
      <c r="Y34" s="17">
        <f>MAX(0,Y32-Hypothèses!$C$37)</f>
        <v>0</v>
      </c>
      <c r="Z34" s="17">
        <f>MAX(0,Z32-Hypothèses!$C$37)</f>
        <v>0</v>
      </c>
      <c r="AA34" s="17">
        <f>MAX(0,AA32-Hypothèses!$C$37)</f>
        <v>0</v>
      </c>
      <c r="AB34" s="17">
        <f>MAX(0,AB32-Hypothèses!$C$37)</f>
        <v>0</v>
      </c>
      <c r="AC34" s="17">
        <f>MAX(0,AC32-Hypothèses!$C$37)</f>
        <v>0</v>
      </c>
      <c r="AD34" s="17">
        <f>MAX(0,AD32-Hypothèses!$C$37)</f>
        <v>0</v>
      </c>
      <c r="AE34" s="17">
        <f>MAX(0,AE32-Hypothèses!$C$37)</f>
        <v>0</v>
      </c>
      <c r="AF34" s="17">
        <f>MAX(0,AF32-Hypothèses!$C$37)</f>
        <v>0</v>
      </c>
      <c r="AG34" s="17">
        <f>MAX(0,AG32-Hypothèses!$C$37)</f>
        <v>0</v>
      </c>
    </row>
    <row r="35" spans="2:33" x14ac:dyDescent="0.35">
      <c r="B35" s="10" t="s">
        <v>404</v>
      </c>
      <c r="C35" s="14">
        <f>SUMPRODUCT((D$6:AG$6&lt;=Hypothèses!$C$44)*(D35:AG35))</f>
        <v>1973.0880888331958</v>
      </c>
      <c r="D35" s="17">
        <f>MAX(0,D33-MAX(0,Hypothèses!$C$37-D32))</f>
        <v>1973.0880888331958</v>
      </c>
      <c r="E35" s="17">
        <f>MAX(0,E33-MAX(0,Hypothèses!$C$37-E32))</f>
        <v>0</v>
      </c>
      <c r="F35" s="17">
        <f>MAX(0,F33-MAX(0,Hypothèses!$C$37-F32))</f>
        <v>0</v>
      </c>
      <c r="G35" s="17">
        <f>MAX(0,G33-MAX(0,Hypothèses!$C$37-G32))</f>
        <v>0</v>
      </c>
      <c r="H35" s="17">
        <f>MAX(0,H33-MAX(0,Hypothèses!$C$37-H32))</f>
        <v>0</v>
      </c>
      <c r="I35" s="17">
        <f>MAX(0,I33-MAX(0,Hypothèses!$C$37-I32))</f>
        <v>0</v>
      </c>
      <c r="J35" s="17">
        <f>MAX(0,J33-MAX(0,Hypothèses!$C$37-J32))</f>
        <v>0</v>
      </c>
      <c r="K35" s="17">
        <f>MAX(0,K33-MAX(0,Hypothèses!$C$37-K32))</f>
        <v>0</v>
      </c>
      <c r="L35" s="17">
        <f>MAX(0,L33-MAX(0,Hypothèses!$C$37-L32))</f>
        <v>0</v>
      </c>
      <c r="M35" s="17">
        <f>MAX(0,M33-MAX(0,Hypothèses!$C$37-M32))</f>
        <v>0</v>
      </c>
      <c r="N35" s="17">
        <f>MAX(0,N33-MAX(0,Hypothèses!$C$37-N32))</f>
        <v>0</v>
      </c>
      <c r="O35" s="17">
        <f>MAX(0,O33-MAX(0,Hypothèses!$C$37-O32))</f>
        <v>0</v>
      </c>
      <c r="P35" s="17">
        <f>MAX(0,P33-MAX(0,Hypothèses!$C$37-P32))</f>
        <v>0</v>
      </c>
      <c r="Q35" s="17">
        <f>MAX(0,Q33-MAX(0,Hypothèses!$C$37-Q32))</f>
        <v>0</v>
      </c>
      <c r="R35" s="17">
        <f>MAX(0,R33-MAX(0,Hypothèses!$C$37-R32))</f>
        <v>0</v>
      </c>
      <c r="S35" s="17">
        <f>MAX(0,S33-MAX(0,Hypothèses!$C$37-S32))</f>
        <v>0</v>
      </c>
      <c r="T35" s="17">
        <f>MAX(0,T33-MAX(0,Hypothèses!$C$37-T32))</f>
        <v>0</v>
      </c>
      <c r="U35" s="17">
        <f>MAX(0,U33-MAX(0,Hypothèses!$C$37-U32))</f>
        <v>0</v>
      </c>
      <c r="V35" s="17">
        <f>MAX(0,V33-MAX(0,Hypothèses!$C$37-V32))</f>
        <v>0</v>
      </c>
      <c r="W35" s="17">
        <f>MAX(0,W33-MAX(0,Hypothèses!$C$37-W32))</f>
        <v>0</v>
      </c>
      <c r="X35" s="17">
        <f>MAX(0,X33-MAX(0,Hypothèses!$C$37-X32))</f>
        <v>0</v>
      </c>
      <c r="Y35" s="17">
        <f>MAX(0,Y33-MAX(0,Hypothèses!$C$37-Y32))</f>
        <v>0</v>
      </c>
      <c r="Z35" s="17">
        <f>MAX(0,Z33-MAX(0,Hypothèses!$C$37-Z32))</f>
        <v>0</v>
      </c>
      <c r="AA35" s="17">
        <f>MAX(0,AA33-MAX(0,Hypothèses!$C$37-AA32))</f>
        <v>0</v>
      </c>
      <c r="AB35" s="17">
        <f>MAX(0,AB33-MAX(0,Hypothèses!$C$37-AB32))</f>
        <v>0</v>
      </c>
      <c r="AC35" s="17">
        <f>MAX(0,AC33-MAX(0,Hypothèses!$C$37-AC32))</f>
        <v>0</v>
      </c>
      <c r="AD35" s="17">
        <f>MAX(0,AD33-MAX(0,Hypothèses!$C$37-AD32))</f>
        <v>0</v>
      </c>
      <c r="AE35" s="17">
        <f>MAX(0,AE33-MAX(0,Hypothèses!$C$37-AE32))</f>
        <v>0</v>
      </c>
      <c r="AF35" s="17">
        <f>MAX(0,AF33-MAX(0,Hypothèses!$C$37-AF32))</f>
        <v>0</v>
      </c>
      <c r="AG35" s="17">
        <f>MAX(0,AG33-MAX(0,Hypothèses!$C$37-AG32))</f>
        <v>0</v>
      </c>
    </row>
    <row r="36" spans="2:33" x14ac:dyDescent="0.35">
      <c r="B36" s="10" t="s">
        <v>405</v>
      </c>
      <c r="C36" s="14">
        <f>SUMPRODUCT((D$6:AG$6&lt;=Hypothèses!$C$44)*(D36:AG36))</f>
        <v>1973.0880888331958</v>
      </c>
      <c r="D36" s="17">
        <f>MIN(D35,IF(Hypothèses!$C$52=Paramètres!$C$33,Paramètres!$C$14,Paramètres!$C$13))</f>
        <v>1973.0880888331958</v>
      </c>
      <c r="E36" s="17">
        <f>MIN(E35,IF(Hypothèses!$C$52=Paramètres!$C$33,Paramètres!$C$14,Paramètres!$C$13))</f>
        <v>0</v>
      </c>
      <c r="F36" s="17">
        <f>MIN(F35,IF(Hypothèses!$C$52=Paramètres!$C$33,Paramètres!$C$14,Paramètres!$C$13))</f>
        <v>0</v>
      </c>
      <c r="G36" s="17">
        <f>MIN(G35,IF(Hypothèses!$C$52=Paramètres!$C$33,Paramètres!$C$14,Paramètres!$C$13))</f>
        <v>0</v>
      </c>
      <c r="H36" s="17">
        <f>MIN(H35,IF(Hypothèses!$C$52=Paramètres!$C$33,Paramètres!$C$14,Paramètres!$C$13))</f>
        <v>0</v>
      </c>
      <c r="I36" s="17">
        <f>MIN(I35,IF(Hypothèses!$C$52=Paramètres!$C$33,Paramètres!$C$14,Paramètres!$C$13))</f>
        <v>0</v>
      </c>
      <c r="J36" s="17">
        <f>MIN(J35,IF(Hypothèses!$C$52=Paramètres!$C$33,Paramètres!$C$14,Paramètres!$C$13))</f>
        <v>0</v>
      </c>
      <c r="K36" s="17">
        <f>MIN(K35,IF(Hypothèses!$C$52=Paramètres!$C$33,Paramètres!$C$14,Paramètres!$C$13))</f>
        <v>0</v>
      </c>
      <c r="L36" s="17">
        <f>MIN(L35,IF(Hypothèses!$C$52=Paramètres!$C$33,Paramètres!$C$14,Paramètres!$C$13))</f>
        <v>0</v>
      </c>
      <c r="M36" s="17">
        <f>MIN(M35,IF(Hypothèses!$C$52=Paramètres!$C$33,Paramètres!$C$14,Paramètres!$C$13))</f>
        <v>0</v>
      </c>
      <c r="N36" s="17">
        <f>MIN(N35,IF(Hypothèses!$C$52=Paramètres!$C$33,Paramètres!$C$14,Paramètres!$C$13))</f>
        <v>0</v>
      </c>
      <c r="O36" s="17">
        <f>MIN(O35,IF(Hypothèses!$C$52=Paramètres!$C$33,Paramètres!$C$14,Paramètres!$C$13))</f>
        <v>0</v>
      </c>
      <c r="P36" s="17">
        <f>MIN(P35,IF(Hypothèses!$C$52=Paramètres!$C$33,Paramètres!$C$14,Paramètres!$C$13))</f>
        <v>0</v>
      </c>
      <c r="Q36" s="17">
        <f>MIN(Q35,IF(Hypothèses!$C$52=Paramètres!$C$33,Paramètres!$C$14,Paramètres!$C$13))</f>
        <v>0</v>
      </c>
      <c r="R36" s="17">
        <f>MIN(R35,IF(Hypothèses!$C$52=Paramètres!$C$33,Paramètres!$C$14,Paramètres!$C$13))</f>
        <v>0</v>
      </c>
      <c r="S36" s="17">
        <f>MIN(S35,IF(Hypothèses!$C$52=Paramètres!$C$33,Paramètres!$C$14,Paramètres!$C$13))</f>
        <v>0</v>
      </c>
      <c r="T36" s="17">
        <f>MIN(T35,IF(Hypothèses!$C$52=Paramètres!$C$33,Paramètres!$C$14,Paramètres!$C$13))</f>
        <v>0</v>
      </c>
      <c r="U36" s="17">
        <f>MIN(U35,IF(Hypothèses!$C$52=Paramètres!$C$33,Paramètres!$C$14,Paramètres!$C$13))</f>
        <v>0</v>
      </c>
      <c r="V36" s="17">
        <f>MIN(V35,IF(Hypothèses!$C$52=Paramètres!$C$33,Paramètres!$C$14,Paramètres!$C$13))</f>
        <v>0</v>
      </c>
      <c r="W36" s="17">
        <f>MIN(W35,IF(Hypothèses!$C$52=Paramètres!$C$33,Paramètres!$C$14,Paramètres!$C$13))</f>
        <v>0</v>
      </c>
      <c r="X36" s="17">
        <f>MIN(X35,IF(Hypothèses!$C$52=Paramètres!$C$33,Paramètres!$C$14,Paramètres!$C$13))</f>
        <v>0</v>
      </c>
      <c r="Y36" s="17">
        <f>MIN(Y35,IF(Hypothèses!$C$52=Paramètres!$C$33,Paramètres!$C$14,Paramètres!$C$13))</f>
        <v>0</v>
      </c>
      <c r="Z36" s="17">
        <f>MIN(Z35,IF(Hypothèses!$C$52=Paramètres!$C$33,Paramètres!$C$14,Paramètres!$C$13))</f>
        <v>0</v>
      </c>
      <c r="AA36" s="17">
        <f>MIN(AA35,IF(Hypothèses!$C$52=Paramètres!$C$33,Paramètres!$C$14,Paramètres!$C$13))</f>
        <v>0</v>
      </c>
      <c r="AB36" s="17">
        <f>MIN(AB35,IF(Hypothèses!$C$52=Paramètres!$C$33,Paramètres!$C$14,Paramètres!$C$13))</f>
        <v>0</v>
      </c>
      <c r="AC36" s="17">
        <f>MIN(AC35,IF(Hypothèses!$C$52=Paramètres!$C$33,Paramètres!$C$14,Paramètres!$C$13))</f>
        <v>0</v>
      </c>
      <c r="AD36" s="17">
        <f>MIN(AD35,IF(Hypothèses!$C$52=Paramètres!$C$33,Paramètres!$C$14,Paramètres!$C$13))</f>
        <v>0</v>
      </c>
      <c r="AE36" s="17">
        <f>MIN(AE35,IF(Hypothèses!$C$52=Paramètres!$C$33,Paramètres!$C$14,Paramètres!$C$13))</f>
        <v>0</v>
      </c>
      <c r="AF36" s="17">
        <f>MIN(AF35,IF(Hypothèses!$C$52=Paramètres!$C$33,Paramètres!$C$14,Paramètres!$C$13))</f>
        <v>0</v>
      </c>
      <c r="AG36" s="17">
        <f>MIN(AG35,IF(Hypothèses!$C$52=Paramètres!$C$33,Paramètres!$C$14,Paramètres!$C$13))</f>
        <v>0</v>
      </c>
    </row>
    <row r="37" spans="2:33" x14ac:dyDescent="0.35">
      <c r="B37" s="10" t="s">
        <v>406</v>
      </c>
      <c r="C37" s="14">
        <f>SUMPRODUCT((D$6:AG$6&lt;=Hypothèses!$C$44)*(D37:AG37))</f>
        <v>43627.387377535284</v>
      </c>
      <c r="D37" s="17">
        <f>MAX(0,Hypothèses!$C$37+D31)</f>
        <v>0</v>
      </c>
      <c r="E37" s="17">
        <f>MAX(0,Hypothèses!$C$37+E31)</f>
        <v>3366.0761070895342</v>
      </c>
      <c r="F37" s="17">
        <f>MAX(0,Hypothèses!$C$37+F31)</f>
        <v>3714.1069854023217</v>
      </c>
      <c r="G37" s="17">
        <f>MAX(0,Hypothèses!$C$37+G31)</f>
        <v>4071.273826364979</v>
      </c>
      <c r="H37" s="17">
        <f>MAX(0,Hypothèses!$C$37+H31)</f>
        <v>4437.8545612083926</v>
      </c>
      <c r="I37" s="17">
        <f>MAX(0,Hypothèses!$C$37+I31)</f>
        <v>4814.136055195313</v>
      </c>
      <c r="J37" s="17">
        <f>MAX(0,Hypothèses!$C$37+J31)</f>
        <v>5200.4143999957578</v>
      </c>
      <c r="K37" s="17">
        <f>MAX(0,Hypothèses!$C$37+K31)</f>
        <v>5596.9952156838954</v>
      </c>
      <c r="L37" s="17">
        <f>MAX(0,Hypothèses!$C$37+L31)</f>
        <v>6004.1939626737712</v>
      </c>
      <c r="M37" s="17">
        <f>MAX(0,Hypothèses!$C$37+M31)</f>
        <v>6422.3362639213246</v>
      </c>
      <c r="N37" s="17">
        <f>MAX(0,Hypothèses!$C$37+N31)</f>
        <v>6851.7582377312756</v>
      </c>
      <c r="O37" s="17">
        <f>MAX(0,Hypothèses!$C$37+O31)</f>
        <v>7292.8068415183589</v>
      </c>
      <c r="P37" s="17">
        <f>MAX(0,Hypothèses!$C$37+P31)</f>
        <v>7745.8402268841091</v>
      </c>
      <c r="Q37" s="17">
        <f>MAX(0,Hypothèses!$C$37+Q31)</f>
        <v>8211.2281063822302</v>
      </c>
      <c r="R37" s="17">
        <f>MAX(0,Hypothèses!$C$37+R31)</f>
        <v>8689.3521323577988</v>
      </c>
      <c r="S37" s="17">
        <f>MAX(0,Hypothèses!$C$37+S31)</f>
        <v>9180.6062882584865</v>
      </c>
      <c r="T37" s="17">
        <f>MAX(0,Hypothèses!$C$37+T31)</f>
        <v>9685.3972928288895</v>
      </c>
      <c r="U37" s="17">
        <f>MAX(0,Hypothèses!$C$37+U31)</f>
        <v>10204.145017612669</v>
      </c>
      <c r="V37" s="17">
        <f>MAX(0,Hypothèses!$C$37+V31)</f>
        <v>10737.282918201401</v>
      </c>
      <c r="W37" s="17">
        <f>MAX(0,Hypothèses!$C$37+W31)</f>
        <v>11285.258479683171</v>
      </c>
      <c r="X37" s="17">
        <f>MAX(0,Hypothèses!$C$37+X31)</f>
        <v>12323.919403474467</v>
      </c>
      <c r="Y37" s="17">
        <f>MAX(0,Hypothèses!$C$37+Y31)</f>
        <v>12447.158597509211</v>
      </c>
      <c r="Z37" s="17">
        <f>MAX(0,Hypothèses!$C$37+Z31)</f>
        <v>12571.630183484305</v>
      </c>
      <c r="AA37" s="17">
        <f>MAX(0,Hypothèses!$C$37+AA31)</f>
        <v>12697.346485319147</v>
      </c>
      <c r="AB37" s="17">
        <f>MAX(0,Hypothèses!$C$37+AB31)</f>
        <v>12824.319950172341</v>
      </c>
      <c r="AC37" s="17">
        <f>MAX(0,Hypothèses!$C$37+AC31)</f>
        <v>12952.563149674066</v>
      </c>
      <c r="AD37" s="17">
        <f>MAX(0,Hypothèses!$C$37+AD31)</f>
        <v>13082.088781170807</v>
      </c>
      <c r="AE37" s="17">
        <f>MAX(0,Hypothèses!$C$37+AE31)</f>
        <v>13212.909668982511</v>
      </c>
      <c r="AF37" s="17">
        <f>MAX(0,Hypothèses!$C$37+AF31)</f>
        <v>13345.038765672336</v>
      </c>
      <c r="AG37" s="17">
        <f>MAX(0,Hypothèses!$C$37+AG31)</f>
        <v>13478.489153329059</v>
      </c>
    </row>
    <row r="38" spans="2:33" x14ac:dyDescent="0.35">
      <c r="B38" s="10" t="s">
        <v>407</v>
      </c>
      <c r="D38" s="17">
        <f>0</f>
        <v>0</v>
      </c>
      <c r="E38" s="17">
        <f t="shared" ref="E38:AG38" si="5">D40</f>
        <v>0</v>
      </c>
      <c r="F38" s="17">
        <f t="shared" si="5"/>
        <v>0</v>
      </c>
      <c r="G38" s="17">
        <f t="shared" si="5"/>
        <v>0</v>
      </c>
      <c r="H38" s="17">
        <f t="shared" si="5"/>
        <v>0</v>
      </c>
      <c r="I38" s="17">
        <f t="shared" si="5"/>
        <v>0</v>
      </c>
      <c r="J38" s="17">
        <f t="shared" si="5"/>
        <v>0</v>
      </c>
      <c r="K38" s="17">
        <f t="shared" si="5"/>
        <v>0</v>
      </c>
      <c r="L38" s="17">
        <f t="shared" si="5"/>
        <v>0</v>
      </c>
      <c r="M38" s="17">
        <f t="shared" si="5"/>
        <v>0</v>
      </c>
      <c r="N38" s="17">
        <f t="shared" si="5"/>
        <v>0</v>
      </c>
      <c r="O38" s="17">
        <f t="shared" si="5"/>
        <v>0</v>
      </c>
      <c r="P38" s="17">
        <f t="shared" si="5"/>
        <v>0</v>
      </c>
      <c r="Q38" s="17">
        <f t="shared" si="5"/>
        <v>0</v>
      </c>
      <c r="R38" s="17">
        <f t="shared" si="5"/>
        <v>0</v>
      </c>
      <c r="S38" s="17">
        <f t="shared" si="5"/>
        <v>0</v>
      </c>
      <c r="T38" s="17">
        <f t="shared" si="5"/>
        <v>0</v>
      </c>
      <c r="U38" s="17">
        <f t="shared" si="5"/>
        <v>0</v>
      </c>
      <c r="V38" s="17">
        <f t="shared" si="5"/>
        <v>0</v>
      </c>
      <c r="W38" s="17">
        <f t="shared" si="5"/>
        <v>0</v>
      </c>
      <c r="X38" s="17">
        <f t="shared" si="5"/>
        <v>0</v>
      </c>
      <c r="Y38" s="17">
        <f t="shared" si="5"/>
        <v>0</v>
      </c>
      <c r="Z38" s="17">
        <f t="shared" si="5"/>
        <v>0</v>
      </c>
      <c r="AA38" s="17">
        <f t="shared" si="5"/>
        <v>0</v>
      </c>
      <c r="AB38" s="17">
        <f t="shared" si="5"/>
        <v>0</v>
      </c>
      <c r="AC38" s="17">
        <f t="shared" si="5"/>
        <v>0</v>
      </c>
      <c r="AD38" s="17">
        <f t="shared" si="5"/>
        <v>0</v>
      </c>
      <c r="AE38" s="17">
        <f t="shared" si="5"/>
        <v>0</v>
      </c>
      <c r="AF38" s="17">
        <f t="shared" si="5"/>
        <v>0</v>
      </c>
      <c r="AG38" s="17">
        <f t="shared" si="5"/>
        <v>0</v>
      </c>
    </row>
    <row r="39" spans="2:33" x14ac:dyDescent="0.35">
      <c r="B39" s="10" t="s">
        <v>408</v>
      </c>
      <c r="C39" s="14">
        <f>SUMPRODUCT((D$6:AG$6&lt;=Hypothèses!$C$44)*(D39:AG39))</f>
        <v>0</v>
      </c>
      <c r="D39" s="17">
        <f t="shared" ref="D39:AG39" si="6">MIN(D38,D37)</f>
        <v>0</v>
      </c>
      <c r="E39" s="17">
        <f t="shared" si="6"/>
        <v>0</v>
      </c>
      <c r="F39" s="17">
        <f t="shared" si="6"/>
        <v>0</v>
      </c>
      <c r="G39" s="17">
        <f t="shared" si="6"/>
        <v>0</v>
      </c>
      <c r="H39" s="17">
        <f t="shared" si="6"/>
        <v>0</v>
      </c>
      <c r="I39" s="17">
        <f t="shared" si="6"/>
        <v>0</v>
      </c>
      <c r="J39" s="17">
        <f t="shared" si="6"/>
        <v>0</v>
      </c>
      <c r="K39" s="17">
        <f t="shared" si="6"/>
        <v>0</v>
      </c>
      <c r="L39" s="17">
        <f t="shared" si="6"/>
        <v>0</v>
      </c>
      <c r="M39" s="17">
        <f t="shared" si="6"/>
        <v>0</v>
      </c>
      <c r="N39" s="17">
        <f t="shared" si="6"/>
        <v>0</v>
      </c>
      <c r="O39" s="17">
        <f t="shared" si="6"/>
        <v>0</v>
      </c>
      <c r="P39" s="17">
        <f t="shared" si="6"/>
        <v>0</v>
      </c>
      <c r="Q39" s="17">
        <f t="shared" si="6"/>
        <v>0</v>
      </c>
      <c r="R39" s="17">
        <f t="shared" si="6"/>
        <v>0</v>
      </c>
      <c r="S39" s="17">
        <f t="shared" si="6"/>
        <v>0</v>
      </c>
      <c r="T39" s="17">
        <f t="shared" si="6"/>
        <v>0</v>
      </c>
      <c r="U39" s="17">
        <f t="shared" si="6"/>
        <v>0</v>
      </c>
      <c r="V39" s="17">
        <f t="shared" si="6"/>
        <v>0</v>
      </c>
      <c r="W39" s="17">
        <f t="shared" si="6"/>
        <v>0</v>
      </c>
      <c r="X39" s="17">
        <f t="shared" si="6"/>
        <v>0</v>
      </c>
      <c r="Y39" s="17">
        <f t="shared" si="6"/>
        <v>0</v>
      </c>
      <c r="Z39" s="17">
        <f t="shared" si="6"/>
        <v>0</v>
      </c>
      <c r="AA39" s="17">
        <f t="shared" si="6"/>
        <v>0</v>
      </c>
      <c r="AB39" s="17">
        <f t="shared" si="6"/>
        <v>0</v>
      </c>
      <c r="AC39" s="17">
        <f t="shared" si="6"/>
        <v>0</v>
      </c>
      <c r="AD39" s="17">
        <f t="shared" si="6"/>
        <v>0</v>
      </c>
      <c r="AE39" s="17">
        <f t="shared" si="6"/>
        <v>0</v>
      </c>
      <c r="AF39" s="17">
        <f t="shared" si="6"/>
        <v>0</v>
      </c>
      <c r="AG39" s="17">
        <f t="shared" si="6"/>
        <v>0</v>
      </c>
    </row>
    <row r="40" spans="2:33" x14ac:dyDescent="0.35">
      <c r="B40" s="10" t="s">
        <v>409</v>
      </c>
      <c r="C40" s="14">
        <f>INDEX(D40:AG40,Hypothèses!$C$44)</f>
        <v>0</v>
      </c>
      <c r="D40" s="17">
        <f t="shared" ref="D40:AG40" si="7">D38-D39+D34+D35-D36</f>
        <v>0</v>
      </c>
      <c r="E40" s="17">
        <f t="shared" si="7"/>
        <v>0</v>
      </c>
      <c r="F40" s="17">
        <f t="shared" si="7"/>
        <v>0</v>
      </c>
      <c r="G40" s="17">
        <f t="shared" si="7"/>
        <v>0</v>
      </c>
      <c r="H40" s="17">
        <f t="shared" si="7"/>
        <v>0</v>
      </c>
      <c r="I40" s="17">
        <f t="shared" si="7"/>
        <v>0</v>
      </c>
      <c r="J40" s="17">
        <f t="shared" si="7"/>
        <v>0</v>
      </c>
      <c r="K40" s="17">
        <f t="shared" si="7"/>
        <v>0</v>
      </c>
      <c r="L40" s="17">
        <f t="shared" si="7"/>
        <v>0</v>
      </c>
      <c r="M40" s="17">
        <f t="shared" si="7"/>
        <v>0</v>
      </c>
      <c r="N40" s="17">
        <f t="shared" si="7"/>
        <v>0</v>
      </c>
      <c r="O40" s="17">
        <f t="shared" si="7"/>
        <v>0</v>
      </c>
      <c r="P40" s="17">
        <f t="shared" si="7"/>
        <v>0</v>
      </c>
      <c r="Q40" s="17">
        <f t="shared" si="7"/>
        <v>0</v>
      </c>
      <c r="R40" s="17">
        <f t="shared" si="7"/>
        <v>0</v>
      </c>
      <c r="S40" s="17">
        <f t="shared" si="7"/>
        <v>0</v>
      </c>
      <c r="T40" s="17">
        <f t="shared" si="7"/>
        <v>0</v>
      </c>
      <c r="U40" s="17">
        <f t="shared" si="7"/>
        <v>0</v>
      </c>
      <c r="V40" s="17">
        <f t="shared" si="7"/>
        <v>0</v>
      </c>
      <c r="W40" s="17">
        <f t="shared" si="7"/>
        <v>0</v>
      </c>
      <c r="X40" s="17">
        <f t="shared" si="7"/>
        <v>0</v>
      </c>
      <c r="Y40" s="17">
        <f t="shared" si="7"/>
        <v>0</v>
      </c>
      <c r="Z40" s="17">
        <f t="shared" si="7"/>
        <v>0</v>
      </c>
      <c r="AA40" s="17">
        <f t="shared" si="7"/>
        <v>0</v>
      </c>
      <c r="AB40" s="17">
        <f t="shared" si="7"/>
        <v>0</v>
      </c>
      <c r="AC40" s="17">
        <f t="shared" si="7"/>
        <v>0</v>
      </c>
      <c r="AD40" s="17">
        <f t="shared" si="7"/>
        <v>0</v>
      </c>
      <c r="AE40" s="17">
        <f t="shared" si="7"/>
        <v>0</v>
      </c>
      <c r="AF40" s="17">
        <f t="shared" si="7"/>
        <v>0</v>
      </c>
      <c r="AG40" s="17">
        <f t="shared" si="7"/>
        <v>0</v>
      </c>
    </row>
    <row r="41" spans="2:33" x14ac:dyDescent="0.35">
      <c r="B41" s="10" t="s">
        <v>410</v>
      </c>
      <c r="C41" s="14">
        <f>SUMPRODUCT((D$6:AG$6&lt;=Hypothèses!$C$44)*(D41:AG41))</f>
        <v>43627.387377535284</v>
      </c>
      <c r="D41" s="17">
        <f>D37-D39-Hypothèses!$C$37</f>
        <v>0</v>
      </c>
      <c r="E41" s="17">
        <f>E37-E39-Hypothèses!$C$37</f>
        <v>3366.0761070895342</v>
      </c>
      <c r="F41" s="17">
        <f>F37-F39-Hypothèses!$C$37</f>
        <v>3714.1069854023217</v>
      </c>
      <c r="G41" s="17">
        <f>G37-G39-Hypothèses!$C$37</f>
        <v>4071.273826364979</v>
      </c>
      <c r="H41" s="17">
        <f>H37-H39-Hypothèses!$C$37</f>
        <v>4437.8545612083926</v>
      </c>
      <c r="I41" s="17">
        <f>I37-I39-Hypothèses!$C$37</f>
        <v>4814.136055195313</v>
      </c>
      <c r="J41" s="17">
        <f>J37-J39-Hypothèses!$C$37</f>
        <v>5200.4143999957578</v>
      </c>
      <c r="K41" s="17">
        <f>K37-K39-Hypothèses!$C$37</f>
        <v>5596.9952156838954</v>
      </c>
      <c r="L41" s="17">
        <f>L37-L39-Hypothèses!$C$37</f>
        <v>6004.1939626737712</v>
      </c>
      <c r="M41" s="17">
        <f>M37-M39-Hypothèses!$C$37</f>
        <v>6422.3362639213246</v>
      </c>
      <c r="N41" s="17">
        <f>N37-N39-Hypothèses!$C$37</f>
        <v>6851.7582377312756</v>
      </c>
      <c r="O41" s="17">
        <f>O37-O39-Hypothèses!$C$37</f>
        <v>7292.8068415183589</v>
      </c>
      <c r="P41" s="17">
        <f>P37-P39-Hypothèses!$C$37</f>
        <v>7745.8402268841091</v>
      </c>
      <c r="Q41" s="17">
        <f>Q37-Q39-Hypothèses!$C$37</f>
        <v>8211.2281063822302</v>
      </c>
      <c r="R41" s="17">
        <f>R37-R39-Hypothèses!$C$37</f>
        <v>8689.3521323577988</v>
      </c>
      <c r="S41" s="17">
        <f>S37-S39-Hypothèses!$C$37</f>
        <v>9180.6062882584865</v>
      </c>
      <c r="T41" s="17">
        <f>T37-T39-Hypothèses!$C$37</f>
        <v>9685.3972928288895</v>
      </c>
      <c r="U41" s="17">
        <f>U37-U39-Hypothèses!$C$37</f>
        <v>10204.145017612669</v>
      </c>
      <c r="V41" s="17">
        <f>V37-V39-Hypothèses!$C$37</f>
        <v>10737.282918201401</v>
      </c>
      <c r="W41" s="17">
        <f>W37-W39-Hypothèses!$C$37</f>
        <v>11285.258479683171</v>
      </c>
      <c r="X41" s="17">
        <f>X37-X39-Hypothèses!$C$37</f>
        <v>12323.919403474467</v>
      </c>
      <c r="Y41" s="17">
        <f>Y37-Y39-Hypothèses!$C$37</f>
        <v>12447.158597509211</v>
      </c>
      <c r="Z41" s="17">
        <f>Z37-Z39-Hypothèses!$C$37</f>
        <v>12571.630183484305</v>
      </c>
      <c r="AA41" s="17">
        <f>AA37-AA39-Hypothèses!$C$37</f>
        <v>12697.346485319147</v>
      </c>
      <c r="AB41" s="17">
        <f>AB37-AB39-Hypothèses!$C$37</f>
        <v>12824.319950172341</v>
      </c>
      <c r="AC41" s="17">
        <f>AC37-AC39-Hypothèses!$C$37</f>
        <v>12952.563149674066</v>
      </c>
      <c r="AD41" s="17">
        <f>AD37-AD39-Hypothèses!$C$37</f>
        <v>13082.088781170807</v>
      </c>
      <c r="AE41" s="17">
        <f>AE37-AE39-Hypothèses!$C$37</f>
        <v>13212.909668982511</v>
      </c>
      <c r="AF41" s="17">
        <f>AF37-AF39-Hypothèses!$C$37</f>
        <v>13345.038765672336</v>
      </c>
      <c r="AG41" s="17">
        <f>AG37-AG39-Hypothèses!$C$37</f>
        <v>13478.489153329059</v>
      </c>
    </row>
    <row r="42" spans="2:33" x14ac:dyDescent="0.35">
      <c r="B42" s="10" t="s">
        <v>411</v>
      </c>
      <c r="C42" s="14">
        <f>SUMPRODUCT((D$6:AG$6&lt;=Hypothèses!$C$44)*(D42:AG42))</f>
        <v>20000.200415546697</v>
      </c>
      <c r="D42" s="14">
        <f>D41*(Hypothèses!$C$36+Paramètres!$C$8)-D36*Hypothèses!$C$36</f>
        <v>-591.92642664995867</v>
      </c>
      <c r="E42" s="14">
        <f>E41*(Hypothèses!$C$36+Paramètres!$C$8)-E36*Hypothèses!$C$36</f>
        <v>1588.78792254626</v>
      </c>
      <c r="F42" s="14">
        <f>F41*(Hypothèses!$C$36+Paramètres!$C$8)-F36*Hypothèses!$C$36</f>
        <v>1753.0584971098958</v>
      </c>
      <c r="G42" s="14">
        <f>G41*(Hypothèses!$C$36+Paramètres!$C$8)-G36*Hypothèses!$C$36</f>
        <v>1921.64124604427</v>
      </c>
      <c r="H42" s="14">
        <f>H41*(Hypothèses!$C$36+Paramètres!$C$8)-H36*Hypothèses!$C$36</f>
        <v>2094.6673528903611</v>
      </c>
      <c r="I42" s="14">
        <f>I41*(Hypothèses!$C$36+Paramètres!$C$8)-I36*Hypothèses!$C$36</f>
        <v>2272.2722180521878</v>
      </c>
      <c r="J42" s="14">
        <f>J41*(Hypothèses!$C$36+Paramètres!$C$8)-J36*Hypothèses!$C$36</f>
        <v>2454.5955967979976</v>
      </c>
      <c r="K42" s="14">
        <f>K41*(Hypothèses!$C$36+Paramètres!$C$8)-K36*Hypothèses!$C$36</f>
        <v>2641.7817418027985</v>
      </c>
      <c r="L42" s="14">
        <f>L41*(Hypothèses!$C$36+Paramètres!$C$8)-L36*Hypothèses!$C$36</f>
        <v>2833.9795503820201</v>
      </c>
      <c r="M42" s="14">
        <f>M41*(Hypothèses!$C$36+Paramètres!$C$8)-M36*Hypothèses!$C$36</f>
        <v>3031.3427165708649</v>
      </c>
      <c r="N42" s="14">
        <f>N41*(Hypothèses!$C$36+Paramètres!$C$8)-N36*Hypothèses!$C$36</f>
        <v>3234.029888209162</v>
      </c>
      <c r="O42" s="14">
        <f>O41*(Hypothèses!$C$36+Paramètres!$C$8)-O36*Hypothèses!$C$36</f>
        <v>3442.2048291966653</v>
      </c>
      <c r="P42" s="14">
        <f>P41*(Hypothèses!$C$36+Paramètres!$C$8)-P36*Hypothèses!$C$36</f>
        <v>3656.0365870892992</v>
      </c>
      <c r="Q42" s="14">
        <f>Q41*(Hypothèses!$C$36+Paramètres!$C$8)-Q36*Hypothèses!$C$36</f>
        <v>3875.6996662124125</v>
      </c>
      <c r="R42" s="14">
        <f>R41*(Hypothèses!$C$36+Paramètres!$C$8)-R36*Hypothèses!$C$36</f>
        <v>4101.3742064728813</v>
      </c>
      <c r="S42" s="14">
        <f>S41*(Hypothèses!$C$36+Paramètres!$C$8)-S36*Hypothèses!$C$36</f>
        <v>4333.2461680580054</v>
      </c>
      <c r="T42" s="14">
        <f>T41*(Hypothèses!$C$36+Paramètres!$C$8)-T36*Hypothèses!$C$36</f>
        <v>4571.5075222152354</v>
      </c>
      <c r="U42" s="14">
        <f>U41*(Hypothèses!$C$36+Paramètres!$C$8)-U36*Hypothèses!$C$36</f>
        <v>4816.3564483131795</v>
      </c>
      <c r="V42" s="14">
        <f>V41*(Hypothèses!$C$36+Paramètres!$C$8)-V36*Hypothèses!$C$36</f>
        <v>5067.9975373910611</v>
      </c>
      <c r="W42" s="14">
        <f>W41*(Hypothèses!$C$36+Paramètres!$C$8)-W36*Hypothèses!$C$36</f>
        <v>5326.6420024104564</v>
      </c>
      <c r="X42" s="14">
        <f>X41*(Hypothèses!$C$36+Paramètres!$C$8)-X36*Hypothèses!$C$36</f>
        <v>5816.8899584399478</v>
      </c>
      <c r="Y42" s="14">
        <f>Y41*(Hypothèses!$C$36+Paramètres!$C$8)-Y36*Hypothèses!$C$36</f>
        <v>5875.0588580243475</v>
      </c>
      <c r="Z42" s="14">
        <f>Z41*(Hypothèses!$C$36+Paramètres!$C$8)-Z36*Hypothèses!$C$36</f>
        <v>5933.8094466045914</v>
      </c>
      <c r="AA42" s="14">
        <f>AA41*(Hypothèses!$C$36+Paramètres!$C$8)-AA36*Hypothèses!$C$36</f>
        <v>5993.1475410706371</v>
      </c>
      <c r="AB42" s="14">
        <f>AB41*(Hypothèses!$C$36+Paramètres!$C$8)-AB36*Hypothèses!$C$36</f>
        <v>6053.0790164813443</v>
      </c>
      <c r="AC42" s="14">
        <f>AC41*(Hypothèses!$C$36+Paramètres!$C$8)-AC36*Hypothèses!$C$36</f>
        <v>6113.6098066461591</v>
      </c>
      <c r="AD42" s="14">
        <f>AD41*(Hypothèses!$C$36+Paramètres!$C$8)-AD36*Hypothèses!$C$36</f>
        <v>6174.7459047126204</v>
      </c>
      <c r="AE42" s="14">
        <f>AE41*(Hypothèses!$C$36+Paramètres!$C$8)-AE36*Hypothèses!$C$36</f>
        <v>6236.4933637597451</v>
      </c>
      <c r="AF42" s="14">
        <f>AF41*(Hypothèses!$C$36+Paramètres!$C$8)-AF36*Hypothèses!$C$36</f>
        <v>6298.8582973973425</v>
      </c>
      <c r="AG42" s="14">
        <f>AG41*(Hypothèses!$C$36+Paramètres!$C$8)-AG36*Hypothèses!$C$36</f>
        <v>6361.8468803713158</v>
      </c>
    </row>
    <row r="43" spans="2:33" x14ac:dyDescent="0.35">
      <c r="B43" s="10" t="s">
        <v>397</v>
      </c>
      <c r="C43" s="14">
        <f>SUMPRODUCT((D$6:AG$6&lt;=Hypothèses!$C$44)*(D43:AG43))</f>
        <v>0</v>
      </c>
      <c r="D43" s="17">
        <f>0</f>
        <v>0</v>
      </c>
      <c r="E43" s="17">
        <f>IF(Hypothèses!$C$53=Paramètres!$C$33,MAX(0,D41)*Paramètres!$C$10*Hypothèses!$C$36,0)</f>
        <v>0</v>
      </c>
      <c r="F43" s="17">
        <f>IF(Hypothèses!$C$53=Paramètres!$C$33,MAX(0,E41)*Paramètres!$C$10*Hypothèses!$C$36,0)</f>
        <v>0</v>
      </c>
      <c r="G43" s="17">
        <f>IF(Hypothèses!$C$53=Paramètres!$C$33,MAX(0,F41)*Paramètres!$C$10*Hypothèses!$C$36,0)</f>
        <v>0</v>
      </c>
      <c r="H43" s="17">
        <f>IF(Hypothèses!$C$53=Paramètres!$C$33,MAX(0,G41)*Paramètres!$C$10*Hypothèses!$C$36,0)</f>
        <v>0</v>
      </c>
      <c r="I43" s="17">
        <f>IF(Hypothèses!$C$53=Paramètres!$C$33,MAX(0,H41)*Paramètres!$C$10*Hypothèses!$C$36,0)</f>
        <v>0</v>
      </c>
      <c r="J43" s="17">
        <f>IF(Hypothèses!$C$53=Paramètres!$C$33,MAX(0,I41)*Paramètres!$C$10*Hypothèses!$C$36,0)</f>
        <v>0</v>
      </c>
      <c r="K43" s="17">
        <f>IF(Hypothèses!$C$53=Paramètres!$C$33,MAX(0,J41)*Paramètres!$C$10*Hypothèses!$C$36,0)</f>
        <v>0</v>
      </c>
      <c r="L43" s="17">
        <f>IF(Hypothèses!$C$53=Paramètres!$C$33,MAX(0,K41)*Paramètres!$C$10*Hypothèses!$C$36,0)</f>
        <v>0</v>
      </c>
      <c r="M43" s="17">
        <f>IF(Hypothèses!$C$53=Paramètres!$C$33,MAX(0,L41)*Paramètres!$C$10*Hypothèses!$C$36,0)</f>
        <v>0</v>
      </c>
      <c r="N43" s="17">
        <f>IF(Hypothèses!$C$53=Paramètres!$C$33,MAX(0,M41)*Paramètres!$C$10*Hypothèses!$C$36,0)</f>
        <v>0</v>
      </c>
      <c r="O43" s="17">
        <f>IF(Hypothèses!$C$53=Paramètres!$C$33,MAX(0,N41)*Paramètres!$C$10*Hypothèses!$C$36,0)</f>
        <v>0</v>
      </c>
      <c r="P43" s="17">
        <f>IF(Hypothèses!$C$53=Paramètres!$C$33,MAX(0,O41)*Paramètres!$C$10*Hypothèses!$C$36,0)</f>
        <v>0</v>
      </c>
      <c r="Q43" s="17">
        <f>IF(Hypothèses!$C$53=Paramètres!$C$33,MAX(0,P41)*Paramètres!$C$10*Hypothèses!$C$36,0)</f>
        <v>0</v>
      </c>
      <c r="R43" s="17">
        <f>IF(Hypothèses!$C$53=Paramètres!$C$33,MAX(0,Q41)*Paramètres!$C$10*Hypothèses!$C$36,0)</f>
        <v>0</v>
      </c>
      <c r="S43" s="17">
        <f>IF(Hypothèses!$C$53=Paramètres!$C$33,MAX(0,R41)*Paramètres!$C$10*Hypothèses!$C$36,0)</f>
        <v>0</v>
      </c>
      <c r="T43" s="17">
        <f>IF(Hypothèses!$C$53=Paramètres!$C$33,MAX(0,S41)*Paramètres!$C$10*Hypothèses!$C$36,0)</f>
        <v>0</v>
      </c>
      <c r="U43" s="17">
        <f>IF(Hypothèses!$C$53=Paramètres!$C$33,MAX(0,T41)*Paramètres!$C$10*Hypothèses!$C$36,0)</f>
        <v>0</v>
      </c>
      <c r="V43" s="17">
        <f>IF(Hypothèses!$C$53=Paramètres!$C$33,MAX(0,U41)*Paramètres!$C$10*Hypothèses!$C$36,0)</f>
        <v>0</v>
      </c>
      <c r="W43" s="17">
        <f>IF(Hypothèses!$C$53=Paramètres!$C$33,MAX(0,V41)*Paramètres!$C$10*Hypothèses!$C$36,0)</f>
        <v>0</v>
      </c>
      <c r="X43" s="17">
        <f>IF(Hypothèses!$C$53=Paramètres!$C$33,MAX(0,W41)*Paramètres!$C$10*Hypothèses!$C$36,0)</f>
        <v>0</v>
      </c>
      <c r="Y43" s="17">
        <f>IF(Hypothèses!$C$53=Paramètres!$C$33,MAX(0,X41)*Paramètres!$C$10*Hypothèses!$C$36,0)</f>
        <v>0</v>
      </c>
      <c r="Z43" s="17">
        <f>IF(Hypothèses!$C$53=Paramètres!$C$33,MAX(0,Y41)*Paramètres!$C$10*Hypothèses!$C$36,0)</f>
        <v>0</v>
      </c>
      <c r="AA43" s="17">
        <f>IF(Hypothèses!$C$53=Paramètres!$C$33,MAX(0,Z41)*Paramètres!$C$10*Hypothèses!$C$36,0)</f>
        <v>0</v>
      </c>
      <c r="AB43" s="17">
        <f>IF(Hypothèses!$C$53=Paramètres!$C$33,MAX(0,AA41)*Paramètres!$C$10*Hypothèses!$C$36,0)</f>
        <v>0</v>
      </c>
      <c r="AC43" s="17">
        <f>IF(Hypothèses!$C$53=Paramètres!$C$33,MAX(0,AB41)*Paramètres!$C$10*Hypothèses!$C$36,0)</f>
        <v>0</v>
      </c>
      <c r="AD43" s="17">
        <f>IF(Hypothèses!$C$53=Paramètres!$C$33,MAX(0,AC41)*Paramètres!$C$10*Hypothèses!$C$36,0)</f>
        <v>0</v>
      </c>
      <c r="AE43" s="17">
        <f>IF(Hypothèses!$C$53=Paramètres!$C$33,MAX(0,AD41)*Paramètres!$C$10*Hypothèses!$C$36,0)</f>
        <v>0</v>
      </c>
      <c r="AF43" s="17">
        <f>IF(Hypothèses!$C$53=Paramètres!$C$33,MAX(0,AE41)*Paramètres!$C$10*Hypothèses!$C$36,0)</f>
        <v>0</v>
      </c>
      <c r="AG43" s="17">
        <f>IF(Hypothèses!$C$53=Paramètres!$C$33,MAX(0,AF41)*Paramètres!$C$10*Hypothèses!$C$36,0)</f>
        <v>0</v>
      </c>
    </row>
    <row r="44" spans="2:33" x14ac:dyDescent="0.35">
      <c r="B44" s="13" t="s">
        <v>398</v>
      </c>
      <c r="C44" s="14">
        <f>SUMPRODUCT((D$6:AG$6&lt;=Hypothèses!$C$44)*(D44:AG44))</f>
        <v>-57258.836508873166</v>
      </c>
      <c r="D44" s="14">
        <f t="shared" ref="D44:AG44" si="8">D9-D10-D17-D42+D43</f>
        <v>-3600.771849214344</v>
      </c>
      <c r="E44" s="14">
        <f t="shared" si="8"/>
        <v>-5680.4861984105628</v>
      </c>
      <c r="F44" s="14">
        <f t="shared" si="8"/>
        <v>-5742.7467729741984</v>
      </c>
      <c r="G44" s="14">
        <f t="shared" si="8"/>
        <v>-5808.299421908574</v>
      </c>
      <c r="H44" s="14">
        <f t="shared" si="8"/>
        <v>-5877.2651277546629</v>
      </c>
      <c r="I44" s="14">
        <f t="shared" si="8"/>
        <v>-5949.7689879064919</v>
      </c>
      <c r="J44" s="14">
        <f t="shared" si="8"/>
        <v>-6025.9403515921986</v>
      </c>
      <c r="K44" s="14">
        <f t="shared" si="8"/>
        <v>-6105.9129613863006</v>
      </c>
      <c r="L44" s="14">
        <f t="shared" si="8"/>
        <v>-6189.8250994027112</v>
      </c>
      <c r="M44" s="14">
        <f t="shared" si="8"/>
        <v>-6277.8197383231218</v>
      </c>
      <c r="N44" s="14">
        <f t="shared" si="8"/>
        <v>-6370.0446974202978</v>
      </c>
      <c r="O44" s="14">
        <f t="shared" si="8"/>
        <v>-6466.65280374127</v>
      </c>
      <c r="P44" s="14">
        <f t="shared" si="8"/>
        <v>-6567.8020586207085</v>
      </c>
      <c r="Q44" s="14">
        <f t="shared" si="8"/>
        <v>-6673.6558097004909</v>
      </c>
      <c r="R44" s="14">
        <f t="shared" si="8"/>
        <v>-6784.3829286371965</v>
      </c>
      <c r="S44" s="14">
        <f t="shared" si="8"/>
        <v>-6900.1579946853235</v>
      </c>
      <c r="T44" s="14">
        <f t="shared" si="8"/>
        <v>-7021.1614843501793</v>
      </c>
      <c r="U44" s="14">
        <f t="shared" si="8"/>
        <v>-7147.5799673108286</v>
      </c>
      <c r="V44" s="14">
        <f t="shared" si="8"/>
        <v>-7279.6063088200453</v>
      </c>
      <c r="W44" s="14">
        <f t="shared" si="8"/>
        <v>-7417.4398787950895</v>
      </c>
      <c r="X44" s="14">
        <f t="shared" si="8"/>
        <v>6507.0294450345191</v>
      </c>
      <c r="Y44" s="14">
        <f t="shared" si="8"/>
        <v>6572.0997394848637</v>
      </c>
      <c r="Z44" s="14">
        <f t="shared" si="8"/>
        <v>6637.8207368797139</v>
      </c>
      <c r="AA44" s="14">
        <f t="shared" si="8"/>
        <v>6704.1989442485101</v>
      </c>
      <c r="AB44" s="14">
        <f t="shared" si="8"/>
        <v>6771.2409336909968</v>
      </c>
      <c r="AC44" s="14">
        <f t="shared" si="8"/>
        <v>6838.9533430279071</v>
      </c>
      <c r="AD44" s="14">
        <f t="shared" si="8"/>
        <v>6907.3428764581868</v>
      </c>
      <c r="AE44" s="14">
        <f t="shared" si="8"/>
        <v>6976.4163052227659</v>
      </c>
      <c r="AF44" s="14">
        <f t="shared" si="8"/>
        <v>7046.1804682749935</v>
      </c>
      <c r="AG44" s="14">
        <f t="shared" si="8"/>
        <v>7116.6422729577434</v>
      </c>
    </row>
    <row r="46" spans="2:33" ht="18" customHeight="1" x14ac:dyDescent="0.35">
      <c r="B46" s="1" t="s">
        <v>412</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2:33" x14ac:dyDescent="0.35">
      <c r="B47" s="10" t="s">
        <v>413</v>
      </c>
      <c r="C47" s="14">
        <f>SUMPRODUCT((D$6:AG$6&lt;=Hypothèses!$C$44)*(D47:AG47))</f>
        <v>69050.602771394973</v>
      </c>
      <c r="D47" s="17">
        <f>D9*(1-IF(ISNUMBER(MATCH(Hypothèses!$C$49,Paramètres!$B$27:$B$29,0)),INDEX(Paramètres!$C$27:$C$29,MATCH(Hypothèses!$C$49,Paramètres!$B$27:$B$29,0)),0))</f>
        <v>6600</v>
      </c>
      <c r="E47" s="17">
        <f>E9*(1-IF(ISNUMBER(MATCH(Hypothèses!$C$49,Paramètres!$B$27:$B$29,0)),INDEX(Paramètres!$C$27:$C$29,MATCH(Hypothèses!$C$49,Paramètres!$B$27:$B$29,0)),0))</f>
        <v>6666</v>
      </c>
      <c r="F47" s="17">
        <f>F9*(1-IF(ISNUMBER(MATCH(Hypothèses!$C$49,Paramètres!$B$27:$B$29,0)),INDEX(Paramètres!$C$27:$C$29,MATCH(Hypothèses!$C$49,Paramètres!$B$27:$B$29,0)),0))</f>
        <v>6732.66</v>
      </c>
      <c r="G47" s="17">
        <f>G9*(1-IF(ISNUMBER(MATCH(Hypothèses!$C$49,Paramètres!$B$27:$B$29,0)),INDEX(Paramètres!$C$27:$C$29,MATCH(Hypothèses!$C$49,Paramètres!$B$27:$B$29,0)),0))</f>
        <v>6799.9865999999993</v>
      </c>
      <c r="H47" s="17">
        <f>H9*(1-IF(ISNUMBER(MATCH(Hypothèses!$C$49,Paramètres!$B$27:$B$29,0)),INDEX(Paramètres!$C$27:$C$29,MATCH(Hypothèses!$C$49,Paramètres!$B$27:$B$29,0)),0))</f>
        <v>6867.9864660000003</v>
      </c>
      <c r="I47" s="17">
        <f>I9*(1-IF(ISNUMBER(MATCH(Hypothèses!$C$49,Paramètres!$B$27:$B$29,0)),INDEX(Paramètres!$C$27:$C$29,MATCH(Hypothèses!$C$49,Paramètres!$B$27:$B$29,0)),0))</f>
        <v>6936.6663306599994</v>
      </c>
      <c r="J47" s="17">
        <f>J9*(1-IF(ISNUMBER(MATCH(Hypothèses!$C$49,Paramètres!$B$27:$B$29,0)),INDEX(Paramètres!$C$27:$C$29,MATCH(Hypothèses!$C$49,Paramètres!$B$27:$B$29,0)),0))</f>
        <v>7006.0329939666008</v>
      </c>
      <c r="K47" s="17">
        <f>K9*(1-IF(ISNUMBER(MATCH(Hypothèses!$C$49,Paramètres!$B$27:$B$29,0)),INDEX(Paramètres!$C$27:$C$29,MATCH(Hypothèses!$C$49,Paramètres!$B$27:$B$29,0)),0))</f>
        <v>7076.0933239062651</v>
      </c>
      <c r="L47" s="17">
        <f>L9*(1-IF(ISNUMBER(MATCH(Hypothèses!$C$49,Paramètres!$B$27:$B$29,0)),INDEX(Paramètres!$C$27:$C$29,MATCH(Hypothèses!$C$49,Paramètres!$B$27:$B$29,0)),0))</f>
        <v>7146.8542571453299</v>
      </c>
      <c r="M47" s="17">
        <f>M9*(1-IF(ISNUMBER(MATCH(Hypothèses!$C$49,Paramètres!$B$27:$B$29,0)),INDEX(Paramètres!$C$27:$C$29,MATCH(Hypothèses!$C$49,Paramètres!$B$27:$B$29,0)),0))</f>
        <v>7218.3227997167833</v>
      </c>
      <c r="N47" s="17">
        <f>N9*(1-IF(ISNUMBER(MATCH(Hypothèses!$C$49,Paramètres!$B$27:$B$29,0)),INDEX(Paramètres!$C$27:$C$29,MATCH(Hypothèses!$C$49,Paramètres!$B$27:$B$29,0)),0))</f>
        <v>7290.506027713951</v>
      </c>
      <c r="O47" s="17">
        <f>O9*(1-IF(ISNUMBER(MATCH(Hypothèses!$C$49,Paramètres!$B$27:$B$29,0)),INDEX(Paramètres!$C$27:$C$29,MATCH(Hypothèses!$C$49,Paramètres!$B$27:$B$29,0)),0))</f>
        <v>7363.4110879910895</v>
      </c>
      <c r="P47" s="17">
        <f>P9*(1-IF(ISNUMBER(MATCH(Hypothèses!$C$49,Paramètres!$B$27:$B$29,0)),INDEX(Paramètres!$C$27:$C$29,MATCH(Hypothèses!$C$49,Paramètres!$B$27:$B$29,0)),0))</f>
        <v>7437.0451988710001</v>
      </c>
      <c r="Q47" s="17">
        <f>Q9*(1-IF(ISNUMBER(MATCH(Hypothèses!$C$49,Paramètres!$B$27:$B$29,0)),INDEX(Paramètres!$C$27:$C$29,MATCH(Hypothèses!$C$49,Paramètres!$B$27:$B$29,0)),0))</f>
        <v>7511.4156508597107</v>
      </c>
      <c r="R47" s="17">
        <f>R9*(1-IF(ISNUMBER(MATCH(Hypothèses!$C$49,Paramètres!$B$27:$B$29,0)),INDEX(Paramètres!$C$27:$C$29,MATCH(Hypothèses!$C$49,Paramètres!$B$27:$B$29,0)),0))</f>
        <v>7586.5298073683089</v>
      </c>
      <c r="S47" s="17">
        <f>S9*(1-IF(ISNUMBER(MATCH(Hypothèses!$C$49,Paramètres!$B$27:$B$29,0)),INDEX(Paramètres!$C$27:$C$29,MATCH(Hypothèses!$C$49,Paramètres!$B$27:$B$29,0)),0))</f>
        <v>7662.3951054419895</v>
      </c>
      <c r="T47" s="17">
        <f>T9*(1-IF(ISNUMBER(MATCH(Hypothèses!$C$49,Paramètres!$B$27:$B$29,0)),INDEX(Paramètres!$C$27:$C$29,MATCH(Hypothèses!$C$49,Paramètres!$B$27:$B$29,0)),0))</f>
        <v>7739.0190564964123</v>
      </c>
      <c r="U47" s="17">
        <f>U9*(1-IF(ISNUMBER(MATCH(Hypothèses!$C$49,Paramètres!$B$27:$B$29,0)),INDEX(Paramètres!$C$27:$C$29,MATCH(Hypothèses!$C$49,Paramètres!$B$27:$B$29,0)),0))</f>
        <v>7816.4092470613768</v>
      </c>
      <c r="V47" s="17">
        <f>V9*(1-IF(ISNUMBER(MATCH(Hypothèses!$C$49,Paramètres!$B$27:$B$29,0)),INDEX(Paramètres!$C$27:$C$29,MATCH(Hypothèses!$C$49,Paramètres!$B$27:$B$29,0)),0))</f>
        <v>7894.5733395319903</v>
      </c>
      <c r="W47" s="17">
        <f>W9*(1-IF(ISNUMBER(MATCH(Hypothèses!$C$49,Paramètres!$B$27:$B$29,0)),INDEX(Paramètres!$C$27:$C$29,MATCH(Hypothèses!$C$49,Paramètres!$B$27:$B$29,0)),0))</f>
        <v>7973.519072927309</v>
      </c>
      <c r="X47" s="17">
        <f>X9*(1-IF(ISNUMBER(MATCH(Hypothèses!$C$49,Paramètres!$B$27:$B$29,0)),INDEX(Paramètres!$C$27:$C$29,MATCH(Hypothèses!$C$49,Paramètres!$B$27:$B$29,0)),0))</f>
        <v>8053.2542636565822</v>
      </c>
      <c r="Y47" s="17">
        <f>Y9*(1-IF(ISNUMBER(MATCH(Hypothèses!$C$49,Paramètres!$B$27:$B$29,0)),INDEX(Paramètres!$C$27:$C$29,MATCH(Hypothèses!$C$49,Paramètres!$B$27:$B$29,0)),0))</f>
        <v>8133.7868062931475</v>
      </c>
      <c r="Z47" s="17">
        <f>Z9*(1-IF(ISNUMBER(MATCH(Hypothèses!$C$49,Paramètres!$B$27:$B$29,0)),INDEX(Paramètres!$C$27:$C$29,MATCH(Hypothèses!$C$49,Paramètres!$B$27:$B$29,0)),0))</f>
        <v>8215.1246743560805</v>
      </c>
      <c r="AA47" s="17">
        <f>AA9*(1-IF(ISNUMBER(MATCH(Hypothèses!$C$49,Paramètres!$B$27:$B$29,0)),INDEX(Paramètres!$C$27:$C$29,MATCH(Hypothèses!$C$49,Paramètres!$B$27:$B$29,0)),0))</f>
        <v>8297.275921099641</v>
      </c>
      <c r="AB47" s="17">
        <f>AB9*(1-IF(ISNUMBER(MATCH(Hypothèses!$C$49,Paramètres!$B$27:$B$29,0)),INDEX(Paramètres!$C$27:$C$29,MATCH(Hypothèses!$C$49,Paramètres!$B$27:$B$29,0)),0))</f>
        <v>8380.2486803106385</v>
      </c>
      <c r="AC47" s="17">
        <f>AC9*(1-IF(ISNUMBER(MATCH(Hypothèses!$C$49,Paramètres!$B$27:$B$29,0)),INDEX(Paramètres!$C$27:$C$29,MATCH(Hypothèses!$C$49,Paramètres!$B$27:$B$29,0)),0))</f>
        <v>8464.0511671137465</v>
      </c>
      <c r="AD47" s="17">
        <f>AD9*(1-IF(ISNUMBER(MATCH(Hypothèses!$C$49,Paramètres!$B$27:$B$29,0)),INDEX(Paramètres!$C$27:$C$29,MATCH(Hypothèses!$C$49,Paramètres!$B$27:$B$29,0)),0))</f>
        <v>8548.6916787848841</v>
      </c>
      <c r="AE47" s="17">
        <f>AE9*(1-IF(ISNUMBER(MATCH(Hypothèses!$C$49,Paramètres!$B$27:$B$29,0)),INDEX(Paramètres!$C$27:$C$29,MATCH(Hypothèses!$C$49,Paramètres!$B$27:$B$29,0)),0))</f>
        <v>8634.17859557273</v>
      </c>
      <c r="AF47" s="17">
        <f>AF9*(1-IF(ISNUMBER(MATCH(Hypothèses!$C$49,Paramètres!$B$27:$B$29,0)),INDEX(Paramètres!$C$27:$C$29,MATCH(Hypothèses!$C$49,Paramètres!$B$27:$B$29,0)),0))</f>
        <v>8720.5203815284567</v>
      </c>
      <c r="AG47" s="17">
        <f>AG9*(1-IF(ISNUMBER(MATCH(Hypothèses!$C$49,Paramètres!$B$27:$B$29,0)),INDEX(Paramètres!$C$27:$C$29,MATCH(Hypothèses!$C$49,Paramètres!$B$27:$B$29,0)),0))</f>
        <v>8807.7255853437418</v>
      </c>
    </row>
    <row r="48" spans="2:33" x14ac:dyDescent="0.35">
      <c r="B48" s="10" t="s">
        <v>396</v>
      </c>
      <c r="C48" s="14">
        <f>SUMPRODUCT((D$6:AG$6&lt;=Hypothèses!$C$44)*(D48:AG48))</f>
        <v>33558.592946897959</v>
      </c>
      <c r="D48" s="14">
        <f>D47*(Hypothèses!$C$36+Paramètres!$C$9)</f>
        <v>3207.6</v>
      </c>
      <c r="E48" s="14">
        <f>E47*(Hypothèses!$C$36+Paramètres!$C$9)</f>
        <v>3239.6759999999999</v>
      </c>
      <c r="F48" s="14">
        <f>F47*(Hypothèses!$C$36+Paramètres!$C$9)</f>
        <v>3272.07276</v>
      </c>
      <c r="G48" s="14">
        <f>G47*(Hypothèses!$C$36+Paramètres!$C$9)</f>
        <v>3304.7934875999995</v>
      </c>
      <c r="H48" s="14">
        <f>H47*(Hypothèses!$C$36+Paramètres!$C$9)</f>
        <v>3337.8414224759999</v>
      </c>
      <c r="I48" s="14">
        <f>I47*(Hypothèses!$C$36+Paramètres!$C$9)</f>
        <v>3371.2198367007595</v>
      </c>
      <c r="J48" s="14">
        <f>J47*(Hypothèses!$C$36+Paramètres!$C$9)</f>
        <v>3404.9320350677681</v>
      </c>
      <c r="K48" s="14">
        <f>K47*(Hypothèses!$C$36+Paramètres!$C$9)</f>
        <v>3438.9813554184448</v>
      </c>
      <c r="L48" s="14">
        <f>L47*(Hypothèses!$C$36+Paramètres!$C$9)</f>
        <v>3473.3711689726301</v>
      </c>
      <c r="M48" s="14">
        <f>M47*(Hypothèses!$C$36+Paramètres!$C$9)</f>
        <v>3508.1048806623567</v>
      </c>
      <c r="N48" s="14">
        <f>N47*(Hypothèses!$C$36+Paramètres!$C$9)</f>
        <v>3543.1859294689802</v>
      </c>
      <c r="O48" s="14">
        <f>O47*(Hypothèses!$C$36+Paramètres!$C$9)</f>
        <v>3578.6177887636695</v>
      </c>
      <c r="P48" s="14">
        <f>P47*(Hypothèses!$C$36+Paramètres!$C$9)</f>
        <v>3614.4039666513058</v>
      </c>
      <c r="Q48" s="14">
        <f>Q47*(Hypothèses!$C$36+Paramètres!$C$9)</f>
        <v>3650.5480063178193</v>
      </c>
      <c r="R48" s="14">
        <f>R47*(Hypothèses!$C$36+Paramètres!$C$9)</f>
        <v>3687.053486380998</v>
      </c>
      <c r="S48" s="14">
        <f>S47*(Hypothèses!$C$36+Paramètres!$C$9)</f>
        <v>3723.9240212448067</v>
      </c>
      <c r="T48" s="14">
        <f>T47*(Hypothèses!$C$36+Paramètres!$C$9)</f>
        <v>3761.1632614572563</v>
      </c>
      <c r="U48" s="14">
        <f>U47*(Hypothèses!$C$36+Paramètres!$C$9)</f>
        <v>3798.7748940718288</v>
      </c>
      <c r="V48" s="14">
        <f>V47*(Hypothèses!$C$36+Paramètres!$C$9)</f>
        <v>3836.7626430125474</v>
      </c>
      <c r="W48" s="14">
        <f>W47*(Hypothèses!$C$36+Paramètres!$C$9)</f>
        <v>3875.1302694426722</v>
      </c>
      <c r="X48" s="14">
        <f>X47*(Hypothèses!$C$36+Paramètres!$C$9)</f>
        <v>3913.8815721370988</v>
      </c>
      <c r="Y48" s="14">
        <f>Y47*(Hypothèses!$C$36+Paramètres!$C$9)</f>
        <v>3953.0203878584698</v>
      </c>
      <c r="Z48" s="14">
        <f>Z47*(Hypothèses!$C$36+Paramètres!$C$9)</f>
        <v>3992.5505917370551</v>
      </c>
      <c r="AA48" s="14">
        <f>AA47*(Hypothèses!$C$36+Paramètres!$C$9)</f>
        <v>4032.4760976544253</v>
      </c>
      <c r="AB48" s="14">
        <f>AB47*(Hypothèses!$C$36+Paramètres!$C$9)</f>
        <v>4072.8008586309702</v>
      </c>
      <c r="AC48" s="14">
        <f>AC47*(Hypothèses!$C$36+Paramètres!$C$9)</f>
        <v>4113.528867217281</v>
      </c>
      <c r="AD48" s="14">
        <f>AD47*(Hypothèses!$C$36+Paramètres!$C$9)</f>
        <v>4154.6641558894535</v>
      </c>
      <c r="AE48" s="14">
        <f>AE47*(Hypothèses!$C$36+Paramètres!$C$9)</f>
        <v>4196.210797448347</v>
      </c>
      <c r="AF48" s="14">
        <f>AF47*(Hypothèses!$C$36+Paramètres!$C$9)</f>
        <v>4238.1729054228299</v>
      </c>
      <c r="AG48" s="14">
        <f>AG47*(Hypothèses!$C$36+Paramètres!$C$9)</f>
        <v>4280.5546344770582</v>
      </c>
    </row>
    <row r="49" spans="2:33" x14ac:dyDescent="0.35">
      <c r="B49" s="10" t="s">
        <v>397</v>
      </c>
      <c r="C49" s="14">
        <f>SUMPRODUCT((D$6:AG$6&lt;=Hypothèses!$C$44)*(D49:AG49))</f>
        <v>0</v>
      </c>
      <c r="D49" s="17">
        <f>0</f>
        <v>0</v>
      </c>
      <c r="E49" s="17">
        <f>IF(Hypothèses!$C$53=Paramètres!$C$33,MAX(0,D47)*Paramètres!$C$10*Hypothèses!$C$36,0)</f>
        <v>0</v>
      </c>
      <c r="F49" s="17">
        <f>IF(Hypothèses!$C$53=Paramètres!$C$33,MAX(0,E47)*Paramètres!$C$10*Hypothèses!$C$36,0)</f>
        <v>0</v>
      </c>
      <c r="G49" s="17">
        <f>IF(Hypothèses!$C$53=Paramètres!$C$33,MAX(0,F47)*Paramètres!$C$10*Hypothèses!$C$36,0)</f>
        <v>0</v>
      </c>
      <c r="H49" s="17">
        <f>IF(Hypothèses!$C$53=Paramètres!$C$33,MAX(0,G47)*Paramètres!$C$10*Hypothèses!$C$36,0)</f>
        <v>0</v>
      </c>
      <c r="I49" s="17">
        <f>IF(Hypothèses!$C$53=Paramètres!$C$33,MAX(0,H47)*Paramètres!$C$10*Hypothèses!$C$36,0)</f>
        <v>0</v>
      </c>
      <c r="J49" s="17">
        <f>IF(Hypothèses!$C$53=Paramètres!$C$33,MAX(0,I47)*Paramètres!$C$10*Hypothèses!$C$36,0)</f>
        <v>0</v>
      </c>
      <c r="K49" s="17">
        <f>IF(Hypothèses!$C$53=Paramètres!$C$33,MAX(0,J47)*Paramètres!$C$10*Hypothèses!$C$36,0)</f>
        <v>0</v>
      </c>
      <c r="L49" s="17">
        <f>IF(Hypothèses!$C$53=Paramètres!$C$33,MAX(0,K47)*Paramètres!$C$10*Hypothèses!$C$36,0)</f>
        <v>0</v>
      </c>
      <c r="M49" s="17">
        <f>IF(Hypothèses!$C$53=Paramètres!$C$33,MAX(0,L47)*Paramètres!$C$10*Hypothèses!$C$36,0)</f>
        <v>0</v>
      </c>
      <c r="N49" s="17">
        <f>IF(Hypothèses!$C$53=Paramètres!$C$33,MAX(0,M47)*Paramètres!$C$10*Hypothèses!$C$36,0)</f>
        <v>0</v>
      </c>
      <c r="O49" s="17">
        <f>IF(Hypothèses!$C$53=Paramètres!$C$33,MAX(0,N47)*Paramètres!$C$10*Hypothèses!$C$36,0)</f>
        <v>0</v>
      </c>
      <c r="P49" s="17">
        <f>IF(Hypothèses!$C$53=Paramètres!$C$33,MAX(0,O47)*Paramètres!$C$10*Hypothèses!$C$36,0)</f>
        <v>0</v>
      </c>
      <c r="Q49" s="17">
        <f>IF(Hypothèses!$C$53=Paramètres!$C$33,MAX(0,P47)*Paramètres!$C$10*Hypothèses!$C$36,0)</f>
        <v>0</v>
      </c>
      <c r="R49" s="17">
        <f>IF(Hypothèses!$C$53=Paramètres!$C$33,MAX(0,Q47)*Paramètres!$C$10*Hypothèses!$C$36,0)</f>
        <v>0</v>
      </c>
      <c r="S49" s="17">
        <f>IF(Hypothèses!$C$53=Paramètres!$C$33,MAX(0,R47)*Paramètres!$C$10*Hypothèses!$C$36,0)</f>
        <v>0</v>
      </c>
      <c r="T49" s="17">
        <f>IF(Hypothèses!$C$53=Paramètres!$C$33,MAX(0,S47)*Paramètres!$C$10*Hypothèses!$C$36,0)</f>
        <v>0</v>
      </c>
      <c r="U49" s="17">
        <f>IF(Hypothèses!$C$53=Paramètres!$C$33,MAX(0,T47)*Paramètres!$C$10*Hypothèses!$C$36,0)</f>
        <v>0</v>
      </c>
      <c r="V49" s="17">
        <f>IF(Hypothèses!$C$53=Paramètres!$C$33,MAX(0,U47)*Paramètres!$C$10*Hypothèses!$C$36,0)</f>
        <v>0</v>
      </c>
      <c r="W49" s="17">
        <f>IF(Hypothèses!$C$53=Paramètres!$C$33,MAX(0,V47)*Paramètres!$C$10*Hypothèses!$C$36,0)</f>
        <v>0</v>
      </c>
      <c r="X49" s="17">
        <f>IF(Hypothèses!$C$53=Paramètres!$C$33,MAX(0,W47)*Paramètres!$C$10*Hypothèses!$C$36,0)</f>
        <v>0</v>
      </c>
      <c r="Y49" s="17">
        <f>IF(Hypothèses!$C$53=Paramètres!$C$33,MAX(0,X47)*Paramètres!$C$10*Hypothèses!$C$36,0)</f>
        <v>0</v>
      </c>
      <c r="Z49" s="17">
        <f>IF(Hypothèses!$C$53=Paramètres!$C$33,MAX(0,Y47)*Paramètres!$C$10*Hypothèses!$C$36,0)</f>
        <v>0</v>
      </c>
      <c r="AA49" s="17">
        <f>IF(Hypothèses!$C$53=Paramètres!$C$33,MAX(0,Z47)*Paramètres!$C$10*Hypothèses!$C$36,0)</f>
        <v>0</v>
      </c>
      <c r="AB49" s="17">
        <f>IF(Hypothèses!$C$53=Paramètres!$C$33,MAX(0,AA47)*Paramètres!$C$10*Hypothèses!$C$36,0)</f>
        <v>0</v>
      </c>
      <c r="AC49" s="17">
        <f>IF(Hypothèses!$C$53=Paramètres!$C$33,MAX(0,AB47)*Paramètres!$C$10*Hypothèses!$C$36,0)</f>
        <v>0</v>
      </c>
      <c r="AD49" s="17">
        <f>IF(Hypothèses!$C$53=Paramètres!$C$33,MAX(0,AC47)*Paramètres!$C$10*Hypothèses!$C$36,0)</f>
        <v>0</v>
      </c>
      <c r="AE49" s="17">
        <f>IF(Hypothèses!$C$53=Paramètres!$C$33,MAX(0,AD47)*Paramètres!$C$10*Hypothèses!$C$36,0)</f>
        <v>0</v>
      </c>
      <c r="AF49" s="17">
        <f>IF(Hypothèses!$C$53=Paramètres!$C$33,MAX(0,AE47)*Paramètres!$C$10*Hypothèses!$C$36,0)</f>
        <v>0</v>
      </c>
      <c r="AG49" s="17">
        <f>IF(Hypothèses!$C$53=Paramètres!$C$33,MAX(0,AF47)*Paramètres!$C$10*Hypothèses!$C$36,0)</f>
        <v>0</v>
      </c>
    </row>
    <row r="50" spans="2:33" x14ac:dyDescent="0.35">
      <c r="B50" s="13" t="s">
        <v>414</v>
      </c>
      <c r="C50" s="14">
        <f>SUMPRODUCT((D$6:AG$6&lt;=Hypothèses!$C$44)*(D50:AG50))</f>
        <v>-75002.114056672595</v>
      </c>
      <c r="D50" s="14">
        <f t="shared" ref="D50:AG50" si="9">D9-D10-D11-D17-D48+D49</f>
        <v>-7800.2982758643029</v>
      </c>
      <c r="E50" s="14">
        <f t="shared" si="9"/>
        <v>-7735.374275864302</v>
      </c>
      <c r="F50" s="14">
        <f t="shared" si="9"/>
        <v>-7669.8010358643032</v>
      </c>
      <c r="G50" s="14">
        <f t="shared" si="9"/>
        <v>-7603.5720634643039</v>
      </c>
      <c r="H50" s="14">
        <f t="shared" si="9"/>
        <v>-7536.6808013403024</v>
      </c>
      <c r="I50" s="14">
        <f t="shared" si="9"/>
        <v>-7469.1206265950632</v>
      </c>
      <c r="J50" s="14">
        <f t="shared" si="9"/>
        <v>-7400.8848501023695</v>
      </c>
      <c r="K50" s="14">
        <f t="shared" si="9"/>
        <v>-7331.966715844751</v>
      </c>
      <c r="L50" s="14">
        <f t="shared" si="9"/>
        <v>-7262.3594002445516</v>
      </c>
      <c r="M50" s="14">
        <f t="shared" si="9"/>
        <v>-7192.0560114883574</v>
      </c>
      <c r="N50" s="14">
        <f t="shared" si="9"/>
        <v>-7121.0495888445985</v>
      </c>
      <c r="O50" s="14">
        <f t="shared" si="9"/>
        <v>-7049.3331019744001</v>
      </c>
      <c r="P50" s="14">
        <f t="shared" si="9"/>
        <v>-6976.8994502355017</v>
      </c>
      <c r="Q50" s="14">
        <f t="shared" si="9"/>
        <v>-6903.7414619792135</v>
      </c>
      <c r="R50" s="14">
        <f t="shared" si="9"/>
        <v>-6829.8518938403622</v>
      </c>
      <c r="S50" s="14">
        <f t="shared" si="9"/>
        <v>-6755.2234300201244</v>
      </c>
      <c r="T50" s="14">
        <f t="shared" si="9"/>
        <v>-6679.8486815616789</v>
      </c>
      <c r="U50" s="14">
        <f t="shared" si="9"/>
        <v>-6603.7201856186512</v>
      </c>
      <c r="V50" s="14">
        <f t="shared" si="9"/>
        <v>-6526.8304047161982</v>
      </c>
      <c r="W50" s="14">
        <f t="shared" si="9"/>
        <v>-6449.1717260047171</v>
      </c>
      <c r="X50" s="14">
        <f t="shared" si="9"/>
        <v>7921.9618153581814</v>
      </c>
      <c r="Y50" s="14">
        <f t="shared" si="9"/>
        <v>8001.1814335117624</v>
      </c>
      <c r="Z50" s="14">
        <f t="shared" si="9"/>
        <v>8081.1932478468807</v>
      </c>
      <c r="AA50" s="14">
        <f t="shared" si="9"/>
        <v>8162.00518032535</v>
      </c>
      <c r="AB50" s="14">
        <f t="shared" si="9"/>
        <v>8243.6252321286047</v>
      </c>
      <c r="AC50" s="14">
        <f t="shared" si="9"/>
        <v>8326.0614844498905</v>
      </c>
      <c r="AD50" s="14">
        <f t="shared" si="9"/>
        <v>8409.3220992943916</v>
      </c>
      <c r="AE50" s="14">
        <f t="shared" si="9"/>
        <v>8493.4153202873313</v>
      </c>
      <c r="AF50" s="14">
        <f t="shared" si="9"/>
        <v>8578.3494734902051</v>
      </c>
      <c r="AG50" s="14">
        <f t="shared" si="9"/>
        <v>8664.1329682251089</v>
      </c>
    </row>
    <row r="52" spans="2:33" ht="18" customHeight="1" x14ac:dyDescent="0.35">
      <c r="B52" s="1" t="s">
        <v>415</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2:33" x14ac:dyDescent="0.35">
      <c r="B53" s="10" t="s">
        <v>416</v>
      </c>
      <c r="C53" s="14">
        <f>SUMPRODUCT((D$6:AG$6&lt;=Hypothèses!$C$44)*(D53:AG53))</f>
        <v>37238.308001693687</v>
      </c>
      <c r="D53" s="17">
        <f>D9-D10-D11-D12-(D14+D16)-IF(AND(D$6=1,Hypothèses!$C$51=Paramètres!$D$34),Hypothèses!$C$9,0)</f>
        <v>2126.9119111668042</v>
      </c>
      <c r="E53" s="17">
        <f>E9-E10-E11-E12-(E14+E16)-IF(AND(E$6=1,Hypothèses!$C$51=Paramètres!$D$34),Hypothèses!$C$9,0)</f>
        <v>2457.0761070895342</v>
      </c>
      <c r="F53" s="17">
        <f>F9-F10-F11-F12-(F14+F16)-IF(AND(F$6=1,Hypothèses!$C$51=Paramètres!$D$34),Hypothèses!$C$9,0)</f>
        <v>2796.0169854023216</v>
      </c>
      <c r="G53" s="17">
        <f>G9-G10-G11-G12-(G14+G16)-IF(AND(G$6=1,Hypothèses!$C$51=Paramètres!$D$34),Hypothèses!$C$9,0)</f>
        <v>3144.0029263649794</v>
      </c>
      <c r="H53" s="17">
        <f>H9-H10-H11-H12-(H14+H16)-IF(AND(H$6=1,Hypothèses!$C$51=Paramètres!$D$34),Hypothèses!$C$9,0)</f>
        <v>3501.3109522083923</v>
      </c>
      <c r="I53" s="17">
        <f>I9-I10-I11-I12-(I14+I16)-IF(AND(I$6=1,Hypothèses!$C$51=Paramètres!$D$34),Hypothèses!$C$9,0)</f>
        <v>3868.2270101053127</v>
      </c>
      <c r="J53" s="17">
        <f>J9-J10-J11-J12-(J14+J16)-IF(AND(J$6=1,Hypothèses!$C$51=Paramètres!$D$34),Hypothèses!$C$9,0)</f>
        <v>4245.046264454857</v>
      </c>
      <c r="K53" s="17">
        <f>K9-K10-K11-K12-(K14+K16)-IF(AND(K$6=1,Hypothèses!$C$51=Paramètres!$D$34),Hypothèses!$C$9,0)</f>
        <v>4632.0733987875865</v>
      </c>
      <c r="L53" s="17">
        <f>L9-L10-L11-L12-(L14+L16)-IF(AND(L$6=1,Hypothèses!$C$51=Paramètres!$D$34),Hypothèses!$C$9,0)</f>
        <v>5029.6229276084996</v>
      </c>
      <c r="M53" s="17">
        <f>M9-M10-M11-M12-(M14+M16)-IF(AND(M$6=1,Hypothèses!$C$51=Paramètres!$D$34),Hypothèses!$C$9,0)</f>
        <v>5438.0195185053999</v>
      </c>
      <c r="N53" s="17">
        <f>N9-N10-N11-N12-(N14+N16)-IF(AND(N$6=1,Hypothèses!$C$51=Paramètres!$D$34),Hypothèses!$C$9,0)</f>
        <v>5857.5983248611901</v>
      </c>
      <c r="O53" s="17">
        <f>O9-O10-O11-O12-(O14+O16)-IF(AND(O$6=1,Hypothèses!$C$51=Paramètres!$D$34),Hypothèses!$C$9,0)</f>
        <v>6288.7053295195747</v>
      </c>
      <c r="P53" s="17">
        <f>P9-P10-P11-P12-(P14+P16)-IF(AND(P$6=1,Hypothèses!$C$51=Paramètres!$D$34),Hypothèses!$C$9,0)</f>
        <v>6731.6976997653364</v>
      </c>
      <c r="Q53" s="17">
        <f>Q9-Q10-Q11-Q12-(Q14+Q16)-IF(AND(Q$6=1,Hypothèses!$C$51=Paramètres!$D$34),Hypothèses!$C$9,0)</f>
        <v>7186.94415399227</v>
      </c>
      <c r="R53" s="17">
        <f>R9-R10-R11-R12-(R14+R16)-IF(AND(R$6=1,Hypothèses!$C$51=Paramètres!$D$34),Hypothèses!$C$9,0)</f>
        <v>7654.8253404439383</v>
      </c>
      <c r="S53" s="17">
        <f>S9-S10-S11-S12-(S14+S16)-IF(AND(S$6=1,Hypothèses!$C$51=Paramètres!$D$34),Hypothèses!$C$9,0)</f>
        <v>8135.7342284254883</v>
      </c>
      <c r="T53" s="17">
        <f>T9-T10-T11-T12-(T14+T16)-IF(AND(T$6=1,Hypothèses!$C$51=Paramètres!$D$34),Hypothèses!$C$9,0)</f>
        <v>8630.0765123975616</v>
      </c>
      <c r="U53" s="17">
        <f>U9-U10-U11-U12-(U14+U16)-IF(AND(U$6=1,Hypothèses!$C$51=Paramètres!$D$34),Hypothèses!$C$9,0)</f>
        <v>9138.2710293770269</v>
      </c>
      <c r="V53" s="17">
        <f>V9-V10-V11-V12-(V14+V16)-IF(AND(V$6=1,Hypothèses!$C$51=Paramètres!$D$34),Hypothèses!$C$9,0)</f>
        <v>9660.7501900834013</v>
      </c>
      <c r="W53" s="17">
        <f>W9-W10-W11-W12-(W14+W16)-IF(AND(W$6=1,Hypothèses!$C$51=Paramètres!$D$34),Hypothèses!$C$9,0)</f>
        <v>10197.960424283992</v>
      </c>
      <c r="X53" s="17">
        <f>X9-X10-X11-X12-(X14+X16)-IF(AND(X$6=1,Hypothèses!$C$51=Paramètres!$D$34),Hypothèses!$C$9,0)</f>
        <v>11225.748367521297</v>
      </c>
      <c r="Y53" s="17">
        <f>Y9-Y10-Y11-Y12-(Y14+Y16)-IF(AND(Y$6=1,Hypothèses!$C$51=Paramètres!$D$34),Hypothèses!$C$9,0)</f>
        <v>11338.005851196509</v>
      </c>
      <c r="Z53" s="17">
        <f>Z9-Z10-Z11-Z12-(Z14+Z16)-IF(AND(Z$6=1,Hypothèses!$C$51=Paramètres!$D$34),Hypothèses!$C$9,0)</f>
        <v>11451.385909708475</v>
      </c>
      <c r="AA53" s="17">
        <f>AA9-AA10-AA11-AA12-(AA14+AA16)-IF(AND(AA$6=1,Hypothèses!$C$51=Paramètres!$D$34),Hypothèses!$C$9,0)</f>
        <v>11565.899768805561</v>
      </c>
      <c r="AB53" s="17">
        <f>AB9-AB10-AB11-AB12-(AB14+AB16)-IF(AND(AB$6=1,Hypothèses!$C$51=Paramètres!$D$34),Hypothèses!$C$9,0)</f>
        <v>11681.558766493617</v>
      </c>
      <c r="AC53" s="17">
        <f>AC9-AC10-AC11-AC12-(AC14+AC16)-IF(AND(AC$6=1,Hypothèses!$C$51=Paramètres!$D$34),Hypothèses!$C$9,0)</f>
        <v>11798.374354158554</v>
      </c>
      <c r="AD53" s="17">
        <f>AD9-AD10-AD11-AD12-(AD14+AD16)-IF(AND(AD$6=1,Hypothèses!$C$51=Paramètres!$D$34),Hypothèses!$C$9,0)</f>
        <v>11916.358097700142</v>
      </c>
      <c r="AE53" s="17">
        <f>AE9-AE10-AE11-AE12-(AE14+AE16)-IF(AND(AE$6=1,Hypothèses!$C$51=Paramètres!$D$34),Hypothèses!$C$9,0)</f>
        <v>12035.52167867714</v>
      </c>
      <c r="AF53" s="17">
        <f>AF9-AF10-AF11-AF12-(AF14+AF16)-IF(AND(AF$6=1,Hypothèses!$C$51=Paramètres!$D$34),Hypothèses!$C$9,0)</f>
        <v>12155.876895463911</v>
      </c>
      <c r="AG53" s="17">
        <f>AG9-AG10-AG11-AG12-(AG14+AG16)-IF(AND(AG$6=1,Hypothèses!$C$51=Paramètres!$D$34),Hypothèses!$C$9,0)</f>
        <v>12277.43566441855</v>
      </c>
    </row>
    <row r="54" spans="2:33" x14ac:dyDescent="0.35">
      <c r="B54" s="10" t="s">
        <v>417</v>
      </c>
      <c r="D54" s="17">
        <f>0</f>
        <v>0</v>
      </c>
      <c r="E54" s="17">
        <f t="shared" ref="E54:AG54" si="10">D56</f>
        <v>5469.2785650236719</v>
      </c>
      <c r="F54" s="17">
        <f t="shared" si="10"/>
        <v>10608.392934124615</v>
      </c>
      <c r="G54" s="17">
        <f t="shared" si="10"/>
        <v>15408.566424912769</v>
      </c>
      <c r="H54" s="17">
        <f t="shared" si="10"/>
        <v>19860.753974738269</v>
      </c>
      <c r="I54" s="17">
        <f t="shared" si="10"/>
        <v>23955.633498720352</v>
      </c>
      <c r="J54" s="17">
        <f t="shared" si="10"/>
        <v>27683.596964805518</v>
      </c>
      <c r="K54" s="17">
        <f t="shared" si="10"/>
        <v>31034.741176541134</v>
      </c>
      <c r="L54" s="17">
        <f t="shared" si="10"/>
        <v>32856.00111108688</v>
      </c>
      <c r="M54" s="17">
        <f t="shared" si="10"/>
        <v>34279.711516811716</v>
      </c>
      <c r="N54" s="17">
        <f t="shared" si="10"/>
        <v>35295.025331639656</v>
      </c>
      <c r="O54" s="17">
        <f t="shared" si="10"/>
        <v>35890.760340111803</v>
      </c>
      <c r="P54" s="17">
        <f t="shared" si="10"/>
        <v>36055.388343925566</v>
      </c>
      <c r="Q54" s="17">
        <f t="shared" si="10"/>
        <v>35777.023977493562</v>
      </c>
      <c r="R54" s="17">
        <f t="shared" si="10"/>
        <v>35043.413156834627</v>
      </c>
      <c r="S54" s="17">
        <f t="shared" si="10"/>
        <v>33841.921149724025</v>
      </c>
      <c r="T54" s="17">
        <f t="shared" si="10"/>
        <v>31826.186921298537</v>
      </c>
      <c r="U54" s="17">
        <f t="shared" si="10"/>
        <v>29316.110408900971</v>
      </c>
      <c r="V54" s="17">
        <f t="shared" si="10"/>
        <v>26297.839379523946</v>
      </c>
      <c r="W54" s="17">
        <f t="shared" si="10"/>
        <v>22757.089189440543</v>
      </c>
      <c r="X54" s="17">
        <f t="shared" si="10"/>
        <v>18679.128765156551</v>
      </c>
      <c r="Y54" s="17">
        <f t="shared" si="10"/>
        <v>13573.380397635254</v>
      </c>
      <c r="Z54" s="17">
        <f t="shared" si="10"/>
        <v>8355.3745464387448</v>
      </c>
      <c r="AA54" s="17">
        <f t="shared" si="10"/>
        <v>3023.9886367302697</v>
      </c>
      <c r="AB54" s="17">
        <f t="shared" si="10"/>
        <v>0</v>
      </c>
      <c r="AC54" s="17">
        <f t="shared" si="10"/>
        <v>0</v>
      </c>
      <c r="AD54" s="17">
        <f t="shared" si="10"/>
        <v>0</v>
      </c>
      <c r="AE54" s="17">
        <f t="shared" si="10"/>
        <v>0</v>
      </c>
      <c r="AF54" s="17">
        <f t="shared" si="10"/>
        <v>0</v>
      </c>
      <c r="AG54" s="17">
        <f t="shared" si="10"/>
        <v>0</v>
      </c>
    </row>
    <row r="55" spans="2:33" x14ac:dyDescent="0.35">
      <c r="B55" s="10" t="s">
        <v>418</v>
      </c>
      <c r="C55" s="14">
        <f>SUMPRODUCT((D$6:AG$6&lt;=Hypothèses!$C$44)*(D55:AG55))</f>
        <v>37238.308001693687</v>
      </c>
      <c r="D55" s="17">
        <f t="shared" ref="D55:AG55" si="11">MIN(D22+D54,MAX(0,D53))</f>
        <v>2126.9119111668042</v>
      </c>
      <c r="E55" s="17">
        <f t="shared" si="11"/>
        <v>2457.0761070895342</v>
      </c>
      <c r="F55" s="17">
        <f t="shared" si="11"/>
        <v>2796.0169854023216</v>
      </c>
      <c r="G55" s="17">
        <f t="shared" si="11"/>
        <v>3144.0029263649794</v>
      </c>
      <c r="H55" s="17">
        <f t="shared" si="11"/>
        <v>3501.3109522083923</v>
      </c>
      <c r="I55" s="17">
        <f t="shared" si="11"/>
        <v>3868.2270101053127</v>
      </c>
      <c r="J55" s="17">
        <f t="shared" si="11"/>
        <v>4245.046264454857</v>
      </c>
      <c r="K55" s="17">
        <f t="shared" si="11"/>
        <v>4632.0733987875865</v>
      </c>
      <c r="L55" s="17">
        <f t="shared" si="11"/>
        <v>5029.6229276084996</v>
      </c>
      <c r="M55" s="17">
        <f t="shared" si="11"/>
        <v>5438.0195185053999</v>
      </c>
      <c r="N55" s="17">
        <f t="shared" si="11"/>
        <v>5857.5983248611901</v>
      </c>
      <c r="O55" s="17">
        <f t="shared" si="11"/>
        <v>6288.7053295195747</v>
      </c>
      <c r="P55" s="17">
        <f t="shared" si="11"/>
        <v>6731.6976997653364</v>
      </c>
      <c r="Q55" s="17">
        <f t="shared" si="11"/>
        <v>7186.94415399227</v>
      </c>
      <c r="R55" s="17">
        <f t="shared" si="11"/>
        <v>7654.8253404439383</v>
      </c>
      <c r="S55" s="17">
        <f t="shared" si="11"/>
        <v>8135.7342284254883</v>
      </c>
      <c r="T55" s="17">
        <f t="shared" si="11"/>
        <v>8630.0765123975616</v>
      </c>
      <c r="U55" s="17">
        <f t="shared" si="11"/>
        <v>9138.2710293770269</v>
      </c>
      <c r="V55" s="17">
        <f t="shared" si="11"/>
        <v>9660.7501900834013</v>
      </c>
      <c r="W55" s="17">
        <f t="shared" si="11"/>
        <v>10197.960424283992</v>
      </c>
      <c r="X55" s="17">
        <f t="shared" si="11"/>
        <v>11225.748367521297</v>
      </c>
      <c r="Y55" s="17">
        <f t="shared" si="11"/>
        <v>11338.005851196509</v>
      </c>
      <c r="Z55" s="17">
        <f t="shared" si="11"/>
        <v>11451.385909708475</v>
      </c>
      <c r="AA55" s="17">
        <f t="shared" si="11"/>
        <v>9143.9886367302697</v>
      </c>
      <c r="AB55" s="17">
        <f t="shared" si="11"/>
        <v>6120</v>
      </c>
      <c r="AC55" s="17">
        <f t="shared" si="11"/>
        <v>6120</v>
      </c>
      <c r="AD55" s="17">
        <f t="shared" si="11"/>
        <v>6120</v>
      </c>
      <c r="AE55" s="17">
        <f t="shared" si="11"/>
        <v>6120</v>
      </c>
      <c r="AF55" s="17">
        <f t="shared" si="11"/>
        <v>6120</v>
      </c>
      <c r="AG55" s="17">
        <f t="shared" si="11"/>
        <v>6120</v>
      </c>
    </row>
    <row r="56" spans="2:33" x14ac:dyDescent="0.35">
      <c r="B56" s="10" t="s">
        <v>419</v>
      </c>
      <c r="C56" s="14">
        <f>INDEX(D56:AG56,Hypothèses!$C$44)</f>
        <v>35295.025331639656</v>
      </c>
      <c r="D56" s="17">
        <f t="shared" ref="D56:AG56" si="12">D54+D22-D55</f>
        <v>5469.2785650236719</v>
      </c>
      <c r="E56" s="17">
        <f t="shared" si="12"/>
        <v>10608.392934124615</v>
      </c>
      <c r="F56" s="17">
        <f t="shared" si="12"/>
        <v>15408.566424912769</v>
      </c>
      <c r="G56" s="17">
        <f t="shared" si="12"/>
        <v>19860.753974738269</v>
      </c>
      <c r="H56" s="17">
        <f t="shared" si="12"/>
        <v>23955.633498720352</v>
      </c>
      <c r="I56" s="17">
        <f t="shared" si="12"/>
        <v>27683.596964805518</v>
      </c>
      <c r="J56" s="17">
        <f t="shared" si="12"/>
        <v>31034.741176541134</v>
      </c>
      <c r="K56" s="17">
        <f t="shared" si="12"/>
        <v>32856.00111108688</v>
      </c>
      <c r="L56" s="17">
        <f t="shared" si="12"/>
        <v>34279.711516811716</v>
      </c>
      <c r="M56" s="17">
        <f t="shared" si="12"/>
        <v>35295.025331639656</v>
      </c>
      <c r="N56" s="17">
        <f t="shared" si="12"/>
        <v>35890.760340111803</v>
      </c>
      <c r="O56" s="17">
        <f t="shared" si="12"/>
        <v>36055.388343925566</v>
      </c>
      <c r="P56" s="17">
        <f t="shared" si="12"/>
        <v>35777.023977493562</v>
      </c>
      <c r="Q56" s="17">
        <f t="shared" si="12"/>
        <v>35043.413156834627</v>
      </c>
      <c r="R56" s="17">
        <f t="shared" si="12"/>
        <v>33841.921149724025</v>
      </c>
      <c r="S56" s="17">
        <f t="shared" si="12"/>
        <v>31826.186921298537</v>
      </c>
      <c r="T56" s="17">
        <f t="shared" si="12"/>
        <v>29316.110408900971</v>
      </c>
      <c r="U56" s="17">
        <f t="shared" si="12"/>
        <v>26297.839379523946</v>
      </c>
      <c r="V56" s="17">
        <f t="shared" si="12"/>
        <v>22757.089189440543</v>
      </c>
      <c r="W56" s="17">
        <f t="shared" si="12"/>
        <v>18679.128765156551</v>
      </c>
      <c r="X56" s="17">
        <f t="shared" si="12"/>
        <v>13573.380397635254</v>
      </c>
      <c r="Y56" s="17">
        <f t="shared" si="12"/>
        <v>8355.3745464387448</v>
      </c>
      <c r="Z56" s="17">
        <f t="shared" si="12"/>
        <v>3023.9886367302697</v>
      </c>
      <c r="AA56" s="17">
        <f t="shared" si="12"/>
        <v>0</v>
      </c>
      <c r="AB56" s="17">
        <f t="shared" si="12"/>
        <v>0</v>
      </c>
      <c r="AC56" s="17">
        <f t="shared" si="12"/>
        <v>0</v>
      </c>
      <c r="AD56" s="17">
        <f t="shared" si="12"/>
        <v>0</v>
      </c>
      <c r="AE56" s="17">
        <f t="shared" si="12"/>
        <v>0</v>
      </c>
      <c r="AF56" s="17">
        <f t="shared" si="12"/>
        <v>0</v>
      </c>
      <c r="AG56" s="17">
        <f t="shared" si="12"/>
        <v>0</v>
      </c>
    </row>
    <row r="57" spans="2:33" x14ac:dyDescent="0.35">
      <c r="B57" s="10" t="s">
        <v>420</v>
      </c>
      <c r="D57" s="17">
        <f>0</f>
        <v>0</v>
      </c>
      <c r="E57" s="17">
        <f t="shared" ref="E57:AG57" si="13">D60</f>
        <v>0</v>
      </c>
      <c r="F57" s="17">
        <f t="shared" si="13"/>
        <v>0</v>
      </c>
      <c r="G57" s="17">
        <f t="shared" si="13"/>
        <v>0</v>
      </c>
      <c r="H57" s="17">
        <f t="shared" si="13"/>
        <v>0</v>
      </c>
      <c r="I57" s="17">
        <f t="shared" si="13"/>
        <v>0</v>
      </c>
      <c r="J57" s="17">
        <f t="shared" si="13"/>
        <v>0</v>
      </c>
      <c r="K57" s="17">
        <f t="shared" si="13"/>
        <v>0</v>
      </c>
      <c r="L57" s="17">
        <f t="shared" si="13"/>
        <v>0</v>
      </c>
      <c r="M57" s="17">
        <f t="shared" si="13"/>
        <v>0</v>
      </c>
      <c r="N57" s="17">
        <f t="shared" si="13"/>
        <v>0</v>
      </c>
      <c r="O57" s="17">
        <f t="shared" si="13"/>
        <v>0</v>
      </c>
      <c r="P57" s="17">
        <f t="shared" si="13"/>
        <v>0</v>
      </c>
      <c r="Q57" s="17">
        <f t="shared" si="13"/>
        <v>0</v>
      </c>
      <c r="R57" s="17">
        <f t="shared" si="13"/>
        <v>0</v>
      </c>
      <c r="S57" s="17">
        <f t="shared" si="13"/>
        <v>0</v>
      </c>
      <c r="T57" s="17">
        <f t="shared" si="13"/>
        <v>0</v>
      </c>
      <c r="U57" s="17">
        <f t="shared" si="13"/>
        <v>0</v>
      </c>
      <c r="V57" s="17">
        <f t="shared" si="13"/>
        <v>0</v>
      </c>
      <c r="W57" s="17">
        <f t="shared" si="13"/>
        <v>0</v>
      </c>
      <c r="X57" s="17">
        <f t="shared" si="13"/>
        <v>0</v>
      </c>
      <c r="Y57" s="17">
        <f t="shared" si="13"/>
        <v>0</v>
      </c>
      <c r="Z57" s="17">
        <f t="shared" si="13"/>
        <v>0</v>
      </c>
      <c r="AA57" s="17">
        <f t="shared" si="13"/>
        <v>0</v>
      </c>
      <c r="AB57" s="17">
        <f t="shared" si="13"/>
        <v>0</v>
      </c>
      <c r="AC57" s="17">
        <f t="shared" si="13"/>
        <v>0</v>
      </c>
      <c r="AD57" s="17">
        <f t="shared" si="13"/>
        <v>0</v>
      </c>
      <c r="AE57" s="17">
        <f t="shared" si="13"/>
        <v>0</v>
      </c>
      <c r="AF57" s="17">
        <f t="shared" si="13"/>
        <v>0</v>
      </c>
      <c r="AG57" s="17">
        <f t="shared" si="13"/>
        <v>0</v>
      </c>
    </row>
    <row r="58" spans="2:33" x14ac:dyDescent="0.35">
      <c r="B58" s="10" t="s">
        <v>421</v>
      </c>
      <c r="C58" s="14">
        <f>SUMPRODUCT((D$6:AG$6&lt;=Hypothèses!$C$44)*(D58:AG58))</f>
        <v>0</v>
      </c>
      <c r="D58" s="17">
        <f t="shared" ref="D58:AG58" si="14">MAX(0,-D53)</f>
        <v>0</v>
      </c>
      <c r="E58" s="17">
        <f t="shared" si="14"/>
        <v>0</v>
      </c>
      <c r="F58" s="17">
        <f t="shared" si="14"/>
        <v>0</v>
      </c>
      <c r="G58" s="17">
        <f t="shared" si="14"/>
        <v>0</v>
      </c>
      <c r="H58" s="17">
        <f t="shared" si="14"/>
        <v>0</v>
      </c>
      <c r="I58" s="17">
        <f t="shared" si="14"/>
        <v>0</v>
      </c>
      <c r="J58" s="17">
        <f t="shared" si="14"/>
        <v>0</v>
      </c>
      <c r="K58" s="17">
        <f t="shared" si="14"/>
        <v>0</v>
      </c>
      <c r="L58" s="17">
        <f t="shared" si="14"/>
        <v>0</v>
      </c>
      <c r="M58" s="17">
        <f t="shared" si="14"/>
        <v>0</v>
      </c>
      <c r="N58" s="17">
        <f t="shared" si="14"/>
        <v>0</v>
      </c>
      <c r="O58" s="17">
        <f t="shared" si="14"/>
        <v>0</v>
      </c>
      <c r="P58" s="17">
        <f t="shared" si="14"/>
        <v>0</v>
      </c>
      <c r="Q58" s="17">
        <f t="shared" si="14"/>
        <v>0</v>
      </c>
      <c r="R58" s="17">
        <f t="shared" si="14"/>
        <v>0</v>
      </c>
      <c r="S58" s="17">
        <f t="shared" si="14"/>
        <v>0</v>
      </c>
      <c r="T58" s="17">
        <f t="shared" si="14"/>
        <v>0</v>
      </c>
      <c r="U58" s="17">
        <f t="shared" si="14"/>
        <v>0</v>
      </c>
      <c r="V58" s="17">
        <f t="shared" si="14"/>
        <v>0</v>
      </c>
      <c r="W58" s="17">
        <f t="shared" si="14"/>
        <v>0</v>
      </c>
      <c r="X58" s="17">
        <f t="shared" si="14"/>
        <v>0</v>
      </c>
      <c r="Y58" s="17">
        <f t="shared" si="14"/>
        <v>0</v>
      </c>
      <c r="Z58" s="17">
        <f t="shared" si="14"/>
        <v>0</v>
      </c>
      <c r="AA58" s="17">
        <f t="shared" si="14"/>
        <v>0</v>
      </c>
      <c r="AB58" s="17">
        <f t="shared" si="14"/>
        <v>0</v>
      </c>
      <c r="AC58" s="17">
        <f t="shared" si="14"/>
        <v>0</v>
      </c>
      <c r="AD58" s="17">
        <f t="shared" si="14"/>
        <v>0</v>
      </c>
      <c r="AE58" s="17">
        <f t="shared" si="14"/>
        <v>0</v>
      </c>
      <c r="AF58" s="17">
        <f t="shared" si="14"/>
        <v>0</v>
      </c>
      <c r="AG58" s="17">
        <f t="shared" si="14"/>
        <v>0</v>
      </c>
    </row>
    <row r="59" spans="2:33" x14ac:dyDescent="0.35">
      <c r="B59" s="10" t="s">
        <v>422</v>
      </c>
      <c r="C59" s="14">
        <f>SUMPRODUCT((D$6:AG$6&lt;=Hypothèses!$C$44)*(D59:AG59))</f>
        <v>0</v>
      </c>
      <c r="D59" s="17">
        <f t="shared" ref="D59:AG59" si="15">MIN(D57,MAX(0,D53)-D55)</f>
        <v>0</v>
      </c>
      <c r="E59" s="17">
        <f t="shared" si="15"/>
        <v>0</v>
      </c>
      <c r="F59" s="17">
        <f t="shared" si="15"/>
        <v>0</v>
      </c>
      <c r="G59" s="17">
        <f t="shared" si="15"/>
        <v>0</v>
      </c>
      <c r="H59" s="17">
        <f t="shared" si="15"/>
        <v>0</v>
      </c>
      <c r="I59" s="17">
        <f t="shared" si="15"/>
        <v>0</v>
      </c>
      <c r="J59" s="17">
        <f t="shared" si="15"/>
        <v>0</v>
      </c>
      <c r="K59" s="17">
        <f t="shared" si="15"/>
        <v>0</v>
      </c>
      <c r="L59" s="17">
        <f t="shared" si="15"/>
        <v>0</v>
      </c>
      <c r="M59" s="17">
        <f t="shared" si="15"/>
        <v>0</v>
      </c>
      <c r="N59" s="17">
        <f t="shared" si="15"/>
        <v>0</v>
      </c>
      <c r="O59" s="17">
        <f t="shared" si="15"/>
        <v>0</v>
      </c>
      <c r="P59" s="17">
        <f t="shared" si="15"/>
        <v>0</v>
      </c>
      <c r="Q59" s="17">
        <f t="shared" si="15"/>
        <v>0</v>
      </c>
      <c r="R59" s="17">
        <f t="shared" si="15"/>
        <v>0</v>
      </c>
      <c r="S59" s="17">
        <f t="shared" si="15"/>
        <v>0</v>
      </c>
      <c r="T59" s="17">
        <f t="shared" si="15"/>
        <v>0</v>
      </c>
      <c r="U59" s="17">
        <f t="shared" si="15"/>
        <v>0</v>
      </c>
      <c r="V59" s="17">
        <f t="shared" si="15"/>
        <v>0</v>
      </c>
      <c r="W59" s="17">
        <f t="shared" si="15"/>
        <v>0</v>
      </c>
      <c r="X59" s="17">
        <f t="shared" si="15"/>
        <v>0</v>
      </c>
      <c r="Y59" s="17">
        <f t="shared" si="15"/>
        <v>0</v>
      </c>
      <c r="Z59" s="17">
        <f t="shared" si="15"/>
        <v>0</v>
      </c>
      <c r="AA59" s="17">
        <f t="shared" si="15"/>
        <v>0</v>
      </c>
      <c r="AB59" s="17">
        <f t="shared" si="15"/>
        <v>0</v>
      </c>
      <c r="AC59" s="17">
        <f t="shared" si="15"/>
        <v>0</v>
      </c>
      <c r="AD59" s="17">
        <f t="shared" si="15"/>
        <v>0</v>
      </c>
      <c r="AE59" s="17">
        <f t="shared" si="15"/>
        <v>0</v>
      </c>
      <c r="AF59" s="17">
        <f t="shared" si="15"/>
        <v>0</v>
      </c>
      <c r="AG59" s="17">
        <f t="shared" si="15"/>
        <v>0</v>
      </c>
    </row>
    <row r="60" spans="2:33" x14ac:dyDescent="0.35">
      <c r="B60" s="10" t="s">
        <v>423</v>
      </c>
      <c r="C60" s="14">
        <f>INDEX(D60:AG60,Hypothèses!$C$44)</f>
        <v>0</v>
      </c>
      <c r="D60" s="17">
        <f t="shared" ref="D60:AG60" si="16">D57+D58-D59</f>
        <v>0</v>
      </c>
      <c r="E60" s="17">
        <f t="shared" si="16"/>
        <v>0</v>
      </c>
      <c r="F60" s="17">
        <f t="shared" si="16"/>
        <v>0</v>
      </c>
      <c r="G60" s="17">
        <f t="shared" si="16"/>
        <v>0</v>
      </c>
      <c r="H60" s="17">
        <f t="shared" si="16"/>
        <v>0</v>
      </c>
      <c r="I60" s="17">
        <f t="shared" si="16"/>
        <v>0</v>
      </c>
      <c r="J60" s="17">
        <f t="shared" si="16"/>
        <v>0</v>
      </c>
      <c r="K60" s="17">
        <f t="shared" si="16"/>
        <v>0</v>
      </c>
      <c r="L60" s="17">
        <f t="shared" si="16"/>
        <v>0</v>
      </c>
      <c r="M60" s="17">
        <f t="shared" si="16"/>
        <v>0</v>
      </c>
      <c r="N60" s="17">
        <f t="shared" si="16"/>
        <v>0</v>
      </c>
      <c r="O60" s="17">
        <f t="shared" si="16"/>
        <v>0</v>
      </c>
      <c r="P60" s="17">
        <f t="shared" si="16"/>
        <v>0</v>
      </c>
      <c r="Q60" s="17">
        <f t="shared" si="16"/>
        <v>0</v>
      </c>
      <c r="R60" s="17">
        <f t="shared" si="16"/>
        <v>0</v>
      </c>
      <c r="S60" s="17">
        <f t="shared" si="16"/>
        <v>0</v>
      </c>
      <c r="T60" s="17">
        <f t="shared" si="16"/>
        <v>0</v>
      </c>
      <c r="U60" s="17">
        <f t="shared" si="16"/>
        <v>0</v>
      </c>
      <c r="V60" s="17">
        <f t="shared" si="16"/>
        <v>0</v>
      </c>
      <c r="W60" s="17">
        <f t="shared" si="16"/>
        <v>0</v>
      </c>
      <c r="X60" s="17">
        <f t="shared" si="16"/>
        <v>0</v>
      </c>
      <c r="Y60" s="17">
        <f t="shared" si="16"/>
        <v>0</v>
      </c>
      <c r="Z60" s="17">
        <f t="shared" si="16"/>
        <v>0</v>
      </c>
      <c r="AA60" s="17">
        <f t="shared" si="16"/>
        <v>0</v>
      </c>
      <c r="AB60" s="17">
        <f t="shared" si="16"/>
        <v>0</v>
      </c>
      <c r="AC60" s="17">
        <f t="shared" si="16"/>
        <v>0</v>
      </c>
      <c r="AD60" s="17">
        <f t="shared" si="16"/>
        <v>0</v>
      </c>
      <c r="AE60" s="17">
        <f t="shared" si="16"/>
        <v>0</v>
      </c>
      <c r="AF60" s="17">
        <f t="shared" si="16"/>
        <v>0</v>
      </c>
      <c r="AG60" s="17">
        <f t="shared" si="16"/>
        <v>0</v>
      </c>
    </row>
    <row r="61" spans="2:33" x14ac:dyDescent="0.35">
      <c r="B61" s="10" t="s">
        <v>424</v>
      </c>
      <c r="C61" s="14">
        <f>SUMPRODUCT((D$6:AG$6&lt;=Hypothèses!$C$44)*(D61:AG61))</f>
        <v>0</v>
      </c>
      <c r="D61" s="17">
        <f t="shared" ref="D61:AG61" si="17">MAX(0,D53)-D55-D59</f>
        <v>0</v>
      </c>
      <c r="E61" s="17">
        <f t="shared" si="17"/>
        <v>0</v>
      </c>
      <c r="F61" s="17">
        <f t="shared" si="17"/>
        <v>0</v>
      </c>
      <c r="G61" s="17">
        <f t="shared" si="17"/>
        <v>0</v>
      </c>
      <c r="H61" s="17">
        <f t="shared" si="17"/>
        <v>0</v>
      </c>
      <c r="I61" s="17">
        <f t="shared" si="17"/>
        <v>0</v>
      </c>
      <c r="J61" s="17">
        <f t="shared" si="17"/>
        <v>0</v>
      </c>
      <c r="K61" s="17">
        <f t="shared" si="17"/>
        <v>0</v>
      </c>
      <c r="L61" s="17">
        <f t="shared" si="17"/>
        <v>0</v>
      </c>
      <c r="M61" s="17">
        <f t="shared" si="17"/>
        <v>0</v>
      </c>
      <c r="N61" s="17">
        <f t="shared" si="17"/>
        <v>0</v>
      </c>
      <c r="O61" s="17">
        <f t="shared" si="17"/>
        <v>0</v>
      </c>
      <c r="P61" s="17">
        <f t="shared" si="17"/>
        <v>0</v>
      </c>
      <c r="Q61" s="17">
        <f t="shared" si="17"/>
        <v>0</v>
      </c>
      <c r="R61" s="17">
        <f t="shared" si="17"/>
        <v>0</v>
      </c>
      <c r="S61" s="17">
        <f t="shared" si="17"/>
        <v>0</v>
      </c>
      <c r="T61" s="17">
        <f t="shared" si="17"/>
        <v>0</v>
      </c>
      <c r="U61" s="17">
        <f t="shared" si="17"/>
        <v>0</v>
      </c>
      <c r="V61" s="17">
        <f t="shared" si="17"/>
        <v>0</v>
      </c>
      <c r="W61" s="17">
        <f t="shared" si="17"/>
        <v>0</v>
      </c>
      <c r="X61" s="17">
        <f t="shared" si="17"/>
        <v>0</v>
      </c>
      <c r="Y61" s="17">
        <f t="shared" si="17"/>
        <v>0</v>
      </c>
      <c r="Z61" s="17">
        <f t="shared" si="17"/>
        <v>0</v>
      </c>
      <c r="AA61" s="17">
        <f t="shared" si="17"/>
        <v>2421.9111320752909</v>
      </c>
      <c r="AB61" s="17">
        <f t="shared" si="17"/>
        <v>5561.5587664936174</v>
      </c>
      <c r="AC61" s="17">
        <f t="shared" si="17"/>
        <v>5678.3743541585536</v>
      </c>
      <c r="AD61" s="17">
        <f t="shared" si="17"/>
        <v>5796.358097700142</v>
      </c>
      <c r="AE61" s="17">
        <f t="shared" si="17"/>
        <v>5915.5216786771398</v>
      </c>
      <c r="AF61" s="17">
        <f t="shared" si="17"/>
        <v>6035.8768954639108</v>
      </c>
      <c r="AG61" s="17">
        <f t="shared" si="17"/>
        <v>6157.43566441855</v>
      </c>
    </row>
    <row r="62" spans="2:33" x14ac:dyDescent="0.35">
      <c r="B62" s="10" t="s">
        <v>396</v>
      </c>
      <c r="C62" s="14">
        <f>SUMPRODUCT((D$6:AG$6&lt;=Hypothèses!$C$44)*(D62:AG62))</f>
        <v>0</v>
      </c>
      <c r="D62" s="14">
        <f>D61*(Hypothèses!$C$36+Paramètres!$C$9)</f>
        <v>0</v>
      </c>
      <c r="E62" s="14">
        <f>E61*(Hypothèses!$C$36+Paramètres!$C$9)</f>
        <v>0</v>
      </c>
      <c r="F62" s="14">
        <f>F61*(Hypothèses!$C$36+Paramètres!$C$9)</f>
        <v>0</v>
      </c>
      <c r="G62" s="14">
        <f>G61*(Hypothèses!$C$36+Paramètres!$C$9)</f>
        <v>0</v>
      </c>
      <c r="H62" s="14">
        <f>H61*(Hypothèses!$C$36+Paramètres!$C$9)</f>
        <v>0</v>
      </c>
      <c r="I62" s="14">
        <f>I61*(Hypothèses!$C$36+Paramètres!$C$9)</f>
        <v>0</v>
      </c>
      <c r="J62" s="14">
        <f>J61*(Hypothèses!$C$36+Paramètres!$C$9)</f>
        <v>0</v>
      </c>
      <c r="K62" s="14">
        <f>K61*(Hypothèses!$C$36+Paramètres!$C$9)</f>
        <v>0</v>
      </c>
      <c r="L62" s="14">
        <f>L61*(Hypothèses!$C$36+Paramètres!$C$9)</f>
        <v>0</v>
      </c>
      <c r="M62" s="14">
        <f>M61*(Hypothèses!$C$36+Paramètres!$C$9)</f>
        <v>0</v>
      </c>
      <c r="N62" s="14">
        <f>N61*(Hypothèses!$C$36+Paramètres!$C$9)</f>
        <v>0</v>
      </c>
      <c r="O62" s="14">
        <f>O61*(Hypothèses!$C$36+Paramètres!$C$9)</f>
        <v>0</v>
      </c>
      <c r="P62" s="14">
        <f>P61*(Hypothèses!$C$36+Paramètres!$C$9)</f>
        <v>0</v>
      </c>
      <c r="Q62" s="14">
        <f>Q61*(Hypothèses!$C$36+Paramètres!$C$9)</f>
        <v>0</v>
      </c>
      <c r="R62" s="14">
        <f>R61*(Hypothèses!$C$36+Paramètres!$C$9)</f>
        <v>0</v>
      </c>
      <c r="S62" s="14">
        <f>S61*(Hypothèses!$C$36+Paramètres!$C$9)</f>
        <v>0</v>
      </c>
      <c r="T62" s="14">
        <f>T61*(Hypothèses!$C$36+Paramètres!$C$9)</f>
        <v>0</v>
      </c>
      <c r="U62" s="14">
        <f>U61*(Hypothèses!$C$36+Paramètres!$C$9)</f>
        <v>0</v>
      </c>
      <c r="V62" s="14">
        <f>V61*(Hypothèses!$C$36+Paramètres!$C$9)</f>
        <v>0</v>
      </c>
      <c r="W62" s="14">
        <f>W61*(Hypothèses!$C$36+Paramètres!$C$9)</f>
        <v>0</v>
      </c>
      <c r="X62" s="14">
        <f>X61*(Hypothèses!$C$36+Paramètres!$C$9)</f>
        <v>0</v>
      </c>
      <c r="Y62" s="14">
        <f>Y61*(Hypothèses!$C$36+Paramètres!$C$9)</f>
        <v>0</v>
      </c>
      <c r="Z62" s="14">
        <f>Z61*(Hypothèses!$C$36+Paramètres!$C$9)</f>
        <v>0</v>
      </c>
      <c r="AA62" s="14">
        <f>AA61*(Hypothèses!$C$36+Paramètres!$C$9)</f>
        <v>1177.0488101885912</v>
      </c>
      <c r="AB62" s="14">
        <f>AB61*(Hypothèses!$C$36+Paramètres!$C$9)</f>
        <v>2702.917560515898</v>
      </c>
      <c r="AC62" s="14">
        <f>AC61*(Hypothèses!$C$36+Paramètres!$C$9)</f>
        <v>2759.6899361210571</v>
      </c>
      <c r="AD62" s="14">
        <f>AD61*(Hypothèses!$C$36+Paramètres!$C$9)</f>
        <v>2817.0300354822689</v>
      </c>
      <c r="AE62" s="14">
        <f>AE61*(Hypothèses!$C$36+Paramètres!$C$9)</f>
        <v>2874.9435358370897</v>
      </c>
      <c r="AF62" s="14">
        <f>AF61*(Hypothèses!$C$36+Paramètres!$C$9)</f>
        <v>2933.4361711954607</v>
      </c>
      <c r="AG62" s="14">
        <f>AG61*(Hypothèses!$C$36+Paramètres!$C$9)</f>
        <v>2992.513732907415</v>
      </c>
    </row>
    <row r="63" spans="2:33" x14ac:dyDescent="0.35">
      <c r="B63" s="10" t="s">
        <v>425</v>
      </c>
      <c r="D63" s="28">
        <f>IF(D22&gt;0,(D19+D20)/D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E63" s="28">
        <f>IF(E22&gt;0,(E19+E20)/E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F63" s="28">
        <f>IF(F22&gt;0,(F19+F20)/F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G63" s="28">
        <f>IF(G22&gt;0,(G19+G20)/G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H63" s="28">
        <f>IF(H22&gt;0,(H19+H20)/H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I63" s="28">
        <f>IF(I22&gt;0,(I19+I20)/I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J63" s="28">
        <f>IF(J22&gt;0,(J19+J20)/J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K63" s="28">
        <f>IF(K22&gt;0,(K19+K20)/K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L63" s="28">
        <f>IF(L22&gt;0,(L19+L20)/L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M63" s="28">
        <f>IF(M22&gt;0,(M19+M20)/M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N63" s="28">
        <f>IF(N22&gt;0,(N19+N20)/N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O63" s="28">
        <f>IF(O22&gt;0,(O19+O20)/O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P63" s="28">
        <f>IF(P22&gt;0,(P19+P20)/P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Q63" s="28">
        <f>IF(Q22&gt;0,(Q19+Q20)/Q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R63" s="28">
        <f>IF(R22&gt;0,(R19+R20)/R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S63" s="28">
        <f>IF(S22&gt;0,(S19+S20)/S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T63" s="28">
        <f>IF(T22&gt;0,(T19+T20)/T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U63" s="28">
        <f>IF(U22&gt;0,(U19+U20)/U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V63" s="28">
        <f>IF(V22&gt;0,(V19+V20)/V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W63" s="28">
        <f>IF(W22&gt;0,(W19+W20)/W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X63" s="28">
        <f>IF(X22&gt;0,(X19+X20)/X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Y63" s="28">
        <f>IF(Y22&gt;0,(Y19+Y20)/Y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Z63" s="28">
        <f>IF(Z22&gt;0,(Z19+Z20)/Z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A63" s="28">
        <f>IF(AA22&gt;0,(AA19+AA20)/AA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B63" s="28">
        <f>IF(AB22&gt;0,(AB19+AB20)/AB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C63" s="28">
        <f>IF(AC22&gt;0,(AC19+AC20)/AC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D63" s="28">
        <f>IF(AD22&gt;0,(AD19+AD20)/AD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E63" s="28">
        <f>IF(AE22&gt;0,(AE19+AE20)/AE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F63" s="28">
        <f>IF(AF22&gt;0,(AF19+AF20)/AF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G63" s="28">
        <f>IF(AG22&gt;0,(AG19+AG20)/AG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row>
    <row r="64" spans="2:33" x14ac:dyDescent="0.35">
      <c r="B64" s="10" t="s">
        <v>426</v>
      </c>
      <c r="C64" s="14">
        <f>SUMPRODUCT((D$6:AG$6&lt;=Hypothèses!$C$44)*(D64:AG64))</f>
        <v>33907.526834673801</v>
      </c>
      <c r="D64" s="17">
        <f t="shared" ref="D64:AG64" si="18">D55*D63</f>
        <v>1806.9151341607653</v>
      </c>
      <c r="E64" s="17">
        <f t="shared" si="18"/>
        <v>2087.4056797440676</v>
      </c>
      <c r="F64" s="17">
        <f t="shared" si="18"/>
        <v>2375.3524439676694</v>
      </c>
      <c r="G64" s="17">
        <f t="shared" si="18"/>
        <v>2670.9834289178912</v>
      </c>
      <c r="H64" s="17">
        <f t="shared" si="18"/>
        <v>2974.533978455876</v>
      </c>
      <c r="I64" s="17">
        <f t="shared" si="18"/>
        <v>3286.2470186150449</v>
      </c>
      <c r="J64" s="17">
        <f t="shared" si="18"/>
        <v>3606.3733059109968</v>
      </c>
      <c r="K64" s="17">
        <f t="shared" si="18"/>
        <v>4632.0733987875865</v>
      </c>
      <c r="L64" s="17">
        <f t="shared" si="18"/>
        <v>5029.6229276084996</v>
      </c>
      <c r="M64" s="17">
        <f t="shared" si="18"/>
        <v>5438.0195185053999</v>
      </c>
      <c r="N64" s="17">
        <f t="shared" si="18"/>
        <v>5857.5983248611901</v>
      </c>
      <c r="O64" s="17">
        <f t="shared" si="18"/>
        <v>6288.7053295195747</v>
      </c>
      <c r="P64" s="17">
        <f t="shared" si="18"/>
        <v>6731.6976997653364</v>
      </c>
      <c r="Q64" s="17">
        <f t="shared" si="18"/>
        <v>7186.94415399227</v>
      </c>
      <c r="R64" s="17">
        <f t="shared" si="18"/>
        <v>7654.8253404439383</v>
      </c>
      <c r="S64" s="17">
        <f t="shared" si="18"/>
        <v>8135.7342284254883</v>
      </c>
      <c r="T64" s="17">
        <f t="shared" si="18"/>
        <v>8630.0765123975616</v>
      </c>
      <c r="U64" s="17">
        <f t="shared" si="18"/>
        <v>9138.2710293770269</v>
      </c>
      <c r="V64" s="17">
        <f t="shared" si="18"/>
        <v>9660.7501900834013</v>
      </c>
      <c r="W64" s="17">
        <f t="shared" si="18"/>
        <v>10197.960424283992</v>
      </c>
      <c r="X64" s="17">
        <f t="shared" si="18"/>
        <v>11225.748367521297</v>
      </c>
      <c r="Y64" s="17">
        <f t="shared" si="18"/>
        <v>11338.005851196509</v>
      </c>
      <c r="Z64" s="17">
        <f t="shared" si="18"/>
        <v>11451.385909708475</v>
      </c>
      <c r="AA64" s="17">
        <f t="shared" si="18"/>
        <v>9143.9886367302697</v>
      </c>
      <c r="AB64" s="17">
        <f t="shared" si="18"/>
        <v>6120</v>
      </c>
      <c r="AC64" s="17">
        <f t="shared" si="18"/>
        <v>6120</v>
      </c>
      <c r="AD64" s="17">
        <f t="shared" si="18"/>
        <v>6120</v>
      </c>
      <c r="AE64" s="17">
        <f t="shared" si="18"/>
        <v>6120</v>
      </c>
      <c r="AF64" s="17">
        <f t="shared" si="18"/>
        <v>6120</v>
      </c>
      <c r="AG64" s="17">
        <f t="shared" si="18"/>
        <v>6120</v>
      </c>
    </row>
    <row r="65" spans="2:33" x14ac:dyDescent="0.35">
      <c r="B65" s="10" t="s">
        <v>397</v>
      </c>
      <c r="C65" s="14">
        <f>SUMPRODUCT((D$6:AG$6&lt;=Hypothèses!$C$44)*(D65:AG65))</f>
        <v>0</v>
      </c>
      <c r="D65" s="17">
        <f>0</f>
        <v>0</v>
      </c>
      <c r="E65" s="17">
        <f>IF(Hypothèses!$C$53=Paramètres!$C$33,MAX(0,D61)*Paramètres!$C$10*Hypothèses!$C$36,0)</f>
        <v>0</v>
      </c>
      <c r="F65" s="17">
        <f>IF(Hypothèses!$C$53=Paramètres!$C$33,MAX(0,E61)*Paramètres!$C$10*Hypothèses!$C$36,0)</f>
        <v>0</v>
      </c>
      <c r="G65" s="17">
        <f>IF(Hypothèses!$C$53=Paramètres!$C$33,MAX(0,F61)*Paramètres!$C$10*Hypothèses!$C$36,0)</f>
        <v>0</v>
      </c>
      <c r="H65" s="17">
        <f>IF(Hypothèses!$C$53=Paramètres!$C$33,MAX(0,G61)*Paramètres!$C$10*Hypothèses!$C$36,0)</f>
        <v>0</v>
      </c>
      <c r="I65" s="17">
        <f>IF(Hypothèses!$C$53=Paramètres!$C$33,MAX(0,H61)*Paramètres!$C$10*Hypothèses!$C$36,0)</f>
        <v>0</v>
      </c>
      <c r="J65" s="17">
        <f>IF(Hypothèses!$C$53=Paramètres!$C$33,MAX(0,I61)*Paramètres!$C$10*Hypothèses!$C$36,0)</f>
        <v>0</v>
      </c>
      <c r="K65" s="17">
        <f>IF(Hypothèses!$C$53=Paramètres!$C$33,MAX(0,J61)*Paramètres!$C$10*Hypothèses!$C$36,0)</f>
        <v>0</v>
      </c>
      <c r="L65" s="17">
        <f>IF(Hypothèses!$C$53=Paramètres!$C$33,MAX(0,K61)*Paramètres!$C$10*Hypothèses!$C$36,0)</f>
        <v>0</v>
      </c>
      <c r="M65" s="17">
        <f>IF(Hypothèses!$C$53=Paramètres!$C$33,MAX(0,L61)*Paramètres!$C$10*Hypothèses!$C$36,0)</f>
        <v>0</v>
      </c>
      <c r="N65" s="17">
        <f>IF(Hypothèses!$C$53=Paramètres!$C$33,MAX(0,M61)*Paramètres!$C$10*Hypothèses!$C$36,0)</f>
        <v>0</v>
      </c>
      <c r="O65" s="17">
        <f>IF(Hypothèses!$C$53=Paramètres!$C$33,MAX(0,N61)*Paramètres!$C$10*Hypothèses!$C$36,0)</f>
        <v>0</v>
      </c>
      <c r="P65" s="17">
        <f>IF(Hypothèses!$C$53=Paramètres!$C$33,MAX(0,O61)*Paramètres!$C$10*Hypothèses!$C$36,0)</f>
        <v>0</v>
      </c>
      <c r="Q65" s="17">
        <f>IF(Hypothèses!$C$53=Paramètres!$C$33,MAX(0,P61)*Paramètres!$C$10*Hypothèses!$C$36,0)</f>
        <v>0</v>
      </c>
      <c r="R65" s="17">
        <f>IF(Hypothèses!$C$53=Paramètres!$C$33,MAX(0,Q61)*Paramètres!$C$10*Hypothèses!$C$36,0)</f>
        <v>0</v>
      </c>
      <c r="S65" s="17">
        <f>IF(Hypothèses!$C$53=Paramètres!$C$33,MAX(0,R61)*Paramètres!$C$10*Hypothèses!$C$36,0)</f>
        <v>0</v>
      </c>
      <c r="T65" s="17">
        <f>IF(Hypothèses!$C$53=Paramètres!$C$33,MAX(0,S61)*Paramètres!$C$10*Hypothèses!$C$36,0)</f>
        <v>0</v>
      </c>
      <c r="U65" s="17">
        <f>IF(Hypothèses!$C$53=Paramètres!$C$33,MAX(0,T61)*Paramètres!$C$10*Hypothèses!$C$36,0)</f>
        <v>0</v>
      </c>
      <c r="V65" s="17">
        <f>IF(Hypothèses!$C$53=Paramètres!$C$33,MAX(0,U61)*Paramètres!$C$10*Hypothèses!$C$36,0)</f>
        <v>0</v>
      </c>
      <c r="W65" s="17">
        <f>IF(Hypothèses!$C$53=Paramètres!$C$33,MAX(0,V61)*Paramètres!$C$10*Hypothèses!$C$36,0)</f>
        <v>0</v>
      </c>
      <c r="X65" s="17">
        <f>IF(Hypothèses!$C$53=Paramètres!$C$33,MAX(0,W61)*Paramètres!$C$10*Hypothèses!$C$36,0)</f>
        <v>0</v>
      </c>
      <c r="Y65" s="17">
        <f>IF(Hypothèses!$C$53=Paramètres!$C$33,MAX(0,X61)*Paramètres!$C$10*Hypothèses!$C$36,0)</f>
        <v>0</v>
      </c>
      <c r="Z65" s="17">
        <f>IF(Hypothèses!$C$53=Paramètres!$C$33,MAX(0,Y61)*Paramètres!$C$10*Hypothèses!$C$36,0)</f>
        <v>0</v>
      </c>
      <c r="AA65" s="17">
        <f>IF(Hypothèses!$C$53=Paramètres!$C$33,MAX(0,Z61)*Paramètres!$C$10*Hypothèses!$C$36,0)</f>
        <v>0</v>
      </c>
      <c r="AB65" s="17">
        <f>IF(Hypothèses!$C$53=Paramètres!$C$33,MAX(0,AA61)*Paramètres!$C$10*Hypothèses!$C$36,0)</f>
        <v>0</v>
      </c>
      <c r="AC65" s="17">
        <f>IF(Hypothèses!$C$53=Paramètres!$C$33,MAX(0,AB61)*Paramètres!$C$10*Hypothèses!$C$36,0)</f>
        <v>0</v>
      </c>
      <c r="AD65" s="17">
        <f>IF(Hypothèses!$C$53=Paramètres!$C$33,MAX(0,AC61)*Paramètres!$C$10*Hypothèses!$C$36,0)</f>
        <v>0</v>
      </c>
      <c r="AE65" s="17">
        <f>IF(Hypothèses!$C$53=Paramètres!$C$33,MAX(0,AD61)*Paramètres!$C$10*Hypothèses!$C$36,0)</f>
        <v>0</v>
      </c>
      <c r="AF65" s="17">
        <f>IF(Hypothèses!$C$53=Paramètres!$C$33,MAX(0,AE61)*Paramètres!$C$10*Hypothèses!$C$36,0)</f>
        <v>0</v>
      </c>
      <c r="AG65" s="17">
        <f>IF(Hypothèses!$C$53=Paramètres!$C$33,MAX(0,AF61)*Paramètres!$C$10*Hypothèses!$C$36,0)</f>
        <v>0</v>
      </c>
    </row>
    <row r="66" spans="2:33" x14ac:dyDescent="0.35">
      <c r="B66" s="13" t="s">
        <v>427</v>
      </c>
      <c r="C66" s="14">
        <f>SUMPRODUCT((D$6:AG$6&lt;=Hypothèses!$C$44)*(D66:AG66))</f>
        <v>-46674.627380334874</v>
      </c>
      <c r="D66" s="14">
        <f t="shared" ref="D66:AG66" si="19">D9-D10-D11-D12-D17-D62+D65</f>
        <v>-5092.6982758643026</v>
      </c>
      <c r="E66" s="14">
        <f t="shared" si="19"/>
        <v>-5000.6982758643026</v>
      </c>
      <c r="F66" s="14">
        <f t="shared" si="19"/>
        <v>-4907.7782758643025</v>
      </c>
      <c r="G66" s="14">
        <f t="shared" si="19"/>
        <v>-4813.9290758643037</v>
      </c>
      <c r="H66" s="14">
        <f t="shared" si="19"/>
        <v>-4719.141383864302</v>
      </c>
      <c r="I66" s="14">
        <f t="shared" si="19"/>
        <v>-4623.4058149443044</v>
      </c>
      <c r="J66" s="14">
        <f t="shared" si="19"/>
        <v>-4526.7128903351022</v>
      </c>
      <c r="K66" s="14">
        <f t="shared" si="19"/>
        <v>-4429.0530364798105</v>
      </c>
      <c r="L66" s="14">
        <f t="shared" si="19"/>
        <v>-4330.4165840859623</v>
      </c>
      <c r="M66" s="14">
        <f t="shared" si="19"/>
        <v>-4230.7937671681811</v>
      </c>
      <c r="N66" s="14">
        <f t="shared" si="19"/>
        <v>-4130.1747220812213</v>
      </c>
      <c r="O66" s="14">
        <f t="shared" si="19"/>
        <v>-4028.5494865433884</v>
      </c>
      <c r="P66" s="14">
        <f t="shared" si="19"/>
        <v>-3925.907998650182</v>
      </c>
      <c r="Q66" s="14">
        <f t="shared" si="19"/>
        <v>-3822.2400958780381</v>
      </c>
      <c r="R66" s="14">
        <f t="shared" si="19"/>
        <v>-3717.5355140781758</v>
      </c>
      <c r="S66" s="14">
        <f t="shared" si="19"/>
        <v>-3611.7838864603164</v>
      </c>
      <c r="T66" s="14">
        <f t="shared" si="19"/>
        <v>-3504.9747425662717</v>
      </c>
      <c r="U66" s="14">
        <f t="shared" si="19"/>
        <v>-3397.0975072332913</v>
      </c>
      <c r="V66" s="14">
        <f t="shared" si="19"/>
        <v>-3288.1414995469841</v>
      </c>
      <c r="W66" s="14">
        <f t="shared" si="19"/>
        <v>-3178.0959317838115</v>
      </c>
      <c r="X66" s="14">
        <f t="shared" si="19"/>
        <v>11225.748367521297</v>
      </c>
      <c r="Y66" s="14">
        <f t="shared" si="19"/>
        <v>11338.005851196509</v>
      </c>
      <c r="Z66" s="14">
        <f t="shared" si="19"/>
        <v>11451.385909708475</v>
      </c>
      <c r="AA66" s="14">
        <f t="shared" si="19"/>
        <v>10388.850958616969</v>
      </c>
      <c r="AB66" s="14">
        <f t="shared" si="19"/>
        <v>8978.6412059777194</v>
      </c>
      <c r="AC66" s="14">
        <f t="shared" si="19"/>
        <v>9038.6844180374974</v>
      </c>
      <c r="AD66" s="14">
        <f t="shared" si="19"/>
        <v>9099.3280622178736</v>
      </c>
      <c r="AE66" s="14">
        <f t="shared" si="19"/>
        <v>9160.5781428400496</v>
      </c>
      <c r="AF66" s="14">
        <f t="shared" si="19"/>
        <v>9222.4407242684501</v>
      </c>
      <c r="AG66" s="14">
        <f t="shared" si="19"/>
        <v>9284.921931511135</v>
      </c>
    </row>
    <row r="68" spans="2:33" ht="18" customHeight="1" x14ac:dyDescent="0.35">
      <c r="B68" s="1" t="s">
        <v>428</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2:33" x14ac:dyDescent="0.35">
      <c r="B69" s="10" t="s">
        <v>429</v>
      </c>
      <c r="C69" s="14">
        <f>SUMPRODUCT((D$6:AG$6&lt;=Hypothèses!$C$44)*(D69:AG69))</f>
        <v>-42618.574110423964</v>
      </c>
      <c r="D69" s="17">
        <f>D9-D10-IF(Hypothèses!$C$11&gt;0,D11,0)-D13-(D14+D16)-D22-IF(AND(D$6=1,Hypothèses!$C$51=Paramètres!$D$34),Hypothèses!$C$9,0)</f>
        <v>-6169.2785650236719</v>
      </c>
      <c r="E69" s="17">
        <f>E9-E10-IF(Hypothèses!$C$11&gt;0,E11,0)-E13-(E14+E16)-E22-IF(AND(E$6=1,Hypothèses!$C$51=Paramètres!$D$34),Hypothèses!$C$9,0)</f>
        <v>-5846.114369100942</v>
      </c>
      <c r="F69" s="17">
        <f>F9-F10-IF(Hypothèses!$C$11&gt;0,F11,0)-F13-(F14+F16)-F22-IF(AND(F$6=1,Hypothèses!$C$51=Paramètres!$D$34),Hypothèses!$C$9,0)</f>
        <v>-5514.2434907881561</v>
      </c>
      <c r="G69" s="17">
        <f>G9-G10-IF(Hypothèses!$C$11&gt;0,G11,0)-G13-(G14+G16)-G22-IF(AND(G$6=1,Hypothèses!$C$51=Paramètres!$D$34),Hypothèses!$C$9,0)</f>
        <v>-5173.3982498254964</v>
      </c>
      <c r="H69" s="17">
        <f>H9-H10-IF(Hypothèses!$C$11&gt;0,H11,0)-H13-(H14+H16)-H22-IF(AND(H$6=1,Hypothèses!$C$51=Paramètres!$D$34),Hypothèses!$C$9,0)</f>
        <v>-4823.3023309820846</v>
      </c>
      <c r="I69" s="17">
        <f>I9-I10-IF(Hypothèses!$C$11&gt;0,I11,0)-I13-(I14+I16)-I22-IF(AND(I$6=1,Hypothèses!$C$51=Paramètres!$D$34),Hypothèses!$C$9,0)</f>
        <v>-4463.670501155163</v>
      </c>
      <c r="J69" s="17">
        <f>J9-J10-IF(Hypothèses!$C$11&gt;0,J11,0)-J13-(J14+J16)-J22-IF(AND(J$6=1,Hypothèses!$C$51=Paramètres!$D$34),Hypothèses!$C$9,0)</f>
        <v>-4094.2083171563181</v>
      </c>
      <c r="K69" s="17">
        <f>K9-K10-IF(Hypothèses!$C$11&gt;0,K11,0)-K13-(K14+K16)-K22-IF(AND(K$6=1,Hypothèses!$C$51=Paramètres!$D$34),Hypothèses!$C$9,0)</f>
        <v>-2571.7546810206541</v>
      </c>
      <c r="L69" s="17">
        <f>L9-L10-IF(Hypothèses!$C$11&gt;0,L11,0)-L13-(L14+L16)-L22-IF(AND(L$6=1,Hypothèses!$C$51=Paramètres!$D$34),Hypothèses!$C$9,0)</f>
        <v>-2181.7100996644886</v>
      </c>
      <c r="M69" s="17">
        <f>M9-M10-IF(Hypothèses!$C$11&gt;0,M11,0)-M13-(M14+M16)-M22-IF(AND(M$6=1,Hypothèses!$C$51=Paramètres!$D$34),Hypothèses!$C$9,0)</f>
        <v>-1780.8935057069857</v>
      </c>
      <c r="N69" s="17">
        <f>N9-N10-IF(Hypothèses!$C$11&gt;0,N11,0)-N13-(N14+N16)-N22-IF(AND(N$6=1,Hypothèses!$C$51=Paramètres!$D$34),Hypothèses!$C$9,0)</f>
        <v>-1368.9704962599853</v>
      </c>
      <c r="O69" s="17">
        <f>O9-O10-IF(Hypothèses!$C$11&gt;0,O11,0)-O13-(O14+O16)-O22-IF(AND(O$6=1,Hypothèses!$C$51=Paramètres!$D$34),Hypothèses!$C$9,0)</f>
        <v>-945.59584647947941</v>
      </c>
      <c r="P69" s="17">
        <f>P9-P10-IF(Hypothèses!$C$11&gt;0,P11,0)-P13-(P14+P16)-P22-IF(AND(P$6=1,Hypothèses!$C$51=Paramètres!$D$34),Hypothèses!$C$9,0)</f>
        <v>-510.41315466037395</v>
      </c>
      <c r="Q69" s="17">
        <f>Q9-Q10-IF(Hypothèses!$C$11&gt;0,Q11,0)-Q13-(Q14+Q16)-Q22-IF(AND(Q$6=1,Hypothèses!$C$51=Paramètres!$D$34),Hypothèses!$C$9,0)</f>
        <v>-63.054475644365994</v>
      </c>
      <c r="R69" s="17">
        <f>R9-R10-IF(Hypothèses!$C$11&gt;0,R11,0)-R13-(R14+R16)-R22-IF(AND(R$6=1,Hypothèses!$C$51=Paramètres!$D$34),Hypothèses!$C$9,0)</f>
        <v>396.86005784427016</v>
      </c>
      <c r="S69" s="17">
        <f>S9-S10-IF(Hypothèses!$C$11&gt;0,S11,0)-S13-(S14+S16)-S22-IF(AND(S$6=1,Hypothèses!$C$51=Paramètres!$D$34),Hypothèses!$C$9,0)</f>
        <v>1203.055959666488</v>
      </c>
      <c r="T69" s="17">
        <f>T9-T10-IF(Hypothèses!$C$11&gt;0,T11,0)-T13-(T14+T16)-T22-IF(AND(T$6=1,Hypothèses!$C$51=Paramètres!$D$34),Hypothèses!$C$9,0)</f>
        <v>1689.2714609509731</v>
      </c>
      <c r="U69" s="17">
        <f>U9-U10-IF(Hypothèses!$C$11&gt;0,U11,0)-U13-(U14+U16)-U22-IF(AND(U$6=1,Hypothèses!$C$51=Paramètres!$D$34),Hypothèses!$C$9,0)</f>
        <v>2189.2579274159725</v>
      </c>
      <c r="V69" s="17">
        <f>V9-V10-IF(Hypothèses!$C$11&gt;0,V11,0)-V13-(V14+V16)-V22-IF(AND(V$6=1,Hypothèses!$C$51=Paramètres!$D$34),Hypothèses!$C$9,0)</f>
        <v>2703.4469571027366</v>
      </c>
      <c r="W69" s="17">
        <f>W9-W10-IF(Hypothèses!$C$11&gt;0,W11,0)-W13-(W14+W16)-W22-IF(AND(W$6=1,Hypothèses!$C$51=Paramètres!$D$34),Hypothèses!$C$9,0)</f>
        <v>3232.2841589735217</v>
      </c>
      <c r="X69" s="17">
        <f>X9-X10-IF(Hypothèses!$C$11&gt;0,X11,0)-X13-(X14+X16)-X22-IF(AND(X$6=1,Hypothèses!$C$51=Paramètres!$D$34),Hypothèses!$C$9,0)</f>
        <v>4251.6153395577203</v>
      </c>
      <c r="Y69" s="17">
        <f>Y9-Y10-IF(Hypothèses!$C$11&gt;0,Y11,0)-Y13-(Y14+Y16)-Y22-IF(AND(Y$6=1,Hypothèses!$C$51=Paramètres!$D$34),Hypothèses!$C$9,0)</f>
        <v>4355.3314929532971</v>
      </c>
      <c r="Z69" s="17">
        <f>Z9-Z10-IF(Hypothèses!$C$11&gt;0,Z11,0)-Z13-(Z14+Z16)-Z22-IF(AND(Z$6=1,Hypothèses!$C$51=Paramètres!$D$34),Hypothèses!$C$9,0)</f>
        <v>4460.0848078828312</v>
      </c>
      <c r="AA69" s="17">
        <f>AA9-AA10-IF(Hypothèses!$C$11&gt;0,AA11,0)-AA13-(AA14+AA16)-AA22-IF(AND(AA$6=1,Hypothèses!$C$51=Paramètres!$D$34),Hypothèses!$C$9,0)</f>
        <v>4565.8856559616597</v>
      </c>
      <c r="AB69" s="17">
        <f>AB9-AB10-IF(Hypothèses!$C$11&gt;0,AB11,0)-AB13-(AB14+AB16)-AB22-IF(AND(AB$6=1,Hypothèses!$C$51=Paramètres!$D$34),Hypothèses!$C$9,0)</f>
        <v>4672.7445125212762</v>
      </c>
      <c r="AC69" s="17">
        <f>AC9-AC10-IF(Hypothèses!$C$11&gt;0,AC11,0)-AC13-(AC14+AC16)-AC22-IF(AND(AC$6=1,Hypothèses!$C$51=Paramètres!$D$34),Hypothèses!$C$9,0)</f>
        <v>4780.6719576464911</v>
      </c>
      <c r="AD69" s="17">
        <f>AD9-AD10-IF(Hypothèses!$C$11&gt;0,AD11,0)-AD13-(AD14+AD16)-AD22-IF(AND(AD$6=1,Hypothèses!$C$51=Paramètres!$D$34),Hypothèses!$C$9,0)</f>
        <v>4889.678677222957</v>
      </c>
      <c r="AE69" s="17">
        <f>AE9-AE10-IF(Hypothèses!$C$11&gt;0,AE11,0)-AE13-(AE14+AE16)-AE22-IF(AND(AE$6=1,Hypothèses!$C$51=Paramètres!$D$34),Hypothèses!$C$9,0)</f>
        <v>4999.7754639951836</v>
      </c>
      <c r="AF69" s="17">
        <f>AF9-AF10-IF(Hypothèses!$C$11&gt;0,AF11,0)-AF13-(AF14+AF16)-AF22-IF(AND(AF$6=1,Hypothèses!$C$51=Paramètres!$D$34),Hypothèses!$C$9,0)</f>
        <v>5110.9732186351339</v>
      </c>
      <c r="AG69" s="17">
        <f>AG9-AG10-IF(Hypothèses!$C$11&gt;0,AG11,0)-AG13-(AG14+AG16)-AG22-IF(AND(AG$6=1,Hypothèses!$C$51=Paramètres!$D$34),Hypothèses!$C$9,0)</f>
        <v>5223.2829508214854</v>
      </c>
    </row>
    <row r="70" spans="2:33" x14ac:dyDescent="0.35">
      <c r="B70" s="10" t="s">
        <v>430</v>
      </c>
      <c r="D70" s="17">
        <f>0</f>
        <v>0</v>
      </c>
      <c r="E70" s="17">
        <f t="shared" ref="E70:AG70" si="20">D72</f>
        <v>6169.2785650236719</v>
      </c>
      <c r="F70" s="17">
        <f t="shared" si="20"/>
        <v>12015.392934124615</v>
      </c>
      <c r="G70" s="17">
        <f t="shared" si="20"/>
        <v>17529.636424912773</v>
      </c>
      <c r="H70" s="17">
        <f t="shared" si="20"/>
        <v>22703.034674738268</v>
      </c>
      <c r="I70" s="17">
        <f t="shared" si="20"/>
        <v>27526.337005720354</v>
      </c>
      <c r="J70" s="17">
        <f t="shared" si="20"/>
        <v>31990.007506875518</v>
      </c>
      <c r="K70" s="17">
        <f t="shared" si="20"/>
        <v>36084.215824031839</v>
      </c>
      <c r="L70" s="17">
        <f t="shared" si="20"/>
        <v>38655.970505052494</v>
      </c>
      <c r="M70" s="17">
        <f t="shared" si="20"/>
        <v>40837.680604716981</v>
      </c>
      <c r="N70" s="17">
        <f t="shared" si="20"/>
        <v>42618.574110423964</v>
      </c>
      <c r="O70" s="17">
        <f t="shared" si="20"/>
        <v>43987.54460668395</v>
      </c>
      <c r="P70" s="17">
        <f t="shared" si="20"/>
        <v>44933.140453163433</v>
      </c>
      <c r="Q70" s="17">
        <f t="shared" si="20"/>
        <v>45443.553607823807</v>
      </c>
      <c r="R70" s="17">
        <f t="shared" si="20"/>
        <v>45506.608083468171</v>
      </c>
      <c r="S70" s="17">
        <f t="shared" si="20"/>
        <v>45109.7480256239</v>
      </c>
      <c r="T70" s="17">
        <f t="shared" si="20"/>
        <v>43906.69206595741</v>
      </c>
      <c r="U70" s="17">
        <f t="shared" si="20"/>
        <v>42217.420605006439</v>
      </c>
      <c r="V70" s="17">
        <f t="shared" si="20"/>
        <v>40028.162677590466</v>
      </c>
      <c r="W70" s="17">
        <f t="shared" si="20"/>
        <v>37324.715720487729</v>
      </c>
      <c r="X70" s="17">
        <f t="shared" si="20"/>
        <v>34092.431561514211</v>
      </c>
      <c r="Y70" s="17">
        <f t="shared" si="20"/>
        <v>29840.816221956491</v>
      </c>
      <c r="Z70" s="17">
        <f t="shared" si="20"/>
        <v>25485.484729003194</v>
      </c>
      <c r="AA70" s="17">
        <f t="shared" si="20"/>
        <v>21025.399921120363</v>
      </c>
      <c r="AB70" s="17">
        <f t="shared" si="20"/>
        <v>16459.514265158701</v>
      </c>
      <c r="AC70" s="17">
        <f t="shared" si="20"/>
        <v>11786.769752637425</v>
      </c>
      <c r="AD70" s="17">
        <f t="shared" si="20"/>
        <v>7006.0977949909338</v>
      </c>
      <c r="AE70" s="17">
        <f t="shared" si="20"/>
        <v>2116.4191177679768</v>
      </c>
      <c r="AF70" s="17">
        <f t="shared" si="20"/>
        <v>0</v>
      </c>
      <c r="AG70" s="17">
        <f t="shared" si="20"/>
        <v>0</v>
      </c>
    </row>
    <row r="71" spans="2:33" x14ac:dyDescent="0.35">
      <c r="B71" s="10" t="s">
        <v>431</v>
      </c>
      <c r="C71" s="14">
        <f>SUMPRODUCT((D$6:AG$6&lt;=Hypothèses!$C$44)*(D71:AG71))</f>
        <v>0</v>
      </c>
      <c r="D71" s="17">
        <f t="shared" ref="D71:AG71" si="21">MIN(D70,MAX(0,D69))</f>
        <v>0</v>
      </c>
      <c r="E71" s="17">
        <f t="shared" si="21"/>
        <v>0</v>
      </c>
      <c r="F71" s="17">
        <f t="shared" si="21"/>
        <v>0</v>
      </c>
      <c r="G71" s="17">
        <f t="shared" si="21"/>
        <v>0</v>
      </c>
      <c r="H71" s="17">
        <f t="shared" si="21"/>
        <v>0</v>
      </c>
      <c r="I71" s="17">
        <f t="shared" si="21"/>
        <v>0</v>
      </c>
      <c r="J71" s="17">
        <f t="shared" si="21"/>
        <v>0</v>
      </c>
      <c r="K71" s="17">
        <f t="shared" si="21"/>
        <v>0</v>
      </c>
      <c r="L71" s="17">
        <f t="shared" si="21"/>
        <v>0</v>
      </c>
      <c r="M71" s="17">
        <f t="shared" si="21"/>
        <v>0</v>
      </c>
      <c r="N71" s="17">
        <f t="shared" si="21"/>
        <v>0</v>
      </c>
      <c r="O71" s="17">
        <f t="shared" si="21"/>
        <v>0</v>
      </c>
      <c r="P71" s="17">
        <f t="shared" si="21"/>
        <v>0</v>
      </c>
      <c r="Q71" s="17">
        <f t="shared" si="21"/>
        <v>0</v>
      </c>
      <c r="R71" s="17">
        <f t="shared" si="21"/>
        <v>396.86005784427016</v>
      </c>
      <c r="S71" s="17">
        <f t="shared" si="21"/>
        <v>1203.055959666488</v>
      </c>
      <c r="T71" s="17">
        <f t="shared" si="21"/>
        <v>1689.2714609509731</v>
      </c>
      <c r="U71" s="17">
        <f t="shared" si="21"/>
        <v>2189.2579274159725</v>
      </c>
      <c r="V71" s="17">
        <f t="shared" si="21"/>
        <v>2703.4469571027366</v>
      </c>
      <c r="W71" s="17">
        <f t="shared" si="21"/>
        <v>3232.2841589735217</v>
      </c>
      <c r="X71" s="17">
        <f t="shared" si="21"/>
        <v>4251.6153395577203</v>
      </c>
      <c r="Y71" s="17">
        <f t="shared" si="21"/>
        <v>4355.3314929532971</v>
      </c>
      <c r="Z71" s="17">
        <f t="shared" si="21"/>
        <v>4460.0848078828312</v>
      </c>
      <c r="AA71" s="17">
        <f t="shared" si="21"/>
        <v>4565.8856559616597</v>
      </c>
      <c r="AB71" s="17">
        <f t="shared" si="21"/>
        <v>4672.7445125212762</v>
      </c>
      <c r="AC71" s="17">
        <f t="shared" si="21"/>
        <v>4780.6719576464911</v>
      </c>
      <c r="AD71" s="17">
        <f t="shared" si="21"/>
        <v>4889.678677222957</v>
      </c>
      <c r="AE71" s="17">
        <f t="shared" si="21"/>
        <v>2116.4191177679768</v>
      </c>
      <c r="AF71" s="17">
        <f t="shared" si="21"/>
        <v>0</v>
      </c>
      <c r="AG71" s="17">
        <f t="shared" si="21"/>
        <v>0</v>
      </c>
    </row>
    <row r="72" spans="2:33" x14ac:dyDescent="0.35">
      <c r="B72" s="10" t="s">
        <v>432</v>
      </c>
      <c r="C72" s="14">
        <f>INDEX(D72:AG72,Hypothèses!$C$44)</f>
        <v>42618.574110423964</v>
      </c>
      <c r="D72" s="17">
        <f t="shared" ref="D72:AG72" si="22">D70+MAX(0,-D69)-D71</f>
        <v>6169.2785650236719</v>
      </c>
      <c r="E72" s="17">
        <f t="shared" si="22"/>
        <v>12015.392934124615</v>
      </c>
      <c r="F72" s="17">
        <f t="shared" si="22"/>
        <v>17529.636424912773</v>
      </c>
      <c r="G72" s="17">
        <f t="shared" si="22"/>
        <v>22703.034674738268</v>
      </c>
      <c r="H72" s="17">
        <f t="shared" si="22"/>
        <v>27526.337005720354</v>
      </c>
      <c r="I72" s="17">
        <f t="shared" si="22"/>
        <v>31990.007506875518</v>
      </c>
      <c r="J72" s="17">
        <f t="shared" si="22"/>
        <v>36084.215824031839</v>
      </c>
      <c r="K72" s="17">
        <f t="shared" si="22"/>
        <v>38655.970505052494</v>
      </c>
      <c r="L72" s="17">
        <f t="shared" si="22"/>
        <v>40837.680604716981</v>
      </c>
      <c r="M72" s="17">
        <f t="shared" si="22"/>
        <v>42618.574110423964</v>
      </c>
      <c r="N72" s="17">
        <f t="shared" si="22"/>
        <v>43987.54460668395</v>
      </c>
      <c r="O72" s="17">
        <f t="shared" si="22"/>
        <v>44933.140453163433</v>
      </c>
      <c r="P72" s="17">
        <f t="shared" si="22"/>
        <v>45443.553607823807</v>
      </c>
      <c r="Q72" s="17">
        <f t="shared" si="22"/>
        <v>45506.608083468171</v>
      </c>
      <c r="R72" s="17">
        <f t="shared" si="22"/>
        <v>45109.7480256239</v>
      </c>
      <c r="S72" s="17">
        <f t="shared" si="22"/>
        <v>43906.69206595741</v>
      </c>
      <c r="T72" s="17">
        <f t="shared" si="22"/>
        <v>42217.420605006439</v>
      </c>
      <c r="U72" s="17">
        <f t="shared" si="22"/>
        <v>40028.162677590466</v>
      </c>
      <c r="V72" s="17">
        <f t="shared" si="22"/>
        <v>37324.715720487729</v>
      </c>
      <c r="W72" s="17">
        <f t="shared" si="22"/>
        <v>34092.431561514211</v>
      </c>
      <c r="X72" s="17">
        <f t="shared" si="22"/>
        <v>29840.816221956491</v>
      </c>
      <c r="Y72" s="17">
        <f t="shared" si="22"/>
        <v>25485.484729003194</v>
      </c>
      <c r="Z72" s="17">
        <f t="shared" si="22"/>
        <v>21025.399921120363</v>
      </c>
      <c r="AA72" s="17">
        <f t="shared" si="22"/>
        <v>16459.514265158701</v>
      </c>
      <c r="AB72" s="17">
        <f t="shared" si="22"/>
        <v>11786.769752637425</v>
      </c>
      <c r="AC72" s="17">
        <f t="shared" si="22"/>
        <v>7006.0977949909338</v>
      </c>
      <c r="AD72" s="17">
        <f t="shared" si="22"/>
        <v>2116.4191177679768</v>
      </c>
      <c r="AE72" s="17">
        <f t="shared" si="22"/>
        <v>0</v>
      </c>
      <c r="AF72" s="17">
        <f t="shared" si="22"/>
        <v>0</v>
      </c>
      <c r="AG72" s="17">
        <f t="shared" si="22"/>
        <v>0</v>
      </c>
    </row>
    <row r="73" spans="2:33" x14ac:dyDescent="0.35">
      <c r="B73" s="10" t="s">
        <v>433</v>
      </c>
      <c r="C73" s="14">
        <f>SUMPRODUCT((D$6:AG$6&lt;=Hypothèses!$C$44)*(D73:AG73))</f>
        <v>0</v>
      </c>
      <c r="D73" s="17">
        <f t="shared" ref="D73:AG73" si="23">MAX(0,D69)-D71</f>
        <v>0</v>
      </c>
      <c r="E73" s="17">
        <f t="shared" si="23"/>
        <v>0</v>
      </c>
      <c r="F73" s="17">
        <f t="shared" si="23"/>
        <v>0</v>
      </c>
      <c r="G73" s="17">
        <f t="shared" si="23"/>
        <v>0</v>
      </c>
      <c r="H73" s="17">
        <f t="shared" si="23"/>
        <v>0</v>
      </c>
      <c r="I73" s="17">
        <f t="shared" si="23"/>
        <v>0</v>
      </c>
      <c r="J73" s="17">
        <f t="shared" si="23"/>
        <v>0</v>
      </c>
      <c r="K73" s="17">
        <f t="shared" si="23"/>
        <v>0</v>
      </c>
      <c r="L73" s="17">
        <f t="shared" si="23"/>
        <v>0</v>
      </c>
      <c r="M73" s="17">
        <f t="shared" si="23"/>
        <v>0</v>
      </c>
      <c r="N73" s="17">
        <f t="shared" si="23"/>
        <v>0</v>
      </c>
      <c r="O73" s="17">
        <f t="shared" si="23"/>
        <v>0</v>
      </c>
      <c r="P73" s="17">
        <f t="shared" si="23"/>
        <v>0</v>
      </c>
      <c r="Q73" s="17">
        <f t="shared" si="23"/>
        <v>0</v>
      </c>
      <c r="R73" s="17">
        <f t="shared" si="23"/>
        <v>0</v>
      </c>
      <c r="S73" s="17">
        <f t="shared" si="23"/>
        <v>0</v>
      </c>
      <c r="T73" s="17">
        <f t="shared" si="23"/>
        <v>0</v>
      </c>
      <c r="U73" s="17">
        <f t="shared" si="23"/>
        <v>0</v>
      </c>
      <c r="V73" s="17">
        <f t="shared" si="23"/>
        <v>0</v>
      </c>
      <c r="W73" s="17">
        <f t="shared" si="23"/>
        <v>0</v>
      </c>
      <c r="X73" s="17">
        <f t="shared" si="23"/>
        <v>0</v>
      </c>
      <c r="Y73" s="17">
        <f t="shared" si="23"/>
        <v>0</v>
      </c>
      <c r="Z73" s="17">
        <f t="shared" si="23"/>
        <v>0</v>
      </c>
      <c r="AA73" s="17">
        <f t="shared" si="23"/>
        <v>0</v>
      </c>
      <c r="AB73" s="17">
        <f t="shared" si="23"/>
        <v>0</v>
      </c>
      <c r="AC73" s="17">
        <f t="shared" si="23"/>
        <v>0</v>
      </c>
      <c r="AD73" s="17">
        <f t="shared" si="23"/>
        <v>0</v>
      </c>
      <c r="AE73" s="17">
        <f t="shared" si="23"/>
        <v>2883.3563462272068</v>
      </c>
      <c r="AF73" s="17">
        <f t="shared" si="23"/>
        <v>5110.9732186351339</v>
      </c>
      <c r="AG73" s="17">
        <f t="shared" si="23"/>
        <v>5223.2829508214854</v>
      </c>
    </row>
    <row r="74" spans="2:33" x14ac:dyDescent="0.35">
      <c r="B74" s="10" t="s">
        <v>434</v>
      </c>
      <c r="C74" s="14">
        <f>SUMPRODUCT((D$6:AG$6&lt;=Hypothèses!$C$44)*(D74:AG74))</f>
        <v>0</v>
      </c>
      <c r="D74" s="14">
        <f>(MIN(D73,Paramètres!$C$16)*Paramètres!$C$15+MAX(0,D73-Paramètres!$C$16)*Paramètres!$C$17)</f>
        <v>0</v>
      </c>
      <c r="E74" s="14">
        <f>(MIN(E73,Paramètres!$C$16)*Paramètres!$C$15+MAX(0,E73-Paramètres!$C$16)*Paramètres!$C$17)</f>
        <v>0</v>
      </c>
      <c r="F74" s="14">
        <f>(MIN(F73,Paramètres!$C$16)*Paramètres!$C$15+MAX(0,F73-Paramètres!$C$16)*Paramètres!$C$17)</f>
        <v>0</v>
      </c>
      <c r="G74" s="14">
        <f>(MIN(G73,Paramètres!$C$16)*Paramètres!$C$15+MAX(0,G73-Paramètres!$C$16)*Paramètres!$C$17)</f>
        <v>0</v>
      </c>
      <c r="H74" s="14">
        <f>(MIN(H73,Paramètres!$C$16)*Paramètres!$C$15+MAX(0,H73-Paramètres!$C$16)*Paramètres!$C$17)</f>
        <v>0</v>
      </c>
      <c r="I74" s="14">
        <f>(MIN(I73,Paramètres!$C$16)*Paramètres!$C$15+MAX(0,I73-Paramètres!$C$16)*Paramètres!$C$17)</f>
        <v>0</v>
      </c>
      <c r="J74" s="14">
        <f>(MIN(J73,Paramètres!$C$16)*Paramètres!$C$15+MAX(0,J73-Paramètres!$C$16)*Paramètres!$C$17)</f>
        <v>0</v>
      </c>
      <c r="K74" s="14">
        <f>(MIN(K73,Paramètres!$C$16)*Paramètres!$C$15+MAX(0,K73-Paramètres!$C$16)*Paramètres!$C$17)</f>
        <v>0</v>
      </c>
      <c r="L74" s="14">
        <f>(MIN(L73,Paramètres!$C$16)*Paramètres!$C$15+MAX(0,L73-Paramètres!$C$16)*Paramètres!$C$17)</f>
        <v>0</v>
      </c>
      <c r="M74" s="14">
        <f>(MIN(M73,Paramètres!$C$16)*Paramètres!$C$15+MAX(0,M73-Paramètres!$C$16)*Paramètres!$C$17)</f>
        <v>0</v>
      </c>
      <c r="N74" s="14">
        <f>(MIN(N73,Paramètres!$C$16)*Paramètres!$C$15+MAX(0,N73-Paramètres!$C$16)*Paramètres!$C$17)</f>
        <v>0</v>
      </c>
      <c r="O74" s="14">
        <f>(MIN(O73,Paramètres!$C$16)*Paramètres!$C$15+MAX(0,O73-Paramètres!$C$16)*Paramètres!$C$17)</f>
        <v>0</v>
      </c>
      <c r="P74" s="14">
        <f>(MIN(P73,Paramètres!$C$16)*Paramètres!$C$15+MAX(0,P73-Paramètres!$C$16)*Paramètres!$C$17)</f>
        <v>0</v>
      </c>
      <c r="Q74" s="14">
        <f>(MIN(Q73,Paramètres!$C$16)*Paramètres!$C$15+MAX(0,Q73-Paramètres!$C$16)*Paramètres!$C$17)</f>
        <v>0</v>
      </c>
      <c r="R74" s="14">
        <f>(MIN(R73,Paramètres!$C$16)*Paramètres!$C$15+MAX(0,R73-Paramètres!$C$16)*Paramètres!$C$17)</f>
        <v>0</v>
      </c>
      <c r="S74" s="14">
        <f>(MIN(S73,Paramètres!$C$16)*Paramètres!$C$15+MAX(0,S73-Paramètres!$C$16)*Paramètres!$C$17)</f>
        <v>0</v>
      </c>
      <c r="T74" s="14">
        <f>(MIN(T73,Paramètres!$C$16)*Paramètres!$C$15+MAX(0,T73-Paramètres!$C$16)*Paramètres!$C$17)</f>
        <v>0</v>
      </c>
      <c r="U74" s="14">
        <f>(MIN(U73,Paramètres!$C$16)*Paramètres!$C$15+MAX(0,U73-Paramètres!$C$16)*Paramètres!$C$17)</f>
        <v>0</v>
      </c>
      <c r="V74" s="14">
        <f>(MIN(V73,Paramètres!$C$16)*Paramètres!$C$15+MAX(0,V73-Paramètres!$C$16)*Paramètres!$C$17)</f>
        <v>0</v>
      </c>
      <c r="W74" s="14">
        <f>(MIN(W73,Paramètres!$C$16)*Paramètres!$C$15+MAX(0,W73-Paramètres!$C$16)*Paramètres!$C$17)</f>
        <v>0</v>
      </c>
      <c r="X74" s="14">
        <f>(MIN(X73,Paramètres!$C$16)*Paramètres!$C$15+MAX(0,X73-Paramètres!$C$16)*Paramètres!$C$17)</f>
        <v>0</v>
      </c>
      <c r="Y74" s="14">
        <f>(MIN(Y73,Paramètres!$C$16)*Paramètres!$C$15+MAX(0,Y73-Paramètres!$C$16)*Paramètres!$C$17)</f>
        <v>0</v>
      </c>
      <c r="Z74" s="14">
        <f>(MIN(Z73,Paramètres!$C$16)*Paramètres!$C$15+MAX(0,Z73-Paramètres!$C$16)*Paramètres!$C$17)</f>
        <v>0</v>
      </c>
      <c r="AA74" s="14">
        <f>(MIN(AA73,Paramètres!$C$16)*Paramètres!$C$15+MAX(0,AA73-Paramètres!$C$16)*Paramètres!$C$17)</f>
        <v>0</v>
      </c>
      <c r="AB74" s="14">
        <f>(MIN(AB73,Paramètres!$C$16)*Paramètres!$C$15+MAX(0,AB73-Paramètres!$C$16)*Paramètres!$C$17)</f>
        <v>0</v>
      </c>
      <c r="AC74" s="14">
        <f>(MIN(AC73,Paramètres!$C$16)*Paramètres!$C$15+MAX(0,AC73-Paramètres!$C$16)*Paramètres!$C$17)</f>
        <v>0</v>
      </c>
      <c r="AD74" s="14">
        <f>(MIN(AD73,Paramètres!$C$16)*Paramètres!$C$15+MAX(0,AD73-Paramètres!$C$16)*Paramètres!$C$17)</f>
        <v>0</v>
      </c>
      <c r="AE74" s="14">
        <f>(MIN(AE73,Paramètres!$C$16)*Paramètres!$C$15+MAX(0,AE73-Paramètres!$C$16)*Paramètres!$C$17)</f>
        <v>432.503451934081</v>
      </c>
      <c r="AF74" s="14">
        <f>(MIN(AF73,Paramètres!$C$16)*Paramètres!$C$15+MAX(0,AF73-Paramètres!$C$16)*Paramètres!$C$17)</f>
        <v>766.64598279527002</v>
      </c>
      <c r="AG74" s="14">
        <f>(MIN(AG73,Paramètres!$C$16)*Paramètres!$C$15+MAX(0,AG73-Paramètres!$C$16)*Paramètres!$C$17)</f>
        <v>783.49244262322281</v>
      </c>
    </row>
    <row r="75" spans="2:33" x14ac:dyDescent="0.35">
      <c r="B75" s="10" t="s">
        <v>435</v>
      </c>
      <c r="C75" s="14">
        <f>SUMPRODUCT((D$6:AG$6&lt;=Hypothèses!$C$44)*(D75:AG75))</f>
        <v>-42618.574110423964</v>
      </c>
      <c r="D75" s="17">
        <f t="shared" ref="D75:AG75" si="24">D69-D74</f>
        <v>-6169.2785650236719</v>
      </c>
      <c r="E75" s="17">
        <f t="shared" si="24"/>
        <v>-5846.114369100942</v>
      </c>
      <c r="F75" s="17">
        <f t="shared" si="24"/>
        <v>-5514.2434907881561</v>
      </c>
      <c r="G75" s="17">
        <f t="shared" si="24"/>
        <v>-5173.3982498254964</v>
      </c>
      <c r="H75" s="17">
        <f t="shared" si="24"/>
        <v>-4823.3023309820846</v>
      </c>
      <c r="I75" s="17">
        <f t="shared" si="24"/>
        <v>-4463.670501155163</v>
      </c>
      <c r="J75" s="17">
        <f t="shared" si="24"/>
        <v>-4094.2083171563181</v>
      </c>
      <c r="K75" s="17">
        <f t="shared" si="24"/>
        <v>-2571.7546810206541</v>
      </c>
      <c r="L75" s="17">
        <f t="shared" si="24"/>
        <v>-2181.7100996644886</v>
      </c>
      <c r="M75" s="17">
        <f t="shared" si="24"/>
        <v>-1780.8935057069857</v>
      </c>
      <c r="N75" s="17">
        <f t="shared" si="24"/>
        <v>-1368.9704962599853</v>
      </c>
      <c r="O75" s="17">
        <f t="shared" si="24"/>
        <v>-945.59584647947941</v>
      </c>
      <c r="P75" s="17">
        <f t="shared" si="24"/>
        <v>-510.41315466037395</v>
      </c>
      <c r="Q75" s="17">
        <f t="shared" si="24"/>
        <v>-63.054475644365994</v>
      </c>
      <c r="R75" s="17">
        <f t="shared" si="24"/>
        <v>396.86005784427016</v>
      </c>
      <c r="S75" s="17">
        <f t="shared" si="24"/>
        <v>1203.055959666488</v>
      </c>
      <c r="T75" s="17">
        <f t="shared" si="24"/>
        <v>1689.2714609509731</v>
      </c>
      <c r="U75" s="17">
        <f t="shared" si="24"/>
        <v>2189.2579274159725</v>
      </c>
      <c r="V75" s="17">
        <f t="shared" si="24"/>
        <v>2703.4469571027366</v>
      </c>
      <c r="W75" s="17">
        <f t="shared" si="24"/>
        <v>3232.2841589735217</v>
      </c>
      <c r="X75" s="17">
        <f t="shared" si="24"/>
        <v>4251.6153395577203</v>
      </c>
      <c r="Y75" s="17">
        <f t="shared" si="24"/>
        <v>4355.3314929532971</v>
      </c>
      <c r="Z75" s="17">
        <f t="shared" si="24"/>
        <v>4460.0848078828312</v>
      </c>
      <c r="AA75" s="17">
        <f t="shared" si="24"/>
        <v>4565.8856559616597</v>
      </c>
      <c r="AB75" s="17">
        <f t="shared" si="24"/>
        <v>4672.7445125212762</v>
      </c>
      <c r="AC75" s="17">
        <f t="shared" si="24"/>
        <v>4780.6719576464911</v>
      </c>
      <c r="AD75" s="17">
        <f t="shared" si="24"/>
        <v>4889.678677222957</v>
      </c>
      <c r="AE75" s="17">
        <f t="shared" si="24"/>
        <v>4567.2720120611029</v>
      </c>
      <c r="AF75" s="17">
        <f t="shared" si="24"/>
        <v>4344.3272358398635</v>
      </c>
      <c r="AG75" s="17">
        <f t="shared" si="24"/>
        <v>4439.7905081982626</v>
      </c>
    </row>
    <row r="76" spans="2:33" x14ac:dyDescent="0.35">
      <c r="B76" s="10" t="s">
        <v>436</v>
      </c>
      <c r="D76" s="17">
        <f>0</f>
        <v>0</v>
      </c>
      <c r="E76" s="17">
        <f t="shared" ref="E76:AG76" si="25">D89</f>
        <v>-6169.2785650236719</v>
      </c>
      <c r="F76" s="17">
        <f t="shared" si="25"/>
        <v>-12015.392934124615</v>
      </c>
      <c r="G76" s="17">
        <f t="shared" si="25"/>
        <v>-17529.636424912773</v>
      </c>
      <c r="H76" s="17">
        <f t="shared" si="25"/>
        <v>-22703.034674738268</v>
      </c>
      <c r="I76" s="17">
        <f t="shared" si="25"/>
        <v>-27526.337005720354</v>
      </c>
      <c r="J76" s="17">
        <f t="shared" si="25"/>
        <v>-31990.007506875518</v>
      </c>
      <c r="K76" s="17">
        <f t="shared" si="25"/>
        <v>-36084.215824031839</v>
      </c>
      <c r="L76" s="17">
        <f t="shared" si="25"/>
        <v>-38655.970505052494</v>
      </c>
      <c r="M76" s="17">
        <f t="shared" si="25"/>
        <v>-40837.680604716981</v>
      </c>
      <c r="N76" s="17">
        <f t="shared" si="25"/>
        <v>-42618.574110423964</v>
      </c>
      <c r="O76" s="17">
        <f t="shared" si="25"/>
        <v>-43987.54460668395</v>
      </c>
      <c r="P76" s="17">
        <f t="shared" si="25"/>
        <v>-44933.140453163433</v>
      </c>
      <c r="Q76" s="17">
        <f t="shared" si="25"/>
        <v>-45443.553607823807</v>
      </c>
      <c r="R76" s="17">
        <f t="shared" si="25"/>
        <v>-45506.608083468171</v>
      </c>
      <c r="S76" s="17">
        <f t="shared" si="25"/>
        <v>-45109.7480256239</v>
      </c>
      <c r="T76" s="17">
        <f t="shared" si="25"/>
        <v>-43906.69206595741</v>
      </c>
      <c r="U76" s="17">
        <f t="shared" si="25"/>
        <v>-42217.420605006439</v>
      </c>
      <c r="V76" s="17">
        <f t="shared" si="25"/>
        <v>-40028.162677590466</v>
      </c>
      <c r="W76" s="17">
        <f t="shared" si="25"/>
        <v>-37324.715720487729</v>
      </c>
      <c r="X76" s="17">
        <f t="shared" si="25"/>
        <v>-34092.431561514211</v>
      </c>
      <c r="Y76" s="17">
        <f t="shared" si="25"/>
        <v>-29840.816221956491</v>
      </c>
      <c r="Z76" s="17">
        <f t="shared" si="25"/>
        <v>-25485.484729003194</v>
      </c>
      <c r="AA76" s="17">
        <f t="shared" si="25"/>
        <v>-21025.399921120363</v>
      </c>
      <c r="AB76" s="17">
        <f t="shared" si="25"/>
        <v>-16459.514265158701</v>
      </c>
      <c r="AC76" s="17">
        <f t="shared" si="25"/>
        <v>-11786.769752637425</v>
      </c>
      <c r="AD76" s="17">
        <f t="shared" si="25"/>
        <v>-7006.0977949909338</v>
      </c>
      <c r="AE76" s="17">
        <f t="shared" si="25"/>
        <v>-2116.4191177679768</v>
      </c>
      <c r="AF76" s="17">
        <f t="shared" si="25"/>
        <v>2450.8528942931262</v>
      </c>
      <c r="AG76" s="17">
        <f t="shared" si="25"/>
        <v>6795.1801301329897</v>
      </c>
    </row>
    <row r="77" spans="2:33" x14ac:dyDescent="0.35">
      <c r="B77" s="10" t="s">
        <v>437</v>
      </c>
      <c r="C77" s="14">
        <f>SUMPRODUCT((D$6:AG$6&lt;=Hypothèses!$C$44)*(D77:AG77))</f>
        <v>-53998.17615911919</v>
      </c>
      <c r="D77" s="17">
        <f>D9-D10-IF(Hypothèses!$C$11&gt;0,D11,0)-D13-D17-D74</f>
        <v>-5792.6982758643026</v>
      </c>
      <c r="E77" s="17">
        <f>E9-E10-IF(Hypothèses!$C$11&gt;0,E11,0)-E13-E17-E74</f>
        <v>-5707.6982758643026</v>
      </c>
      <c r="F77" s="17">
        <f>F9-F10-IF(Hypothèses!$C$11&gt;0,F11,0)-F13-F17-F74</f>
        <v>-5621.848275864304</v>
      </c>
      <c r="G77" s="17">
        <f>G9-G10-IF(Hypothèses!$C$11&gt;0,G11,0)-G13-G17-G74</f>
        <v>-5535.1397758643034</v>
      </c>
      <c r="H77" s="17">
        <f>H9-H10-IF(Hypothèses!$C$11&gt;0,H11,0)-H13-H17-H74</f>
        <v>-5447.5641908643029</v>
      </c>
      <c r="I77" s="17">
        <f>I9-I10-IF(Hypothèses!$C$11&gt;0,I11,0)-I13-I17-I74</f>
        <v>-5359.1128500143041</v>
      </c>
      <c r="J77" s="17">
        <f>J9-J10-IF(Hypothèses!$C$11&gt;0,J11,0)-J13-J17-J74</f>
        <v>-5269.7769957558012</v>
      </c>
      <c r="K77" s="17">
        <f>K9-K10-IF(Hypothèses!$C$11&gt;0,K11,0)-K13-K17-K74</f>
        <v>-5179.5477829547181</v>
      </c>
      <c r="L77" s="17">
        <f>L9-L10-IF(Hypothèses!$C$11&gt;0,L11,0)-L13-L17-L74</f>
        <v>-5088.4162780256174</v>
      </c>
      <c r="M77" s="17">
        <f>M9-M10-IF(Hypothèses!$C$11&gt;0,M11,0)-M13-M17-M74</f>
        <v>-4996.3734580472337</v>
      </c>
      <c r="N77" s="17">
        <f>N9-N10-IF(Hypothèses!$C$11&gt;0,N11,0)-N13-N17-N74</f>
        <v>-4903.4102098690637</v>
      </c>
      <c r="O77" s="17">
        <f>O9-O10-IF(Hypothèses!$C$11&gt;0,O11,0)-O13-O17-O74</f>
        <v>-4809.5173292091094</v>
      </c>
      <c r="P77" s="17">
        <f>P9-P10-IF(Hypothèses!$C$11&gt;0,P11,0)-P13-P17-P74</f>
        <v>-4714.6855197425593</v>
      </c>
      <c r="Q77" s="17">
        <f>Q9-Q10-IF(Hypothèses!$C$11&gt;0,Q11,0)-Q13-Q17-Q74</f>
        <v>-4618.9053921813411</v>
      </c>
      <c r="R77" s="17">
        <f>R9-R10-IF(Hypothèses!$C$11&gt;0,R11,0)-R13-R17-R74</f>
        <v>-4522.1674633445109</v>
      </c>
      <c r="S77" s="17">
        <f>S9-S10-IF(Hypothèses!$C$11&gt;0,S11,0)-S13-S17-S74</f>
        <v>-4424.4621552193166</v>
      </c>
      <c r="T77" s="17">
        <f>T9-T10-IF(Hypothèses!$C$11&gt;0,T11,0)-T13-T17-T74</f>
        <v>-4325.7797940128603</v>
      </c>
      <c r="U77" s="17">
        <f>U9-U10-IF(Hypothèses!$C$11&gt;0,U11,0)-U13-U17-U74</f>
        <v>-4226.1106091943457</v>
      </c>
      <c r="V77" s="17">
        <f>V9-V10-IF(Hypothèses!$C$11&gt;0,V11,0)-V13-V17-V74</f>
        <v>-4125.4447325276487</v>
      </c>
      <c r="W77" s="17">
        <f>W9-W10-IF(Hypothèses!$C$11&gt;0,W11,0)-W13-W17-W74</f>
        <v>-4023.7721970942821</v>
      </c>
      <c r="X77" s="17">
        <f>X9-X10-IF(Hypothèses!$C$11&gt;0,X11,0)-X13-X17-X74</f>
        <v>10371.61533955772</v>
      </c>
      <c r="Y77" s="17">
        <f>Y9-Y10-IF(Hypothèses!$C$11&gt;0,Y11,0)-Y13-Y17-Y74</f>
        <v>10475.331492953297</v>
      </c>
      <c r="Z77" s="17">
        <f>Z9-Z10-IF(Hypothèses!$C$11&gt;0,Z11,0)-Z13-Z17-Z74</f>
        <v>10580.084807882831</v>
      </c>
      <c r="AA77" s="17">
        <f>AA9-AA10-IF(Hypothèses!$C$11&gt;0,AA11,0)-AA13-AA17-AA74</f>
        <v>10685.88565596166</v>
      </c>
      <c r="AB77" s="17">
        <f>AB9-AB10-IF(Hypothèses!$C$11&gt;0,AB11,0)-AB13-AB17-AB74</f>
        <v>10792.744512521276</v>
      </c>
      <c r="AC77" s="17">
        <f>AC9-AC10-IF(Hypothèses!$C$11&gt;0,AC11,0)-AC13-AC17-AC74</f>
        <v>10900.671957646491</v>
      </c>
      <c r="AD77" s="17">
        <f>AD9-AD10-IF(Hypothèses!$C$11&gt;0,AD11,0)-AD13-AD17-AD74</f>
        <v>11009.678677222957</v>
      </c>
      <c r="AE77" s="17">
        <f>AE9-AE10-IF(Hypothèses!$C$11&gt;0,AE11,0)-AE13-AE17-AE74</f>
        <v>10687.272012061103</v>
      </c>
      <c r="AF77" s="17">
        <f>AF9-AF10-IF(Hypothèses!$C$11&gt;0,AF11,0)-AF13-AF17-AF74</f>
        <v>10464.327235839864</v>
      </c>
      <c r="AG77" s="17">
        <f>AG9-AG10-IF(Hypothèses!$C$11&gt;0,AG11,0)-AG13-AG17-AG74</f>
        <v>10559.790508198263</v>
      </c>
    </row>
    <row r="78" spans="2:33" x14ac:dyDescent="0.35">
      <c r="B78" s="10" t="s">
        <v>438</v>
      </c>
      <c r="D78" s="17">
        <f>0</f>
        <v>0</v>
      </c>
      <c r="E78" s="17">
        <f t="shared" ref="E78:AG78" si="26">D87</f>
        <v>0</v>
      </c>
      <c r="F78" s="17">
        <f t="shared" si="26"/>
        <v>0</v>
      </c>
      <c r="G78" s="17">
        <f t="shared" si="26"/>
        <v>0</v>
      </c>
      <c r="H78" s="17">
        <f t="shared" si="26"/>
        <v>0</v>
      </c>
      <c r="I78" s="17">
        <f t="shared" si="26"/>
        <v>0</v>
      </c>
      <c r="J78" s="17">
        <f t="shared" si="26"/>
        <v>0</v>
      </c>
      <c r="K78" s="17">
        <f t="shared" si="26"/>
        <v>0</v>
      </c>
      <c r="L78" s="17">
        <f t="shared" si="26"/>
        <v>0</v>
      </c>
      <c r="M78" s="17">
        <f t="shared" si="26"/>
        <v>0</v>
      </c>
      <c r="N78" s="17">
        <f t="shared" si="26"/>
        <v>0</v>
      </c>
      <c r="O78" s="17">
        <f t="shared" si="26"/>
        <v>0</v>
      </c>
      <c r="P78" s="17">
        <f t="shared" si="26"/>
        <v>0</v>
      </c>
      <c r="Q78" s="17">
        <f t="shared" si="26"/>
        <v>0</v>
      </c>
      <c r="R78" s="17">
        <f t="shared" si="26"/>
        <v>0</v>
      </c>
      <c r="S78" s="17">
        <f t="shared" si="26"/>
        <v>0</v>
      </c>
      <c r="T78" s="17">
        <f t="shared" si="26"/>
        <v>0</v>
      </c>
      <c r="U78" s="17">
        <f t="shared" si="26"/>
        <v>0</v>
      </c>
      <c r="V78" s="17">
        <f t="shared" si="26"/>
        <v>0</v>
      </c>
      <c r="W78" s="17">
        <f t="shared" si="26"/>
        <v>0</v>
      </c>
      <c r="X78" s="17">
        <f t="shared" si="26"/>
        <v>0</v>
      </c>
      <c r="Y78" s="17">
        <f t="shared" si="26"/>
        <v>10371.61533955772</v>
      </c>
      <c r="Z78" s="17">
        <f t="shared" si="26"/>
        <v>20846.946832511017</v>
      </c>
      <c r="AA78" s="17">
        <f t="shared" si="26"/>
        <v>31427.031640393849</v>
      </c>
      <c r="AB78" s="17">
        <f t="shared" si="26"/>
        <v>42112.91729635551</v>
      </c>
      <c r="AC78" s="17">
        <f t="shared" si="26"/>
        <v>52905.661808876786</v>
      </c>
      <c r="AD78" s="17">
        <f t="shared" si="26"/>
        <v>63806.333766523276</v>
      </c>
      <c r="AE78" s="17">
        <f t="shared" si="26"/>
        <v>74816.012443746236</v>
      </c>
      <c r="AF78" s="17">
        <f t="shared" si="26"/>
        <v>85503.284455807341</v>
      </c>
      <c r="AG78" s="17">
        <f t="shared" si="26"/>
        <v>95967.611691647209</v>
      </c>
    </row>
    <row r="79" spans="2:33" x14ac:dyDescent="0.35">
      <c r="B79" s="10" t="s">
        <v>439</v>
      </c>
      <c r="C79" s="14">
        <f>SUMPRODUCT((D$6:AG$6&lt;=Hypothèses!$C$44)*(D79:AG79))</f>
        <v>53998.17615911919</v>
      </c>
      <c r="D79" s="17">
        <f t="shared" ref="D79:AG79" si="27">MAX(0,-(D78+D77))</f>
        <v>5792.6982758643026</v>
      </c>
      <c r="E79" s="17">
        <f t="shared" si="27"/>
        <v>5707.6982758643026</v>
      </c>
      <c r="F79" s="17">
        <f t="shared" si="27"/>
        <v>5621.848275864304</v>
      </c>
      <c r="G79" s="17">
        <f t="shared" si="27"/>
        <v>5535.1397758643034</v>
      </c>
      <c r="H79" s="17">
        <f t="shared" si="27"/>
        <v>5447.5641908643029</v>
      </c>
      <c r="I79" s="17">
        <f t="shared" si="27"/>
        <v>5359.1128500143041</v>
      </c>
      <c r="J79" s="17">
        <f t="shared" si="27"/>
        <v>5269.7769957558012</v>
      </c>
      <c r="K79" s="17">
        <f t="shared" si="27"/>
        <v>5179.5477829547181</v>
      </c>
      <c r="L79" s="17">
        <f t="shared" si="27"/>
        <v>5088.4162780256174</v>
      </c>
      <c r="M79" s="17">
        <f t="shared" si="27"/>
        <v>4996.3734580472337</v>
      </c>
      <c r="N79" s="17">
        <f t="shared" si="27"/>
        <v>4903.4102098690637</v>
      </c>
      <c r="O79" s="17">
        <f t="shared" si="27"/>
        <v>4809.5173292091094</v>
      </c>
      <c r="P79" s="17">
        <f t="shared" si="27"/>
        <v>4714.6855197425593</v>
      </c>
      <c r="Q79" s="17">
        <f t="shared" si="27"/>
        <v>4618.9053921813411</v>
      </c>
      <c r="R79" s="17">
        <f t="shared" si="27"/>
        <v>4522.1674633445109</v>
      </c>
      <c r="S79" s="17">
        <f t="shared" si="27"/>
        <v>4424.4621552193166</v>
      </c>
      <c r="T79" s="17">
        <f t="shared" si="27"/>
        <v>4325.7797940128603</v>
      </c>
      <c r="U79" s="17">
        <f t="shared" si="27"/>
        <v>4226.1106091943457</v>
      </c>
      <c r="V79" s="17">
        <f t="shared" si="27"/>
        <v>4125.4447325276487</v>
      </c>
      <c r="W79" s="17">
        <f t="shared" si="27"/>
        <v>4023.7721970942821</v>
      </c>
      <c r="X79" s="17">
        <f t="shared" si="27"/>
        <v>0</v>
      </c>
      <c r="Y79" s="17">
        <f t="shared" si="27"/>
        <v>0</v>
      </c>
      <c r="Z79" s="17">
        <f t="shared" si="27"/>
        <v>0</v>
      </c>
      <c r="AA79" s="17">
        <f t="shared" si="27"/>
        <v>0</v>
      </c>
      <c r="AB79" s="17">
        <f t="shared" si="27"/>
        <v>0</v>
      </c>
      <c r="AC79" s="17">
        <f t="shared" si="27"/>
        <v>0</v>
      </c>
      <c r="AD79" s="17">
        <f t="shared" si="27"/>
        <v>0</v>
      </c>
      <c r="AE79" s="17">
        <f t="shared" si="27"/>
        <v>0</v>
      </c>
      <c r="AF79" s="17">
        <f t="shared" si="27"/>
        <v>0</v>
      </c>
      <c r="AG79" s="17">
        <f t="shared" si="27"/>
        <v>0</v>
      </c>
    </row>
    <row r="80" spans="2:33" x14ac:dyDescent="0.35">
      <c r="B80" s="10" t="s">
        <v>440</v>
      </c>
      <c r="D80" s="17">
        <f t="shared" ref="D80:AG80" si="28">D78+D77+D79</f>
        <v>0</v>
      </c>
      <c r="E80" s="17">
        <f t="shared" si="28"/>
        <v>0</v>
      </c>
      <c r="F80" s="17">
        <f t="shared" si="28"/>
        <v>0</v>
      </c>
      <c r="G80" s="17">
        <f t="shared" si="28"/>
        <v>0</v>
      </c>
      <c r="H80" s="17">
        <f t="shared" si="28"/>
        <v>0</v>
      </c>
      <c r="I80" s="17">
        <f t="shared" si="28"/>
        <v>0</v>
      </c>
      <c r="J80" s="17">
        <f t="shared" si="28"/>
        <v>0</v>
      </c>
      <c r="K80" s="17">
        <f t="shared" si="28"/>
        <v>0</v>
      </c>
      <c r="L80" s="17">
        <f t="shared" si="28"/>
        <v>0</v>
      </c>
      <c r="M80" s="17">
        <f t="shared" si="28"/>
        <v>0</v>
      </c>
      <c r="N80" s="17">
        <f t="shared" si="28"/>
        <v>0</v>
      </c>
      <c r="O80" s="17">
        <f t="shared" si="28"/>
        <v>0</v>
      </c>
      <c r="P80" s="17">
        <f t="shared" si="28"/>
        <v>0</v>
      </c>
      <c r="Q80" s="17">
        <f t="shared" si="28"/>
        <v>0</v>
      </c>
      <c r="R80" s="17">
        <f t="shared" si="28"/>
        <v>0</v>
      </c>
      <c r="S80" s="17">
        <f t="shared" si="28"/>
        <v>0</v>
      </c>
      <c r="T80" s="17">
        <f t="shared" si="28"/>
        <v>0</v>
      </c>
      <c r="U80" s="17">
        <f t="shared" si="28"/>
        <v>0</v>
      </c>
      <c r="V80" s="17">
        <f t="shared" si="28"/>
        <v>0</v>
      </c>
      <c r="W80" s="17">
        <f t="shared" si="28"/>
        <v>0</v>
      </c>
      <c r="X80" s="17">
        <f t="shared" si="28"/>
        <v>10371.61533955772</v>
      </c>
      <c r="Y80" s="17">
        <f t="shared" si="28"/>
        <v>20846.946832511017</v>
      </c>
      <c r="Z80" s="17">
        <f t="shared" si="28"/>
        <v>31427.031640393849</v>
      </c>
      <c r="AA80" s="17">
        <f t="shared" si="28"/>
        <v>42112.91729635551</v>
      </c>
      <c r="AB80" s="17">
        <f t="shared" si="28"/>
        <v>52905.661808876786</v>
      </c>
      <c r="AC80" s="17">
        <f t="shared" si="28"/>
        <v>63806.333766523276</v>
      </c>
      <c r="AD80" s="17">
        <f t="shared" si="28"/>
        <v>74816.012443746236</v>
      </c>
      <c r="AE80" s="17">
        <f t="shared" si="28"/>
        <v>85503.284455807341</v>
      </c>
      <c r="AF80" s="17">
        <f t="shared" si="28"/>
        <v>95967.611691647209</v>
      </c>
      <c r="AG80" s="17">
        <f t="shared" si="28"/>
        <v>106527.40219984547</v>
      </c>
    </row>
    <row r="81" spans="2:33" x14ac:dyDescent="0.35">
      <c r="B81" s="10" t="s">
        <v>441</v>
      </c>
      <c r="D81" s="17">
        <f>Hypothèses!$C$30</f>
        <v>29000</v>
      </c>
      <c r="E81" s="17">
        <f t="shared" ref="E81:AG81" si="29">D88</f>
        <v>34792.698275864299</v>
      </c>
      <c r="F81" s="17">
        <f t="shared" si="29"/>
        <v>40500.396551728598</v>
      </c>
      <c r="G81" s="17">
        <f t="shared" si="29"/>
        <v>46122.244827592905</v>
      </c>
      <c r="H81" s="17">
        <f t="shared" si="29"/>
        <v>51657.384603457205</v>
      </c>
      <c r="I81" s="17">
        <f t="shared" si="29"/>
        <v>57104.948794321506</v>
      </c>
      <c r="J81" s="17">
        <f t="shared" si="29"/>
        <v>62464.061644335809</v>
      </c>
      <c r="K81" s="17">
        <f t="shared" si="29"/>
        <v>67733.838640091606</v>
      </c>
      <c r="L81" s="17">
        <f t="shared" si="29"/>
        <v>72913.386423046322</v>
      </c>
      <c r="M81" s="17">
        <f t="shared" si="29"/>
        <v>78001.802701071938</v>
      </c>
      <c r="N81" s="17">
        <f t="shared" si="29"/>
        <v>82998.176159119175</v>
      </c>
      <c r="O81" s="17">
        <f t="shared" si="29"/>
        <v>87901.586368988239</v>
      </c>
      <c r="P81" s="17">
        <f t="shared" si="29"/>
        <v>92711.103698197345</v>
      </c>
      <c r="Q81" s="17">
        <f t="shared" si="29"/>
        <v>97425.789217939906</v>
      </c>
      <c r="R81" s="17">
        <f t="shared" si="29"/>
        <v>102044.69461012125</v>
      </c>
      <c r="S81" s="17">
        <f t="shared" si="29"/>
        <v>106566.86207346576</v>
      </c>
      <c r="T81" s="17">
        <f t="shared" si="29"/>
        <v>110991.32422868507</v>
      </c>
      <c r="U81" s="17">
        <f t="shared" si="29"/>
        <v>115317.10402269794</v>
      </c>
      <c r="V81" s="17">
        <f t="shared" si="29"/>
        <v>119543.21463189229</v>
      </c>
      <c r="W81" s="17">
        <f t="shared" si="29"/>
        <v>123668.65936441993</v>
      </c>
      <c r="X81" s="17">
        <f t="shared" si="29"/>
        <v>127692.43156151421</v>
      </c>
      <c r="Y81" s="17">
        <f t="shared" si="29"/>
        <v>127692.43156151421</v>
      </c>
      <c r="Z81" s="17">
        <f t="shared" si="29"/>
        <v>127692.43156151421</v>
      </c>
      <c r="AA81" s="17">
        <f t="shared" si="29"/>
        <v>127692.43156151421</v>
      </c>
      <c r="AB81" s="17">
        <f t="shared" si="29"/>
        <v>127692.43156151421</v>
      </c>
      <c r="AC81" s="17">
        <f t="shared" si="29"/>
        <v>127692.43156151421</v>
      </c>
      <c r="AD81" s="17">
        <f t="shared" si="29"/>
        <v>127692.43156151421</v>
      </c>
      <c r="AE81" s="17">
        <f t="shared" si="29"/>
        <v>127692.43156151421</v>
      </c>
      <c r="AF81" s="17">
        <f t="shared" si="29"/>
        <v>127692.43156151421</v>
      </c>
      <c r="AG81" s="17">
        <f t="shared" si="29"/>
        <v>127692.43156151421</v>
      </c>
    </row>
    <row r="82" spans="2:33" x14ac:dyDescent="0.35">
      <c r="B82" s="10" t="s">
        <v>442</v>
      </c>
      <c r="C82" s="14">
        <f>SUMPRODUCT((D$6:AG$6&lt;=Hypothèses!$C$44)*(D82:AG82))</f>
        <v>0</v>
      </c>
      <c r="D82" s="17">
        <f>IF(Hypothèses!$C$50=Paramètres!$C$33,MIN(D80,D81+D79),0)</f>
        <v>0</v>
      </c>
      <c r="E82" s="17">
        <f>IF(Hypothèses!$C$50=Paramètres!$C$33,MIN(E80,E81+E79),0)</f>
        <v>0</v>
      </c>
      <c r="F82" s="17">
        <f>IF(Hypothèses!$C$50=Paramètres!$C$33,MIN(F80,F81+F79),0)</f>
        <v>0</v>
      </c>
      <c r="G82" s="17">
        <f>IF(Hypothèses!$C$50=Paramètres!$C$33,MIN(G80,G81+G79),0)</f>
        <v>0</v>
      </c>
      <c r="H82" s="17">
        <f>IF(Hypothèses!$C$50=Paramètres!$C$33,MIN(H80,H81+H79),0)</f>
        <v>0</v>
      </c>
      <c r="I82" s="17">
        <f>IF(Hypothèses!$C$50=Paramètres!$C$33,MIN(I80,I81+I79),0)</f>
        <v>0</v>
      </c>
      <c r="J82" s="17">
        <f>IF(Hypothèses!$C$50=Paramètres!$C$33,MIN(J80,J81+J79),0)</f>
        <v>0</v>
      </c>
      <c r="K82" s="17">
        <f>IF(Hypothèses!$C$50=Paramètres!$C$33,MIN(K80,K81+K79),0)</f>
        <v>0</v>
      </c>
      <c r="L82" s="17">
        <f>IF(Hypothèses!$C$50=Paramètres!$C$33,MIN(L80,L81+L79),0)</f>
        <v>0</v>
      </c>
      <c r="M82" s="17">
        <f>IF(Hypothèses!$C$50=Paramètres!$C$33,MIN(M80,M81+M79),0)</f>
        <v>0</v>
      </c>
      <c r="N82" s="17">
        <f>IF(Hypothèses!$C$50=Paramètres!$C$33,MIN(N80,N81+N79),0)</f>
        <v>0</v>
      </c>
      <c r="O82" s="17">
        <f>IF(Hypothèses!$C$50=Paramètres!$C$33,MIN(O80,O81+O79),0)</f>
        <v>0</v>
      </c>
      <c r="P82" s="17">
        <f>IF(Hypothèses!$C$50=Paramètres!$C$33,MIN(P80,P81+P79),0)</f>
        <v>0</v>
      </c>
      <c r="Q82" s="17">
        <f>IF(Hypothèses!$C$50=Paramètres!$C$33,MIN(Q80,Q81+Q79),0)</f>
        <v>0</v>
      </c>
      <c r="R82" s="17">
        <f>IF(Hypothèses!$C$50=Paramètres!$C$33,MIN(R80,R81+R79),0)</f>
        <v>0</v>
      </c>
      <c r="S82" s="17">
        <f>IF(Hypothèses!$C$50=Paramètres!$C$33,MIN(S80,S81+S79),0)</f>
        <v>0</v>
      </c>
      <c r="T82" s="17">
        <f>IF(Hypothèses!$C$50=Paramètres!$C$33,MIN(T80,T81+T79),0)</f>
        <v>0</v>
      </c>
      <c r="U82" s="17">
        <f>IF(Hypothèses!$C$50=Paramètres!$C$33,MIN(U80,U81+U79),0)</f>
        <v>0</v>
      </c>
      <c r="V82" s="17">
        <f>IF(Hypothèses!$C$50=Paramètres!$C$33,MIN(V80,V81+V79),0)</f>
        <v>0</v>
      </c>
      <c r="W82" s="17">
        <f>IF(Hypothèses!$C$50=Paramètres!$C$33,MIN(W80,W81+W79),0)</f>
        <v>0</v>
      </c>
      <c r="X82" s="17">
        <f>IF(Hypothèses!$C$50=Paramètres!$C$33,MIN(X80,X81+X79),0)</f>
        <v>0</v>
      </c>
      <c r="Y82" s="17">
        <f>IF(Hypothèses!$C$50=Paramètres!$C$33,MIN(Y80,Y81+Y79),0)</f>
        <v>0</v>
      </c>
      <c r="Z82" s="17">
        <f>IF(Hypothèses!$C$50=Paramètres!$C$33,MIN(Z80,Z81+Z79),0)</f>
        <v>0</v>
      </c>
      <c r="AA82" s="17">
        <f>IF(Hypothèses!$C$50=Paramètres!$C$33,MIN(AA80,AA81+AA79),0)</f>
        <v>0</v>
      </c>
      <c r="AB82" s="17">
        <f>IF(Hypothèses!$C$50=Paramètres!$C$33,MIN(AB80,AB81+AB79),0)</f>
        <v>0</v>
      </c>
      <c r="AC82" s="17">
        <f>IF(Hypothèses!$C$50=Paramètres!$C$33,MIN(AC80,AC81+AC79),0)</f>
        <v>0</v>
      </c>
      <c r="AD82" s="17">
        <f>IF(Hypothèses!$C$50=Paramètres!$C$33,MIN(AD80,AD81+AD79),0)</f>
        <v>0</v>
      </c>
      <c r="AE82" s="17">
        <f>IF(Hypothèses!$C$50=Paramètres!$C$33,MIN(AE80,AE81+AE79),0)</f>
        <v>0</v>
      </c>
      <c r="AF82" s="17">
        <f>IF(Hypothèses!$C$50=Paramètres!$C$33,MIN(AF80,AF81+AF79),0)</f>
        <v>0</v>
      </c>
      <c r="AG82" s="17">
        <f>IF(Hypothèses!$C$50=Paramètres!$C$33,MIN(AG80,AG81+AG79),0)</f>
        <v>0</v>
      </c>
    </row>
    <row r="83" spans="2:33" x14ac:dyDescent="0.35">
      <c r="B83" s="10" t="s">
        <v>443</v>
      </c>
      <c r="C83" s="14">
        <f>SUMPRODUCT((D$6:AG$6&lt;=Hypothèses!$C$44)*(D83:AG83))</f>
        <v>0</v>
      </c>
      <c r="D83" s="17">
        <f>IF(Hypothèses!$C$50=Paramètres!$C$33,MAX(0,MIN(D80-D82,MAX(0,D76+D75))),0)</f>
        <v>0</v>
      </c>
      <c r="E83" s="17">
        <f>IF(Hypothèses!$C$50=Paramètres!$C$33,MAX(0,MIN(E80-E82,MAX(0,E76+E75))),0)</f>
        <v>0</v>
      </c>
      <c r="F83" s="17">
        <f>IF(Hypothèses!$C$50=Paramètres!$C$33,MAX(0,MIN(F80-F82,MAX(0,F76+F75))),0)</f>
        <v>0</v>
      </c>
      <c r="G83" s="17">
        <f>IF(Hypothèses!$C$50=Paramètres!$C$33,MAX(0,MIN(G80-G82,MAX(0,G76+G75))),0)</f>
        <v>0</v>
      </c>
      <c r="H83" s="17">
        <f>IF(Hypothèses!$C$50=Paramètres!$C$33,MAX(0,MIN(H80-H82,MAX(0,H76+H75))),0)</f>
        <v>0</v>
      </c>
      <c r="I83" s="17">
        <f>IF(Hypothèses!$C$50=Paramètres!$C$33,MAX(0,MIN(I80-I82,MAX(0,I76+I75))),0)</f>
        <v>0</v>
      </c>
      <c r="J83" s="17">
        <f>IF(Hypothèses!$C$50=Paramètres!$C$33,MAX(0,MIN(J80-J82,MAX(0,J76+J75))),0)</f>
        <v>0</v>
      </c>
      <c r="K83" s="17">
        <f>IF(Hypothèses!$C$50=Paramètres!$C$33,MAX(0,MIN(K80-K82,MAX(0,K76+K75))),0)</f>
        <v>0</v>
      </c>
      <c r="L83" s="17">
        <f>IF(Hypothèses!$C$50=Paramètres!$C$33,MAX(0,MIN(L80-L82,MAX(0,L76+L75))),0)</f>
        <v>0</v>
      </c>
      <c r="M83" s="17">
        <f>IF(Hypothèses!$C$50=Paramètres!$C$33,MAX(0,MIN(M80-M82,MAX(0,M76+M75))),0)</f>
        <v>0</v>
      </c>
      <c r="N83" s="17">
        <f>IF(Hypothèses!$C$50=Paramètres!$C$33,MAX(0,MIN(N80-N82,MAX(0,N76+N75))),0)</f>
        <v>0</v>
      </c>
      <c r="O83" s="17">
        <f>IF(Hypothèses!$C$50=Paramètres!$C$33,MAX(0,MIN(O80-O82,MAX(0,O76+O75))),0)</f>
        <v>0</v>
      </c>
      <c r="P83" s="17">
        <f>IF(Hypothèses!$C$50=Paramètres!$C$33,MAX(0,MIN(P80-P82,MAX(0,P76+P75))),0)</f>
        <v>0</v>
      </c>
      <c r="Q83" s="17">
        <f>IF(Hypothèses!$C$50=Paramètres!$C$33,MAX(0,MIN(Q80-Q82,MAX(0,Q76+Q75))),0)</f>
        <v>0</v>
      </c>
      <c r="R83" s="17">
        <f>IF(Hypothèses!$C$50=Paramètres!$C$33,MAX(0,MIN(R80-R82,MAX(0,R76+R75))),0)</f>
        <v>0</v>
      </c>
      <c r="S83" s="17">
        <f>IF(Hypothèses!$C$50=Paramètres!$C$33,MAX(0,MIN(S80-S82,MAX(0,S76+S75))),0)</f>
        <v>0</v>
      </c>
      <c r="T83" s="17">
        <f>IF(Hypothèses!$C$50=Paramètres!$C$33,MAX(0,MIN(T80-T82,MAX(0,T76+T75))),0)</f>
        <v>0</v>
      </c>
      <c r="U83" s="17">
        <f>IF(Hypothèses!$C$50=Paramètres!$C$33,MAX(0,MIN(U80-U82,MAX(0,U76+U75))),0)</f>
        <v>0</v>
      </c>
      <c r="V83" s="17">
        <f>IF(Hypothèses!$C$50=Paramètres!$C$33,MAX(0,MIN(V80-V82,MAX(0,V76+V75))),0)</f>
        <v>0</v>
      </c>
      <c r="W83" s="17">
        <f>IF(Hypothèses!$C$50=Paramètres!$C$33,MAX(0,MIN(W80-W82,MAX(0,W76+W75))),0)</f>
        <v>0</v>
      </c>
      <c r="X83" s="17">
        <f>IF(Hypothèses!$C$50=Paramètres!$C$33,MAX(0,MIN(X80-X82,MAX(0,X76+X75))),0)</f>
        <v>0</v>
      </c>
      <c r="Y83" s="17">
        <f>IF(Hypothèses!$C$50=Paramètres!$C$33,MAX(0,MIN(Y80-Y82,MAX(0,Y76+Y75))),0)</f>
        <v>0</v>
      </c>
      <c r="Z83" s="17">
        <f>IF(Hypothèses!$C$50=Paramètres!$C$33,MAX(0,MIN(Z80-Z82,MAX(0,Z76+Z75))),0)</f>
        <v>0</v>
      </c>
      <c r="AA83" s="17">
        <f>IF(Hypothèses!$C$50=Paramètres!$C$33,MAX(0,MIN(AA80-AA82,MAX(0,AA76+AA75))),0)</f>
        <v>0</v>
      </c>
      <c r="AB83" s="17">
        <f>IF(Hypothèses!$C$50=Paramètres!$C$33,MAX(0,MIN(AB80-AB82,MAX(0,AB76+AB75))),0)</f>
        <v>0</v>
      </c>
      <c r="AC83" s="17">
        <f>IF(Hypothèses!$C$50=Paramètres!$C$33,MAX(0,MIN(AC80-AC82,MAX(0,AC76+AC75))),0)</f>
        <v>0</v>
      </c>
      <c r="AD83" s="17">
        <f>IF(Hypothèses!$C$50=Paramètres!$C$33,MAX(0,MIN(AD80-AD82,MAX(0,AD76+AD75))),0)</f>
        <v>0</v>
      </c>
      <c r="AE83" s="17">
        <f>IF(Hypothèses!$C$50=Paramètres!$C$33,MAX(0,MIN(AE80-AE82,MAX(0,AE76+AE75))),0)</f>
        <v>0</v>
      </c>
      <c r="AF83" s="17">
        <f>IF(Hypothèses!$C$50=Paramètres!$C$33,MAX(0,MIN(AF80-AF82,MAX(0,AF76+AF75))),0)</f>
        <v>0</v>
      </c>
      <c r="AG83" s="17">
        <f>IF(Hypothèses!$C$50=Paramètres!$C$33,MAX(0,MIN(AG80-AG82,MAX(0,AG76+AG75))),0)</f>
        <v>0</v>
      </c>
    </row>
    <row r="84" spans="2:33" x14ac:dyDescent="0.35">
      <c r="B84" s="10" t="s">
        <v>444</v>
      </c>
      <c r="C84" s="14">
        <f>SUMPRODUCT((D$6:AG$6&lt;=Hypothèses!$C$44)*(D84:AG84))</f>
        <v>0</v>
      </c>
      <c r="D84" s="17">
        <f>D83*Paramètres!$C$18</f>
        <v>0</v>
      </c>
      <c r="E84" s="17">
        <f>E83*Paramètres!$C$18</f>
        <v>0</v>
      </c>
      <c r="F84" s="17">
        <f>F83*Paramètres!$C$18</f>
        <v>0</v>
      </c>
      <c r="G84" s="17">
        <f>G83*Paramètres!$C$18</f>
        <v>0</v>
      </c>
      <c r="H84" s="17">
        <f>H83*Paramètres!$C$18</f>
        <v>0</v>
      </c>
      <c r="I84" s="17">
        <f>I83*Paramètres!$C$18</f>
        <v>0</v>
      </c>
      <c r="J84" s="17">
        <f>J83*Paramètres!$C$18</f>
        <v>0</v>
      </c>
      <c r="K84" s="17">
        <f>K83*Paramètres!$C$18</f>
        <v>0</v>
      </c>
      <c r="L84" s="17">
        <f>L83*Paramètres!$C$18</f>
        <v>0</v>
      </c>
      <c r="M84" s="17">
        <f>M83*Paramètres!$C$18</f>
        <v>0</v>
      </c>
      <c r="N84" s="17">
        <f>N83*Paramètres!$C$18</f>
        <v>0</v>
      </c>
      <c r="O84" s="17">
        <f>O83*Paramètres!$C$18</f>
        <v>0</v>
      </c>
      <c r="P84" s="17">
        <f>P83*Paramètres!$C$18</f>
        <v>0</v>
      </c>
      <c r="Q84" s="17">
        <f>Q83*Paramètres!$C$18</f>
        <v>0</v>
      </c>
      <c r="R84" s="17">
        <f>R83*Paramètres!$C$18</f>
        <v>0</v>
      </c>
      <c r="S84" s="17">
        <f>S83*Paramètres!$C$18</f>
        <v>0</v>
      </c>
      <c r="T84" s="17">
        <f>T83*Paramètres!$C$18</f>
        <v>0</v>
      </c>
      <c r="U84" s="17">
        <f>U83*Paramètres!$C$18</f>
        <v>0</v>
      </c>
      <c r="V84" s="17">
        <f>V83*Paramètres!$C$18</f>
        <v>0</v>
      </c>
      <c r="W84" s="17">
        <f>W83*Paramètres!$C$18</f>
        <v>0</v>
      </c>
      <c r="X84" s="17">
        <f>X83*Paramètres!$C$18</f>
        <v>0</v>
      </c>
      <c r="Y84" s="17">
        <f>Y83*Paramètres!$C$18</f>
        <v>0</v>
      </c>
      <c r="Z84" s="17">
        <f>Z83*Paramètres!$C$18</f>
        <v>0</v>
      </c>
      <c r="AA84" s="17">
        <f>AA83*Paramètres!$C$18</f>
        <v>0</v>
      </c>
      <c r="AB84" s="17">
        <f>AB83*Paramètres!$C$18</f>
        <v>0</v>
      </c>
      <c r="AC84" s="17">
        <f>AC83*Paramètres!$C$18</f>
        <v>0</v>
      </c>
      <c r="AD84" s="17">
        <f>AD83*Paramètres!$C$18</f>
        <v>0</v>
      </c>
      <c r="AE84" s="17">
        <f>AE83*Paramètres!$C$18</f>
        <v>0</v>
      </c>
      <c r="AF84" s="17">
        <f>AF83*Paramètres!$C$18</f>
        <v>0</v>
      </c>
      <c r="AG84" s="17">
        <f>AG83*Paramètres!$C$18</f>
        <v>0</v>
      </c>
    </row>
    <row r="85" spans="2:33" x14ac:dyDescent="0.35">
      <c r="B85" s="10" t="s">
        <v>445</v>
      </c>
      <c r="C85" s="14">
        <f>SUMPRODUCT((D$6:AG$6&lt;=Hypothèses!$C$44)*(D85:AG85))</f>
        <v>0</v>
      </c>
      <c r="D85" s="17">
        <f t="shared" ref="D85:AG85" si="30">D83-D84</f>
        <v>0</v>
      </c>
      <c r="E85" s="17">
        <f t="shared" si="30"/>
        <v>0</v>
      </c>
      <c r="F85" s="17">
        <f t="shared" si="30"/>
        <v>0</v>
      </c>
      <c r="G85" s="17">
        <f t="shared" si="30"/>
        <v>0</v>
      </c>
      <c r="H85" s="17">
        <f t="shared" si="30"/>
        <v>0</v>
      </c>
      <c r="I85" s="17">
        <f t="shared" si="30"/>
        <v>0</v>
      </c>
      <c r="J85" s="17">
        <f t="shared" si="30"/>
        <v>0</v>
      </c>
      <c r="K85" s="17">
        <f t="shared" si="30"/>
        <v>0</v>
      </c>
      <c r="L85" s="17">
        <f t="shared" si="30"/>
        <v>0</v>
      </c>
      <c r="M85" s="17">
        <f t="shared" si="30"/>
        <v>0</v>
      </c>
      <c r="N85" s="17">
        <f t="shared" si="30"/>
        <v>0</v>
      </c>
      <c r="O85" s="17">
        <f t="shared" si="30"/>
        <v>0</v>
      </c>
      <c r="P85" s="17">
        <f t="shared" si="30"/>
        <v>0</v>
      </c>
      <c r="Q85" s="17">
        <f t="shared" si="30"/>
        <v>0</v>
      </c>
      <c r="R85" s="17">
        <f t="shared" si="30"/>
        <v>0</v>
      </c>
      <c r="S85" s="17">
        <f t="shared" si="30"/>
        <v>0</v>
      </c>
      <c r="T85" s="17">
        <f t="shared" si="30"/>
        <v>0</v>
      </c>
      <c r="U85" s="17">
        <f t="shared" si="30"/>
        <v>0</v>
      </c>
      <c r="V85" s="17">
        <f t="shared" si="30"/>
        <v>0</v>
      </c>
      <c r="W85" s="17">
        <f t="shared" si="30"/>
        <v>0</v>
      </c>
      <c r="X85" s="17">
        <f t="shared" si="30"/>
        <v>0</v>
      </c>
      <c r="Y85" s="17">
        <f t="shared" si="30"/>
        <v>0</v>
      </c>
      <c r="Z85" s="17">
        <f t="shared" si="30"/>
        <v>0</v>
      </c>
      <c r="AA85" s="17">
        <f t="shared" si="30"/>
        <v>0</v>
      </c>
      <c r="AB85" s="17">
        <f t="shared" si="30"/>
        <v>0</v>
      </c>
      <c r="AC85" s="17">
        <f t="shared" si="30"/>
        <v>0</v>
      </c>
      <c r="AD85" s="17">
        <f t="shared" si="30"/>
        <v>0</v>
      </c>
      <c r="AE85" s="17">
        <f t="shared" si="30"/>
        <v>0</v>
      </c>
      <c r="AF85" s="17">
        <f t="shared" si="30"/>
        <v>0</v>
      </c>
      <c r="AG85" s="17">
        <f t="shared" si="30"/>
        <v>0</v>
      </c>
    </row>
    <row r="86" spans="2:33" x14ac:dyDescent="0.35">
      <c r="B86" s="13" t="s">
        <v>446</v>
      </c>
      <c r="C86" s="14">
        <f>SUMPRODUCT((D$6:AG$6&lt;=Hypothèses!$C$44)*(D86:AG86))</f>
        <v>-53998.17615911919</v>
      </c>
      <c r="D86" s="14">
        <f t="shared" ref="D86:AG86" si="31">D82+D85-D79</f>
        <v>-5792.6982758643026</v>
      </c>
      <c r="E86" s="14">
        <f t="shared" si="31"/>
        <v>-5707.6982758643026</v>
      </c>
      <c r="F86" s="14">
        <f t="shared" si="31"/>
        <v>-5621.848275864304</v>
      </c>
      <c r="G86" s="14">
        <f t="shared" si="31"/>
        <v>-5535.1397758643034</v>
      </c>
      <c r="H86" s="14">
        <f t="shared" si="31"/>
        <v>-5447.5641908643029</v>
      </c>
      <c r="I86" s="14">
        <f t="shared" si="31"/>
        <v>-5359.1128500143041</v>
      </c>
      <c r="J86" s="14">
        <f t="shared" si="31"/>
        <v>-5269.7769957558012</v>
      </c>
      <c r="K86" s="14">
        <f t="shared" si="31"/>
        <v>-5179.5477829547181</v>
      </c>
      <c r="L86" s="14">
        <f t="shared" si="31"/>
        <v>-5088.4162780256174</v>
      </c>
      <c r="M86" s="14">
        <f t="shared" si="31"/>
        <v>-4996.3734580472337</v>
      </c>
      <c r="N86" s="14">
        <f t="shared" si="31"/>
        <v>-4903.4102098690637</v>
      </c>
      <c r="O86" s="14">
        <f t="shared" si="31"/>
        <v>-4809.5173292091094</v>
      </c>
      <c r="P86" s="14">
        <f t="shared" si="31"/>
        <v>-4714.6855197425593</v>
      </c>
      <c r="Q86" s="14">
        <f t="shared" si="31"/>
        <v>-4618.9053921813411</v>
      </c>
      <c r="R86" s="14">
        <f t="shared" si="31"/>
        <v>-4522.1674633445109</v>
      </c>
      <c r="S86" s="14">
        <f t="shared" si="31"/>
        <v>-4424.4621552193166</v>
      </c>
      <c r="T86" s="14">
        <f t="shared" si="31"/>
        <v>-4325.7797940128603</v>
      </c>
      <c r="U86" s="14">
        <f t="shared" si="31"/>
        <v>-4226.1106091943457</v>
      </c>
      <c r="V86" s="14">
        <f t="shared" si="31"/>
        <v>-4125.4447325276487</v>
      </c>
      <c r="W86" s="14">
        <f t="shared" si="31"/>
        <v>-4023.7721970942821</v>
      </c>
      <c r="X86" s="14">
        <f t="shared" si="31"/>
        <v>0</v>
      </c>
      <c r="Y86" s="14">
        <f t="shared" si="31"/>
        <v>0</v>
      </c>
      <c r="Z86" s="14">
        <f t="shared" si="31"/>
        <v>0</v>
      </c>
      <c r="AA86" s="14">
        <f t="shared" si="31"/>
        <v>0</v>
      </c>
      <c r="AB86" s="14">
        <f t="shared" si="31"/>
        <v>0</v>
      </c>
      <c r="AC86" s="14">
        <f t="shared" si="31"/>
        <v>0</v>
      </c>
      <c r="AD86" s="14">
        <f t="shared" si="31"/>
        <v>0</v>
      </c>
      <c r="AE86" s="14">
        <f t="shared" si="31"/>
        <v>0</v>
      </c>
      <c r="AF86" s="14">
        <f t="shared" si="31"/>
        <v>0</v>
      </c>
      <c r="AG86" s="14">
        <f t="shared" si="31"/>
        <v>0</v>
      </c>
    </row>
    <row r="87" spans="2:33" x14ac:dyDescent="0.35">
      <c r="B87" s="10" t="s">
        <v>447</v>
      </c>
      <c r="C87" s="14">
        <f>INDEX(D87:AG87,Hypothèses!$C$44)</f>
        <v>0</v>
      </c>
      <c r="D87" s="17">
        <f t="shared" ref="D87:AG87" si="32">D80-D82-D83</f>
        <v>0</v>
      </c>
      <c r="E87" s="17">
        <f t="shared" si="32"/>
        <v>0</v>
      </c>
      <c r="F87" s="17">
        <f t="shared" si="32"/>
        <v>0</v>
      </c>
      <c r="G87" s="17">
        <f t="shared" si="32"/>
        <v>0</v>
      </c>
      <c r="H87" s="17">
        <f t="shared" si="32"/>
        <v>0</v>
      </c>
      <c r="I87" s="17">
        <f t="shared" si="32"/>
        <v>0</v>
      </c>
      <c r="J87" s="17">
        <f t="shared" si="32"/>
        <v>0</v>
      </c>
      <c r="K87" s="17">
        <f t="shared" si="32"/>
        <v>0</v>
      </c>
      <c r="L87" s="17">
        <f t="shared" si="32"/>
        <v>0</v>
      </c>
      <c r="M87" s="17">
        <f t="shared" si="32"/>
        <v>0</v>
      </c>
      <c r="N87" s="17">
        <f t="shared" si="32"/>
        <v>0</v>
      </c>
      <c r="O87" s="17">
        <f t="shared" si="32"/>
        <v>0</v>
      </c>
      <c r="P87" s="17">
        <f t="shared" si="32"/>
        <v>0</v>
      </c>
      <c r="Q87" s="17">
        <f t="shared" si="32"/>
        <v>0</v>
      </c>
      <c r="R87" s="17">
        <f t="shared" si="32"/>
        <v>0</v>
      </c>
      <c r="S87" s="17">
        <f t="shared" si="32"/>
        <v>0</v>
      </c>
      <c r="T87" s="17">
        <f t="shared" si="32"/>
        <v>0</v>
      </c>
      <c r="U87" s="17">
        <f t="shared" si="32"/>
        <v>0</v>
      </c>
      <c r="V87" s="17">
        <f t="shared" si="32"/>
        <v>0</v>
      </c>
      <c r="W87" s="17">
        <f t="shared" si="32"/>
        <v>0</v>
      </c>
      <c r="X87" s="17">
        <f t="shared" si="32"/>
        <v>10371.61533955772</v>
      </c>
      <c r="Y87" s="17">
        <f t="shared" si="32"/>
        <v>20846.946832511017</v>
      </c>
      <c r="Z87" s="17">
        <f t="shared" si="32"/>
        <v>31427.031640393849</v>
      </c>
      <c r="AA87" s="17">
        <f t="shared" si="32"/>
        <v>42112.91729635551</v>
      </c>
      <c r="AB87" s="17">
        <f t="shared" si="32"/>
        <v>52905.661808876786</v>
      </c>
      <c r="AC87" s="17">
        <f t="shared" si="32"/>
        <v>63806.333766523276</v>
      </c>
      <c r="AD87" s="17">
        <f t="shared" si="32"/>
        <v>74816.012443746236</v>
      </c>
      <c r="AE87" s="17">
        <f t="shared" si="32"/>
        <v>85503.284455807341</v>
      </c>
      <c r="AF87" s="17">
        <f t="shared" si="32"/>
        <v>95967.611691647209</v>
      </c>
      <c r="AG87" s="17">
        <f t="shared" si="32"/>
        <v>106527.40219984547</v>
      </c>
    </row>
    <row r="88" spans="2:33" x14ac:dyDescent="0.35">
      <c r="B88" s="10" t="s">
        <v>448</v>
      </c>
      <c r="C88" s="14">
        <f>INDEX(D88:AG88,Hypothèses!$C$44)</f>
        <v>82998.176159119175</v>
      </c>
      <c r="D88" s="17">
        <f t="shared" ref="D88:AG88" si="33">D81+D79-D82</f>
        <v>34792.698275864299</v>
      </c>
      <c r="E88" s="17">
        <f t="shared" si="33"/>
        <v>40500.396551728598</v>
      </c>
      <c r="F88" s="17">
        <f t="shared" si="33"/>
        <v>46122.244827592905</v>
      </c>
      <c r="G88" s="17">
        <f t="shared" si="33"/>
        <v>51657.384603457205</v>
      </c>
      <c r="H88" s="17">
        <f t="shared" si="33"/>
        <v>57104.948794321506</v>
      </c>
      <c r="I88" s="17">
        <f t="shared" si="33"/>
        <v>62464.061644335809</v>
      </c>
      <c r="J88" s="17">
        <f t="shared" si="33"/>
        <v>67733.838640091606</v>
      </c>
      <c r="K88" s="17">
        <f t="shared" si="33"/>
        <v>72913.386423046322</v>
      </c>
      <c r="L88" s="17">
        <f t="shared" si="33"/>
        <v>78001.802701071938</v>
      </c>
      <c r="M88" s="17">
        <f t="shared" si="33"/>
        <v>82998.176159119175</v>
      </c>
      <c r="N88" s="17">
        <f t="shared" si="33"/>
        <v>87901.586368988239</v>
      </c>
      <c r="O88" s="17">
        <f t="shared" si="33"/>
        <v>92711.103698197345</v>
      </c>
      <c r="P88" s="17">
        <f t="shared" si="33"/>
        <v>97425.789217939906</v>
      </c>
      <c r="Q88" s="17">
        <f t="shared" si="33"/>
        <v>102044.69461012125</v>
      </c>
      <c r="R88" s="17">
        <f t="shared" si="33"/>
        <v>106566.86207346576</v>
      </c>
      <c r="S88" s="17">
        <f t="shared" si="33"/>
        <v>110991.32422868507</v>
      </c>
      <c r="T88" s="17">
        <f t="shared" si="33"/>
        <v>115317.10402269794</v>
      </c>
      <c r="U88" s="17">
        <f t="shared" si="33"/>
        <v>119543.21463189229</v>
      </c>
      <c r="V88" s="17">
        <f t="shared" si="33"/>
        <v>123668.65936441993</v>
      </c>
      <c r="W88" s="17">
        <f t="shared" si="33"/>
        <v>127692.43156151421</v>
      </c>
      <c r="X88" s="17">
        <f t="shared" si="33"/>
        <v>127692.43156151421</v>
      </c>
      <c r="Y88" s="17">
        <f t="shared" si="33"/>
        <v>127692.43156151421</v>
      </c>
      <c r="Z88" s="17">
        <f t="shared" si="33"/>
        <v>127692.43156151421</v>
      </c>
      <c r="AA88" s="17">
        <f t="shared" si="33"/>
        <v>127692.43156151421</v>
      </c>
      <c r="AB88" s="17">
        <f t="shared" si="33"/>
        <v>127692.43156151421</v>
      </c>
      <c r="AC88" s="17">
        <f t="shared" si="33"/>
        <v>127692.43156151421</v>
      </c>
      <c r="AD88" s="17">
        <f t="shared" si="33"/>
        <v>127692.43156151421</v>
      </c>
      <c r="AE88" s="17">
        <f t="shared" si="33"/>
        <v>127692.43156151421</v>
      </c>
      <c r="AF88" s="17">
        <f t="shared" si="33"/>
        <v>127692.43156151421</v>
      </c>
      <c r="AG88" s="17">
        <f t="shared" si="33"/>
        <v>127692.43156151421</v>
      </c>
    </row>
    <row r="89" spans="2:33" x14ac:dyDescent="0.35">
      <c r="B89" s="10" t="s">
        <v>449</v>
      </c>
      <c r="C89" s="14">
        <f>INDEX(D89:AG89,Hypothèses!$C$44)</f>
        <v>-42618.574110423964</v>
      </c>
      <c r="D89" s="17">
        <f t="shared" ref="D89:AG89" si="34">D76+D75-D83</f>
        <v>-6169.2785650236719</v>
      </c>
      <c r="E89" s="17">
        <f t="shared" si="34"/>
        <v>-12015.392934124615</v>
      </c>
      <c r="F89" s="17">
        <f t="shared" si="34"/>
        <v>-17529.636424912773</v>
      </c>
      <c r="G89" s="17">
        <f t="shared" si="34"/>
        <v>-22703.034674738268</v>
      </c>
      <c r="H89" s="17">
        <f t="shared" si="34"/>
        <v>-27526.337005720354</v>
      </c>
      <c r="I89" s="17">
        <f t="shared" si="34"/>
        <v>-31990.007506875518</v>
      </c>
      <c r="J89" s="17">
        <f t="shared" si="34"/>
        <v>-36084.215824031839</v>
      </c>
      <c r="K89" s="17">
        <f t="shared" si="34"/>
        <v>-38655.970505052494</v>
      </c>
      <c r="L89" s="17">
        <f t="shared" si="34"/>
        <v>-40837.680604716981</v>
      </c>
      <c r="M89" s="17">
        <f t="shared" si="34"/>
        <v>-42618.574110423964</v>
      </c>
      <c r="N89" s="17">
        <f t="shared" si="34"/>
        <v>-43987.54460668395</v>
      </c>
      <c r="O89" s="17">
        <f t="shared" si="34"/>
        <v>-44933.140453163433</v>
      </c>
      <c r="P89" s="17">
        <f t="shared" si="34"/>
        <v>-45443.553607823807</v>
      </c>
      <c r="Q89" s="17">
        <f t="shared" si="34"/>
        <v>-45506.608083468171</v>
      </c>
      <c r="R89" s="17">
        <f t="shared" si="34"/>
        <v>-45109.7480256239</v>
      </c>
      <c r="S89" s="17">
        <f t="shared" si="34"/>
        <v>-43906.69206595741</v>
      </c>
      <c r="T89" s="17">
        <f t="shared" si="34"/>
        <v>-42217.420605006439</v>
      </c>
      <c r="U89" s="17">
        <f t="shared" si="34"/>
        <v>-40028.162677590466</v>
      </c>
      <c r="V89" s="17">
        <f t="shared" si="34"/>
        <v>-37324.715720487729</v>
      </c>
      <c r="W89" s="17">
        <f t="shared" si="34"/>
        <v>-34092.431561514211</v>
      </c>
      <c r="X89" s="17">
        <f t="shared" si="34"/>
        <v>-29840.816221956491</v>
      </c>
      <c r="Y89" s="17">
        <f t="shared" si="34"/>
        <v>-25485.484729003194</v>
      </c>
      <c r="Z89" s="17">
        <f t="shared" si="34"/>
        <v>-21025.399921120363</v>
      </c>
      <c r="AA89" s="17">
        <f t="shared" si="34"/>
        <v>-16459.514265158701</v>
      </c>
      <c r="AB89" s="17">
        <f t="shared" si="34"/>
        <v>-11786.769752637425</v>
      </c>
      <c r="AC89" s="17">
        <f t="shared" si="34"/>
        <v>-7006.0977949909338</v>
      </c>
      <c r="AD89" s="17">
        <f t="shared" si="34"/>
        <v>-2116.4191177679768</v>
      </c>
      <c r="AE89" s="17">
        <f t="shared" si="34"/>
        <v>2450.8528942931262</v>
      </c>
      <c r="AF89" s="17">
        <f t="shared" si="34"/>
        <v>6795.1801301329897</v>
      </c>
      <c r="AG89" s="17">
        <f t="shared" si="34"/>
        <v>11234.970638331251</v>
      </c>
    </row>
    <row r="91" spans="2:33" ht="18" customHeight="1" x14ac:dyDescent="0.35">
      <c r="B91" s="1" t="s">
        <v>450</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spans="2:33" x14ac:dyDescent="0.35">
      <c r="B92" s="10" t="s">
        <v>313</v>
      </c>
      <c r="C92" s="17">
        <f>-Hypothèses!$C$30</f>
        <v>-29000</v>
      </c>
      <c r="D92" s="14">
        <f>IF(D$6&lt;=Hypothèses!$C$44,D28+IF(D$6=Hypothèses!$C$44,N(Comparateur!$C$31),0),0)</f>
        <v>-8553.9782758643014</v>
      </c>
      <c r="E92" s="14">
        <f>IF(E$6&lt;=Hypothèses!$C$44,E28+IF(E$6=Hypothèses!$C$44,N(Comparateur!$C$31),0),0)</f>
        <v>-8496.5910758643022</v>
      </c>
      <c r="F92" s="14">
        <f>IF(F$6&lt;=Hypothèses!$C$44,F28+IF(F$6=Hypothèses!$C$44,N(Comparateur!$C$31),0),0)</f>
        <v>-8438.6300038643021</v>
      </c>
      <c r="G92" s="14">
        <f>IF(G$6&lt;=Hypothèses!$C$44,G28+IF(G$6=Hypothèses!$C$44,N(Comparateur!$C$31),0),0)</f>
        <v>-8380.0893211443035</v>
      </c>
      <c r="H92" s="14">
        <f>IF(H$6&lt;=Hypothèses!$C$44,H28+IF(H$6=Hypothèses!$C$44,N(Comparateur!$C$31),0),0)</f>
        <v>-8320.9632315971012</v>
      </c>
      <c r="I92" s="14">
        <f>IF(I$6&lt;=Hypothèses!$C$44,I28+IF(I$6=Hypothèses!$C$44,N(Comparateur!$C$31),0),0)</f>
        <v>-8261.2458811544311</v>
      </c>
      <c r="J92" s="14">
        <f>IF(J$6&lt;=Hypothèses!$C$44,J28+IF(J$6=Hypothèses!$C$44,N(Comparateur!$C$31),0),0)</f>
        <v>-8200.9313572073297</v>
      </c>
      <c r="K92" s="14">
        <f>IF(K$6&lt;=Hypothèses!$C$44,K28+IF(K$6=Hypothèses!$C$44,N(Comparateur!$C$31),0),0)</f>
        <v>-8140.013688020761</v>
      </c>
      <c r="L92" s="14">
        <f>IF(L$6&lt;=Hypothèses!$C$44,L28+IF(L$6=Hypothèses!$C$44,N(Comparateur!$C$31),0),0)</f>
        <v>-8078.4868421423243</v>
      </c>
      <c r="M92" s="14">
        <f>IF(M$6&lt;=Hypothèses!$C$44,M28+IF(M$6=Hypothèses!$C$44,N(Comparateur!$C$31),0),0)</f>
        <v>108004.75565925313</v>
      </c>
      <c r="N92" s="14">
        <f>IF(N$6&lt;=Hypothèses!$C$44,N28+IF(N$6=Hypothèses!$C$44,N(Comparateur!$C$31),0),0)</f>
        <v>0</v>
      </c>
      <c r="O92" s="14">
        <f>IF(O$6&lt;=Hypothèses!$C$44,O28+IF(O$6=Hypothèses!$C$44,N(Comparateur!$C$31),0),0)</f>
        <v>0</v>
      </c>
      <c r="P92" s="14">
        <f>IF(P$6&lt;=Hypothèses!$C$44,P28+IF(P$6=Hypothèses!$C$44,N(Comparateur!$C$31),0),0)</f>
        <v>0</v>
      </c>
      <c r="Q92" s="14">
        <f>IF(Q$6&lt;=Hypothèses!$C$44,Q28+IF(Q$6=Hypothèses!$C$44,N(Comparateur!$C$31),0),0)</f>
        <v>0</v>
      </c>
      <c r="R92" s="14">
        <f>IF(R$6&lt;=Hypothèses!$C$44,R28+IF(R$6=Hypothèses!$C$44,N(Comparateur!$C$31),0),0)</f>
        <v>0</v>
      </c>
      <c r="S92" s="14">
        <f>IF(S$6&lt;=Hypothèses!$C$44,S28+IF(S$6=Hypothèses!$C$44,N(Comparateur!$C$31),0),0)</f>
        <v>0</v>
      </c>
      <c r="T92" s="14">
        <f>IF(T$6&lt;=Hypothèses!$C$44,T28+IF(T$6=Hypothèses!$C$44,N(Comparateur!$C$31),0),0)</f>
        <v>0</v>
      </c>
      <c r="U92" s="14">
        <f>IF(U$6&lt;=Hypothèses!$C$44,U28+IF(U$6=Hypothèses!$C$44,N(Comparateur!$C$31),0),0)</f>
        <v>0</v>
      </c>
      <c r="V92" s="14">
        <f>IF(V$6&lt;=Hypothèses!$C$44,V28+IF(V$6=Hypothèses!$C$44,N(Comparateur!$C$31),0),0)</f>
        <v>0</v>
      </c>
      <c r="W92" s="14">
        <f>IF(W$6&lt;=Hypothèses!$C$44,W28+IF(W$6=Hypothèses!$C$44,N(Comparateur!$C$31),0),0)</f>
        <v>0</v>
      </c>
      <c r="X92" s="14">
        <f>IF(X$6&lt;=Hypothèses!$C$44,X28+IF(X$6=Hypothèses!$C$44,N(Comparateur!$C$31),0),0)</f>
        <v>0</v>
      </c>
      <c r="Y92" s="14">
        <f>IF(Y$6&lt;=Hypothèses!$C$44,Y28+IF(Y$6=Hypothèses!$C$44,N(Comparateur!$C$31),0),0)</f>
        <v>0</v>
      </c>
      <c r="Z92" s="14">
        <f>IF(Z$6&lt;=Hypothèses!$C$44,Z28+IF(Z$6=Hypothèses!$C$44,N(Comparateur!$C$31),0),0)</f>
        <v>0</v>
      </c>
      <c r="AA92" s="14">
        <f>IF(AA$6&lt;=Hypothèses!$C$44,AA28+IF(AA$6=Hypothèses!$C$44,N(Comparateur!$C$31),0),0)</f>
        <v>0</v>
      </c>
      <c r="AB92" s="14">
        <f>IF(AB$6&lt;=Hypothèses!$C$44,AB28+IF(AB$6=Hypothèses!$C$44,N(Comparateur!$C$31),0),0)</f>
        <v>0</v>
      </c>
      <c r="AC92" s="14">
        <f>IF(AC$6&lt;=Hypothèses!$C$44,AC28+IF(AC$6=Hypothèses!$C$44,N(Comparateur!$C$31),0),0)</f>
        <v>0</v>
      </c>
      <c r="AD92" s="14">
        <f>IF(AD$6&lt;=Hypothèses!$C$44,AD28+IF(AD$6=Hypothèses!$C$44,N(Comparateur!$C$31),0),0)</f>
        <v>0</v>
      </c>
      <c r="AE92" s="14">
        <f>IF(AE$6&lt;=Hypothèses!$C$44,AE28+IF(AE$6=Hypothèses!$C$44,N(Comparateur!$C$31),0),0)</f>
        <v>0</v>
      </c>
      <c r="AF92" s="14">
        <f>IF(AF$6&lt;=Hypothèses!$C$44,AF28+IF(AF$6=Hypothèses!$C$44,N(Comparateur!$C$31),0),0)</f>
        <v>0</v>
      </c>
      <c r="AG92" s="14">
        <f>IF(AG$6&lt;=Hypothèses!$C$44,AG28+IF(AG$6=Hypothèses!$C$44,N(Comparateur!$C$31),0),0)</f>
        <v>0</v>
      </c>
    </row>
    <row r="93" spans="2:33" x14ac:dyDescent="0.35">
      <c r="B93" s="10" t="s">
        <v>314</v>
      </c>
      <c r="C93" s="17">
        <f>-Hypothèses!$C$30</f>
        <v>-29000</v>
      </c>
      <c r="D93" s="14">
        <f>IF(D$6&lt;=Hypothèses!$C$44,D44+IF(D$6=Hypothèses!$C$44,N(Comparateur!$D$31),0),0)</f>
        <v>-3600.771849214344</v>
      </c>
      <c r="E93" s="14">
        <f>IF(E$6&lt;=Hypothèses!$C$44,E44+IF(E$6=Hypothèses!$C$44,N(Comparateur!$D$31),0),0)</f>
        <v>-5680.4861984105628</v>
      </c>
      <c r="F93" s="14">
        <f>IF(F$6&lt;=Hypothèses!$C$44,F44+IF(F$6=Hypothèses!$C$44,N(Comparateur!$D$31),0),0)</f>
        <v>-5742.7467729741984</v>
      </c>
      <c r="G93" s="14">
        <f>IF(G$6&lt;=Hypothèses!$C$44,G44+IF(G$6=Hypothèses!$C$44,N(Comparateur!$D$31),0),0)</f>
        <v>-5808.299421908574</v>
      </c>
      <c r="H93" s="14">
        <f>IF(H$6&lt;=Hypothèses!$C$44,H44+IF(H$6=Hypothèses!$C$44,N(Comparateur!$D$31),0),0)</f>
        <v>-5877.2651277546629</v>
      </c>
      <c r="I93" s="14">
        <f>IF(I$6&lt;=Hypothèses!$C$44,I44+IF(I$6=Hypothèses!$C$44,N(Comparateur!$D$31),0),0)</f>
        <v>-5949.7689879064919</v>
      </c>
      <c r="J93" s="14">
        <f>IF(J$6&lt;=Hypothèses!$C$44,J44+IF(J$6=Hypothèses!$C$44,N(Comparateur!$D$31),0),0)</f>
        <v>-6025.9403515921986</v>
      </c>
      <c r="K93" s="14">
        <f>IF(K$6&lt;=Hypothèses!$C$44,K44+IF(K$6=Hypothèses!$C$44,N(Comparateur!$D$31),0),0)</f>
        <v>-6105.9129613863006</v>
      </c>
      <c r="L93" s="14">
        <f>IF(L$6&lt;=Hypothèses!$C$44,L44+IF(L$6=Hypothèses!$C$44,N(Comparateur!$D$31),0),0)</f>
        <v>-6189.8250994027112</v>
      </c>
      <c r="M93" s="14">
        <f>IF(M$6&lt;=Hypothèses!$C$44,M44+IF(M$6=Hypothèses!$C$44,N(Comparateur!$D$31),0),0)</f>
        <v>109743.28064873512</v>
      </c>
      <c r="N93" s="14">
        <f>IF(N$6&lt;=Hypothèses!$C$44,N44+IF(N$6=Hypothèses!$C$44,N(Comparateur!$D$31),0),0)</f>
        <v>0</v>
      </c>
      <c r="O93" s="14">
        <f>IF(O$6&lt;=Hypothèses!$C$44,O44+IF(O$6=Hypothèses!$C$44,N(Comparateur!$D$31),0),0)</f>
        <v>0</v>
      </c>
      <c r="P93" s="14">
        <f>IF(P$6&lt;=Hypothèses!$C$44,P44+IF(P$6=Hypothèses!$C$44,N(Comparateur!$D$31),0),0)</f>
        <v>0</v>
      </c>
      <c r="Q93" s="14">
        <f>IF(Q$6&lt;=Hypothèses!$C$44,Q44+IF(Q$6=Hypothèses!$C$44,N(Comparateur!$D$31),0),0)</f>
        <v>0</v>
      </c>
      <c r="R93" s="14">
        <f>IF(R$6&lt;=Hypothèses!$C$44,R44+IF(R$6=Hypothèses!$C$44,N(Comparateur!$D$31),0),0)</f>
        <v>0</v>
      </c>
      <c r="S93" s="14">
        <f>IF(S$6&lt;=Hypothèses!$C$44,S44+IF(S$6=Hypothèses!$C$44,N(Comparateur!$D$31),0),0)</f>
        <v>0</v>
      </c>
      <c r="T93" s="14">
        <f>IF(T$6&lt;=Hypothèses!$C$44,T44+IF(T$6=Hypothèses!$C$44,N(Comparateur!$D$31),0),0)</f>
        <v>0</v>
      </c>
      <c r="U93" s="14">
        <f>IF(U$6&lt;=Hypothèses!$C$44,U44+IF(U$6=Hypothèses!$C$44,N(Comparateur!$D$31),0),0)</f>
        <v>0</v>
      </c>
      <c r="V93" s="14">
        <f>IF(V$6&lt;=Hypothèses!$C$44,V44+IF(V$6=Hypothèses!$C$44,N(Comparateur!$D$31),0),0)</f>
        <v>0</v>
      </c>
      <c r="W93" s="14">
        <f>IF(W$6&lt;=Hypothèses!$C$44,W44+IF(W$6=Hypothèses!$C$44,N(Comparateur!$D$31),0),0)</f>
        <v>0</v>
      </c>
      <c r="X93" s="14">
        <f>IF(X$6&lt;=Hypothèses!$C$44,X44+IF(X$6=Hypothèses!$C$44,N(Comparateur!$D$31),0),0)</f>
        <v>0</v>
      </c>
      <c r="Y93" s="14">
        <f>IF(Y$6&lt;=Hypothèses!$C$44,Y44+IF(Y$6=Hypothèses!$C$44,N(Comparateur!$D$31),0),0)</f>
        <v>0</v>
      </c>
      <c r="Z93" s="14">
        <f>IF(Z$6&lt;=Hypothèses!$C$44,Z44+IF(Z$6=Hypothèses!$C$44,N(Comparateur!$D$31),0),0)</f>
        <v>0</v>
      </c>
      <c r="AA93" s="14">
        <f>IF(AA$6&lt;=Hypothèses!$C$44,AA44+IF(AA$6=Hypothèses!$C$44,N(Comparateur!$D$31),0),0)</f>
        <v>0</v>
      </c>
      <c r="AB93" s="14">
        <f>IF(AB$6&lt;=Hypothèses!$C$44,AB44+IF(AB$6=Hypothèses!$C$44,N(Comparateur!$D$31),0),0)</f>
        <v>0</v>
      </c>
      <c r="AC93" s="14">
        <f>IF(AC$6&lt;=Hypothèses!$C$44,AC44+IF(AC$6=Hypothèses!$C$44,N(Comparateur!$D$31),0),0)</f>
        <v>0</v>
      </c>
      <c r="AD93" s="14">
        <f>IF(AD$6&lt;=Hypothèses!$C$44,AD44+IF(AD$6=Hypothèses!$C$44,N(Comparateur!$D$31),0),0)</f>
        <v>0</v>
      </c>
      <c r="AE93" s="14">
        <f>IF(AE$6&lt;=Hypothèses!$C$44,AE44+IF(AE$6=Hypothèses!$C$44,N(Comparateur!$D$31),0),0)</f>
        <v>0</v>
      </c>
      <c r="AF93" s="14">
        <f>IF(AF$6&lt;=Hypothèses!$C$44,AF44+IF(AF$6=Hypothèses!$C$44,N(Comparateur!$D$31),0),0)</f>
        <v>0</v>
      </c>
      <c r="AG93" s="14">
        <f>IF(AG$6&lt;=Hypothèses!$C$44,AG44+IF(AG$6=Hypothèses!$C$44,N(Comparateur!$D$31),0),0)</f>
        <v>0</v>
      </c>
    </row>
    <row r="94" spans="2:33" x14ac:dyDescent="0.35">
      <c r="B94" s="10" t="s">
        <v>315</v>
      </c>
      <c r="C94" s="17">
        <f>-Hypothèses!$C$30</f>
        <v>-29000</v>
      </c>
      <c r="D94" s="14">
        <f>IF(D$6&lt;=Hypothèses!$C$44,D50+IF(D$6=Hypothèses!$C$44,N(Comparateur!$E$31),0),0)</f>
        <v>-7800.2982758643029</v>
      </c>
      <c r="E94" s="14">
        <f>IF(E$6&lt;=Hypothèses!$C$44,E50+IF(E$6=Hypothèses!$C$44,N(Comparateur!$E$31),0),0)</f>
        <v>-7735.374275864302</v>
      </c>
      <c r="F94" s="14">
        <f>IF(F$6&lt;=Hypothèses!$C$44,F50+IF(F$6=Hypothèses!$C$44,N(Comparateur!$E$31),0),0)</f>
        <v>-7669.8010358643032</v>
      </c>
      <c r="G94" s="14">
        <f>IF(G$6&lt;=Hypothèses!$C$44,G50+IF(G$6=Hypothèses!$C$44,N(Comparateur!$E$31),0),0)</f>
        <v>-7603.5720634643039</v>
      </c>
      <c r="H94" s="14">
        <f>IF(H$6&lt;=Hypothèses!$C$44,H50+IF(H$6=Hypothèses!$C$44,N(Comparateur!$E$31),0),0)</f>
        <v>-7536.6808013403024</v>
      </c>
      <c r="I94" s="14">
        <f>IF(I$6&lt;=Hypothèses!$C$44,I50+IF(I$6=Hypothèses!$C$44,N(Comparateur!$E$31),0),0)</f>
        <v>-7469.1206265950632</v>
      </c>
      <c r="J94" s="14">
        <f>IF(J$6&lt;=Hypothèses!$C$44,J50+IF(J$6=Hypothèses!$C$44,N(Comparateur!$E$31),0),0)</f>
        <v>-7400.8848501023695</v>
      </c>
      <c r="K94" s="14">
        <f>IF(K$6&lt;=Hypothèses!$C$44,K50+IF(K$6=Hypothèses!$C$44,N(Comparateur!$E$31),0),0)</f>
        <v>-7331.966715844751</v>
      </c>
      <c r="L94" s="14">
        <f>IF(L$6&lt;=Hypothèses!$C$44,L50+IF(L$6=Hypothèses!$C$44,N(Comparateur!$E$31),0),0)</f>
        <v>-7262.3594002445516</v>
      </c>
      <c r="M94" s="14">
        <f>IF(M$6&lt;=Hypothèses!$C$44,M50+IF(M$6=Hypothèses!$C$44,N(Comparateur!$E$31),0),0)</f>
        <v>108829.04437556988</v>
      </c>
      <c r="N94" s="14">
        <f>IF(N$6&lt;=Hypothèses!$C$44,N50+IF(N$6=Hypothèses!$C$44,N(Comparateur!$E$31),0),0)</f>
        <v>0</v>
      </c>
      <c r="O94" s="14">
        <f>IF(O$6&lt;=Hypothèses!$C$44,O50+IF(O$6=Hypothèses!$C$44,N(Comparateur!$E$31),0),0)</f>
        <v>0</v>
      </c>
      <c r="P94" s="14">
        <f>IF(P$6&lt;=Hypothèses!$C$44,P50+IF(P$6=Hypothèses!$C$44,N(Comparateur!$E$31),0),0)</f>
        <v>0</v>
      </c>
      <c r="Q94" s="14">
        <f>IF(Q$6&lt;=Hypothèses!$C$44,Q50+IF(Q$6=Hypothèses!$C$44,N(Comparateur!$E$31),0),0)</f>
        <v>0</v>
      </c>
      <c r="R94" s="14">
        <f>IF(R$6&lt;=Hypothèses!$C$44,R50+IF(R$6=Hypothèses!$C$44,N(Comparateur!$E$31),0),0)</f>
        <v>0</v>
      </c>
      <c r="S94" s="14">
        <f>IF(S$6&lt;=Hypothèses!$C$44,S50+IF(S$6=Hypothèses!$C$44,N(Comparateur!$E$31),0),0)</f>
        <v>0</v>
      </c>
      <c r="T94" s="14">
        <f>IF(T$6&lt;=Hypothèses!$C$44,T50+IF(T$6=Hypothèses!$C$44,N(Comparateur!$E$31),0),0)</f>
        <v>0</v>
      </c>
      <c r="U94" s="14">
        <f>IF(U$6&lt;=Hypothèses!$C$44,U50+IF(U$6=Hypothèses!$C$44,N(Comparateur!$E$31),0),0)</f>
        <v>0</v>
      </c>
      <c r="V94" s="14">
        <f>IF(V$6&lt;=Hypothèses!$C$44,V50+IF(V$6=Hypothèses!$C$44,N(Comparateur!$E$31),0),0)</f>
        <v>0</v>
      </c>
      <c r="W94" s="14">
        <f>IF(W$6&lt;=Hypothèses!$C$44,W50+IF(W$6=Hypothèses!$C$44,N(Comparateur!$E$31),0),0)</f>
        <v>0</v>
      </c>
      <c r="X94" s="14">
        <f>IF(X$6&lt;=Hypothèses!$C$44,X50+IF(X$6=Hypothèses!$C$44,N(Comparateur!$E$31),0),0)</f>
        <v>0</v>
      </c>
      <c r="Y94" s="14">
        <f>IF(Y$6&lt;=Hypothèses!$C$44,Y50+IF(Y$6=Hypothèses!$C$44,N(Comparateur!$E$31),0),0)</f>
        <v>0</v>
      </c>
      <c r="Z94" s="14">
        <f>IF(Z$6&lt;=Hypothèses!$C$44,Z50+IF(Z$6=Hypothèses!$C$44,N(Comparateur!$E$31),0),0)</f>
        <v>0</v>
      </c>
      <c r="AA94" s="14">
        <f>IF(AA$6&lt;=Hypothèses!$C$44,AA50+IF(AA$6=Hypothèses!$C$44,N(Comparateur!$E$31),0),0)</f>
        <v>0</v>
      </c>
      <c r="AB94" s="14">
        <f>IF(AB$6&lt;=Hypothèses!$C$44,AB50+IF(AB$6=Hypothèses!$C$44,N(Comparateur!$E$31),0),0)</f>
        <v>0</v>
      </c>
      <c r="AC94" s="14">
        <f>IF(AC$6&lt;=Hypothèses!$C$44,AC50+IF(AC$6=Hypothèses!$C$44,N(Comparateur!$E$31),0),0)</f>
        <v>0</v>
      </c>
      <c r="AD94" s="14">
        <f>IF(AD$6&lt;=Hypothèses!$C$44,AD50+IF(AD$6=Hypothèses!$C$44,N(Comparateur!$E$31),0),0)</f>
        <v>0</v>
      </c>
      <c r="AE94" s="14">
        <f>IF(AE$6&lt;=Hypothèses!$C$44,AE50+IF(AE$6=Hypothèses!$C$44,N(Comparateur!$E$31),0),0)</f>
        <v>0</v>
      </c>
      <c r="AF94" s="14">
        <f>IF(AF$6&lt;=Hypothèses!$C$44,AF50+IF(AF$6=Hypothèses!$C$44,N(Comparateur!$E$31),0),0)</f>
        <v>0</v>
      </c>
      <c r="AG94" s="14">
        <f>IF(AG$6&lt;=Hypothèses!$C$44,AG50+IF(AG$6=Hypothèses!$C$44,N(Comparateur!$E$31),0),0)</f>
        <v>0</v>
      </c>
    </row>
    <row r="95" spans="2:33" x14ac:dyDescent="0.35">
      <c r="B95" s="10" t="s">
        <v>316</v>
      </c>
      <c r="C95" s="17">
        <f>-Hypothèses!$C$30</f>
        <v>-29000</v>
      </c>
      <c r="D95" s="14">
        <f>IF(D$6&lt;=Hypothèses!$C$44,D66+IF(D$6=Hypothèses!$C$44,N(Comparateur!$F$31),0),0)</f>
        <v>-5092.6982758643026</v>
      </c>
      <c r="E95" s="14">
        <f>IF(E$6&lt;=Hypothèses!$C$44,E66+IF(E$6=Hypothèses!$C$44,N(Comparateur!$F$31),0),0)</f>
        <v>-5000.6982758643026</v>
      </c>
      <c r="F95" s="14">
        <f>IF(F$6&lt;=Hypothèses!$C$44,F66+IF(F$6=Hypothèses!$C$44,N(Comparateur!$F$31),0),0)</f>
        <v>-4907.7782758643025</v>
      </c>
      <c r="G95" s="14">
        <f>IF(G$6&lt;=Hypothèses!$C$44,G66+IF(G$6=Hypothèses!$C$44,N(Comparateur!$F$31),0),0)</f>
        <v>-4813.9290758643037</v>
      </c>
      <c r="H95" s="14">
        <f>IF(H$6&lt;=Hypothèses!$C$44,H66+IF(H$6=Hypothèses!$C$44,N(Comparateur!$F$31),0),0)</f>
        <v>-4719.141383864302</v>
      </c>
      <c r="I95" s="14">
        <f>IF(I$6&lt;=Hypothèses!$C$44,I66+IF(I$6=Hypothèses!$C$44,N(Comparateur!$F$31),0),0)</f>
        <v>-4623.4058149443044</v>
      </c>
      <c r="J95" s="14">
        <f>IF(J$6&lt;=Hypothèses!$C$44,J66+IF(J$6=Hypothèses!$C$44,N(Comparateur!$F$31),0),0)</f>
        <v>-4526.7128903351022</v>
      </c>
      <c r="K95" s="14">
        <f>IF(K$6&lt;=Hypothèses!$C$44,K66+IF(K$6=Hypothèses!$C$44,N(Comparateur!$F$31),0),0)</f>
        <v>-4429.0530364798105</v>
      </c>
      <c r="L95" s="14">
        <f>IF(L$6&lt;=Hypothèses!$C$44,L66+IF(L$6=Hypothèses!$C$44,N(Comparateur!$F$31),0),0)</f>
        <v>-4330.4165840859623</v>
      </c>
      <c r="M95" s="14">
        <f>IF(M$6&lt;=Hypothèses!$C$44,M66+IF(M$6=Hypothèses!$C$44,N(Comparateur!$F$31),0),0)</f>
        <v>105969.54327598587</v>
      </c>
      <c r="N95" s="14">
        <f>IF(N$6&lt;=Hypothèses!$C$44,N66+IF(N$6=Hypothèses!$C$44,N(Comparateur!$F$31),0),0)</f>
        <v>0</v>
      </c>
      <c r="O95" s="14">
        <f>IF(O$6&lt;=Hypothèses!$C$44,O66+IF(O$6=Hypothèses!$C$44,N(Comparateur!$F$31),0),0)</f>
        <v>0</v>
      </c>
      <c r="P95" s="14">
        <f>IF(P$6&lt;=Hypothèses!$C$44,P66+IF(P$6=Hypothèses!$C$44,N(Comparateur!$F$31),0),0)</f>
        <v>0</v>
      </c>
      <c r="Q95" s="14">
        <f>IF(Q$6&lt;=Hypothèses!$C$44,Q66+IF(Q$6=Hypothèses!$C$44,N(Comparateur!$F$31),0),0)</f>
        <v>0</v>
      </c>
      <c r="R95" s="14">
        <f>IF(R$6&lt;=Hypothèses!$C$44,R66+IF(R$6=Hypothèses!$C$44,N(Comparateur!$F$31),0),0)</f>
        <v>0</v>
      </c>
      <c r="S95" s="14">
        <f>IF(S$6&lt;=Hypothèses!$C$44,S66+IF(S$6=Hypothèses!$C$44,N(Comparateur!$F$31),0),0)</f>
        <v>0</v>
      </c>
      <c r="T95" s="14">
        <f>IF(T$6&lt;=Hypothèses!$C$44,T66+IF(T$6=Hypothèses!$C$44,N(Comparateur!$F$31),0),0)</f>
        <v>0</v>
      </c>
      <c r="U95" s="14">
        <f>IF(U$6&lt;=Hypothèses!$C$44,U66+IF(U$6=Hypothèses!$C$44,N(Comparateur!$F$31),0),0)</f>
        <v>0</v>
      </c>
      <c r="V95" s="14">
        <f>IF(V$6&lt;=Hypothèses!$C$44,V66+IF(V$6=Hypothèses!$C$44,N(Comparateur!$F$31),0),0)</f>
        <v>0</v>
      </c>
      <c r="W95" s="14">
        <f>IF(W$6&lt;=Hypothèses!$C$44,W66+IF(W$6=Hypothèses!$C$44,N(Comparateur!$F$31),0),0)</f>
        <v>0</v>
      </c>
      <c r="X95" s="14">
        <f>IF(X$6&lt;=Hypothèses!$C$44,X66+IF(X$6=Hypothèses!$C$44,N(Comparateur!$F$31),0),0)</f>
        <v>0</v>
      </c>
      <c r="Y95" s="14">
        <f>IF(Y$6&lt;=Hypothèses!$C$44,Y66+IF(Y$6=Hypothèses!$C$44,N(Comparateur!$F$31),0),0)</f>
        <v>0</v>
      </c>
      <c r="Z95" s="14">
        <f>IF(Z$6&lt;=Hypothèses!$C$44,Z66+IF(Z$6=Hypothèses!$C$44,N(Comparateur!$F$31),0),0)</f>
        <v>0</v>
      </c>
      <c r="AA95" s="14">
        <f>IF(AA$6&lt;=Hypothèses!$C$44,AA66+IF(AA$6=Hypothèses!$C$44,N(Comparateur!$F$31),0),0)</f>
        <v>0</v>
      </c>
      <c r="AB95" s="14">
        <f>IF(AB$6&lt;=Hypothèses!$C$44,AB66+IF(AB$6=Hypothèses!$C$44,N(Comparateur!$F$31),0),0)</f>
        <v>0</v>
      </c>
      <c r="AC95" s="14">
        <f>IF(AC$6&lt;=Hypothèses!$C$44,AC66+IF(AC$6=Hypothèses!$C$44,N(Comparateur!$F$31),0),0)</f>
        <v>0</v>
      </c>
      <c r="AD95" s="14">
        <f>IF(AD$6&lt;=Hypothèses!$C$44,AD66+IF(AD$6=Hypothèses!$C$44,N(Comparateur!$F$31),0),0)</f>
        <v>0</v>
      </c>
      <c r="AE95" s="14">
        <f>IF(AE$6&lt;=Hypothèses!$C$44,AE66+IF(AE$6=Hypothèses!$C$44,N(Comparateur!$F$31),0),0)</f>
        <v>0</v>
      </c>
      <c r="AF95" s="14">
        <f>IF(AF$6&lt;=Hypothèses!$C$44,AF66+IF(AF$6=Hypothèses!$C$44,N(Comparateur!$F$31),0),0)</f>
        <v>0</v>
      </c>
      <c r="AG95" s="14">
        <f>IF(AG$6&lt;=Hypothèses!$C$44,AG66+IF(AG$6=Hypothèses!$C$44,N(Comparateur!$F$31),0),0)</f>
        <v>0</v>
      </c>
    </row>
    <row r="96" spans="2:33" x14ac:dyDescent="0.35">
      <c r="B96" s="10" t="s">
        <v>451</v>
      </c>
      <c r="C96" s="17">
        <f>-Hypothèses!$C$30</f>
        <v>-29000</v>
      </c>
      <c r="D96" s="14">
        <f>IF(D$6&lt;=Hypothèses!$C$44,D86+IF(D$6=Hypothèses!$C$44,N(Comparateur!$G$31),0),0)</f>
        <v>-5792.6982758643026</v>
      </c>
      <c r="E96" s="14">
        <f>IF(E$6&lt;=Hypothèses!$C$44,E86+IF(E$6=Hypothèses!$C$44,N(Comparateur!$G$31),0),0)</f>
        <v>-5707.6982758643026</v>
      </c>
      <c r="F96" s="14">
        <f>IF(F$6&lt;=Hypothèses!$C$44,F86+IF(F$6=Hypothèses!$C$44,N(Comparateur!$G$31),0),0)</f>
        <v>-5621.848275864304</v>
      </c>
      <c r="G96" s="14">
        <f>IF(G$6&lt;=Hypothèses!$C$44,G86+IF(G$6=Hypothèses!$C$44,N(Comparateur!$G$31),0),0)</f>
        <v>-5535.1397758643034</v>
      </c>
      <c r="H96" s="14">
        <f>IF(H$6&lt;=Hypothèses!$C$44,H86+IF(H$6=Hypothèses!$C$44,N(Comparateur!$G$31),0),0)</f>
        <v>-5447.5641908643029</v>
      </c>
      <c r="I96" s="14">
        <f>IF(I$6&lt;=Hypothèses!$C$44,I86+IF(I$6=Hypothèses!$C$44,N(Comparateur!$G$31),0),0)</f>
        <v>-5359.1128500143041</v>
      </c>
      <c r="J96" s="14">
        <f>IF(J$6&lt;=Hypothèses!$C$44,J86+IF(J$6=Hypothèses!$C$44,N(Comparateur!$G$31),0),0)</f>
        <v>-5269.7769957558012</v>
      </c>
      <c r="K96" s="14">
        <f>IF(K$6&lt;=Hypothèses!$C$44,K86+IF(K$6=Hypothèses!$C$44,N(Comparateur!$G$31),0),0)</f>
        <v>-5179.5477829547181</v>
      </c>
      <c r="L96" s="14">
        <f>IF(L$6&lt;=Hypothèses!$C$44,L86+IF(L$6=Hypothèses!$C$44,N(Comparateur!$G$31),0),0)</f>
        <v>-5088.4162780256174</v>
      </c>
      <c r="M96" s="14">
        <f>IF(M$6&lt;=Hypothèses!$C$44,M86+IF(M$6=Hypothèses!$C$44,N(Comparateur!$G$31),0),0)</f>
        <v>97257.469818383208</v>
      </c>
      <c r="N96" s="14">
        <f>IF(N$6&lt;=Hypothèses!$C$44,N86+IF(N$6=Hypothèses!$C$44,N(Comparateur!$G$31),0),0)</f>
        <v>0</v>
      </c>
      <c r="O96" s="14">
        <f>IF(O$6&lt;=Hypothèses!$C$44,O86+IF(O$6=Hypothèses!$C$44,N(Comparateur!$G$31),0),0)</f>
        <v>0</v>
      </c>
      <c r="P96" s="14">
        <f>IF(P$6&lt;=Hypothèses!$C$44,P86+IF(P$6=Hypothèses!$C$44,N(Comparateur!$G$31),0),0)</f>
        <v>0</v>
      </c>
      <c r="Q96" s="14">
        <f>IF(Q$6&lt;=Hypothèses!$C$44,Q86+IF(Q$6=Hypothèses!$C$44,N(Comparateur!$G$31),0),0)</f>
        <v>0</v>
      </c>
      <c r="R96" s="14">
        <f>IF(R$6&lt;=Hypothèses!$C$44,R86+IF(R$6=Hypothèses!$C$44,N(Comparateur!$G$31),0),0)</f>
        <v>0</v>
      </c>
      <c r="S96" s="14">
        <f>IF(S$6&lt;=Hypothèses!$C$44,S86+IF(S$6=Hypothèses!$C$44,N(Comparateur!$G$31),0),0)</f>
        <v>0</v>
      </c>
      <c r="T96" s="14">
        <f>IF(T$6&lt;=Hypothèses!$C$44,T86+IF(T$6=Hypothèses!$C$44,N(Comparateur!$G$31),0),0)</f>
        <v>0</v>
      </c>
      <c r="U96" s="14">
        <f>IF(U$6&lt;=Hypothèses!$C$44,U86+IF(U$6=Hypothèses!$C$44,N(Comparateur!$G$31),0),0)</f>
        <v>0</v>
      </c>
      <c r="V96" s="14">
        <f>IF(V$6&lt;=Hypothèses!$C$44,V86+IF(V$6=Hypothèses!$C$44,N(Comparateur!$G$31),0),0)</f>
        <v>0</v>
      </c>
      <c r="W96" s="14">
        <f>IF(W$6&lt;=Hypothèses!$C$44,W86+IF(W$6=Hypothèses!$C$44,N(Comparateur!$G$31),0),0)</f>
        <v>0</v>
      </c>
      <c r="X96" s="14">
        <f>IF(X$6&lt;=Hypothèses!$C$44,X86+IF(X$6=Hypothèses!$C$44,N(Comparateur!$G$31),0),0)</f>
        <v>0</v>
      </c>
      <c r="Y96" s="14">
        <f>IF(Y$6&lt;=Hypothèses!$C$44,Y86+IF(Y$6=Hypothèses!$C$44,N(Comparateur!$G$31),0),0)</f>
        <v>0</v>
      </c>
      <c r="Z96" s="14">
        <f>IF(Z$6&lt;=Hypothèses!$C$44,Z86+IF(Z$6=Hypothèses!$C$44,N(Comparateur!$G$31),0),0)</f>
        <v>0</v>
      </c>
      <c r="AA96" s="14">
        <f>IF(AA$6&lt;=Hypothèses!$C$44,AA86+IF(AA$6=Hypothèses!$C$44,N(Comparateur!$G$31),0),0)</f>
        <v>0</v>
      </c>
      <c r="AB96" s="14">
        <f>IF(AB$6&lt;=Hypothèses!$C$44,AB86+IF(AB$6=Hypothèses!$C$44,N(Comparateur!$G$31),0),0)</f>
        <v>0</v>
      </c>
      <c r="AC96" s="14">
        <f>IF(AC$6&lt;=Hypothèses!$C$44,AC86+IF(AC$6=Hypothèses!$C$44,N(Comparateur!$G$31),0),0)</f>
        <v>0</v>
      </c>
      <c r="AD96" s="14">
        <f>IF(AD$6&lt;=Hypothèses!$C$44,AD86+IF(AD$6=Hypothèses!$C$44,N(Comparateur!$G$31),0),0)</f>
        <v>0</v>
      </c>
      <c r="AE96" s="14">
        <f>IF(AE$6&lt;=Hypothèses!$C$44,AE86+IF(AE$6=Hypothèses!$C$44,N(Comparateur!$G$31),0),0)</f>
        <v>0</v>
      </c>
      <c r="AF96" s="14">
        <f>IF(AF$6&lt;=Hypothèses!$C$44,AF86+IF(AF$6=Hypothèses!$C$44,N(Comparateur!$G$31),0),0)</f>
        <v>0</v>
      </c>
      <c r="AG96" s="14">
        <f>IF(AG$6&lt;=Hypothèses!$C$44,AG86+IF(AG$6=Hypothèses!$C$44,N(Comparateur!$G$31),0),0)</f>
        <v>0</v>
      </c>
    </row>
    <row r="98" spans="2:33" ht="36" customHeight="1" x14ac:dyDescent="0.35">
      <c r="B98" s="37" t="s">
        <v>216</v>
      </c>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row>
  </sheetData>
  <sheetProtection sheet="1" formatColumns="0" formatRows="0"/>
  <mergeCells count="1">
    <mergeCell ref="B98:AG98"/>
  </mergeCell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1" id="{00000000-000E-0000-0300-000001000000}">
            <xm:f>D$6&gt;Hypothèses!$C$44</xm:f>
            <x14:dxf>
              <font>
                <sz val="10"/>
                <color rgb="FFB0B7C3"/>
                <name val="Calibri"/>
              </font>
            </x14:dxf>
          </x14:cfRule>
          <xm:sqref>D6:AG97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16"/>
  <sheetViews>
    <sheetView showGridLines="0" workbookViewId="0">
      <selection activeCell="B1" sqref="B1"/>
    </sheetView>
  </sheetViews>
  <sheetFormatPr baseColWidth="10" defaultColWidth="8.7265625" defaultRowHeight="14.5" x14ac:dyDescent="0.35"/>
  <cols>
    <col min="1" max="1" width="2" customWidth="1"/>
    <col min="2" max="2" width="60" customWidth="1"/>
    <col min="3" max="3" width="14" customWidth="1"/>
    <col min="4" max="4" width="60" customWidth="1"/>
    <col min="5" max="5" width="30" customWidth="1"/>
    <col min="6" max="6" width="60" customWidth="1"/>
  </cols>
  <sheetData>
    <row r="1" spans="2:6" ht="20" customHeight="1" x14ac:dyDescent="0.35">
      <c r="B1" s="1" t="s">
        <v>0</v>
      </c>
      <c r="C1" s="1"/>
      <c r="D1" s="1"/>
      <c r="E1" s="1"/>
      <c r="F1" s="1"/>
    </row>
    <row r="2" spans="2:6" ht="26" customHeight="1" x14ac:dyDescent="0.35">
      <c r="B2" s="2" t="s">
        <v>35</v>
      </c>
    </row>
    <row r="3" spans="2:6" x14ac:dyDescent="0.35">
      <c r="B3" s="3" t="s">
        <v>452</v>
      </c>
    </row>
    <row r="5" spans="2:6" x14ac:dyDescent="0.35">
      <c r="B5" s="9" t="s">
        <v>219</v>
      </c>
    </row>
    <row r="6" spans="2:6" ht="18" customHeight="1" x14ac:dyDescent="0.35">
      <c r="B6" s="1" t="s">
        <v>453</v>
      </c>
      <c r="C6" s="1"/>
      <c r="D6" s="1"/>
      <c r="E6" s="1"/>
      <c r="F6" s="1"/>
    </row>
    <row r="7" spans="2:6" ht="30" customHeight="1" x14ac:dyDescent="0.35">
      <c r="B7" s="22" t="s">
        <v>143</v>
      </c>
      <c r="C7" s="22" t="s">
        <v>454</v>
      </c>
      <c r="D7" s="22" t="s">
        <v>455</v>
      </c>
      <c r="E7" s="22" t="s">
        <v>456</v>
      </c>
      <c r="F7" s="22" t="s">
        <v>457</v>
      </c>
    </row>
    <row r="8" spans="2:6" ht="16.5" customHeight="1" x14ac:dyDescent="0.35">
      <c r="B8" s="29" t="s">
        <v>458</v>
      </c>
      <c r="C8" s="16">
        <v>0.17199999999999999</v>
      </c>
      <c r="D8" s="24" t="str">
        <f>"CSS art. L136-6 (assiette des revenus du patrimoine) et L136-8 (taux : CSG 9,2 %), CRDS 0,5 %, CGI art. 235 ter (solidarité 7,5 %). Inchangé par la LFSS 2026. Vérifié le "&amp;TEXT(DAY(Paramètres!$C$111),"00")&amp;"/"&amp;TEXT(MONTH(Paramètres!$C$111),"00")&amp;"/"&amp;YEAR(Paramètres!$C$111)&amp;"."</f>
        <v>CSS art. L136-6 (assiette des revenus du patrimoine) et L136-8 (taux : CSG 9,2 %), CRDS 0,5 %, CGI art. 235 ter (solidarité 7,5 %). Inchangé par la LFSS 2026. Vérifié le 05/09/2026.</v>
      </c>
      <c r="E8" s="24" t="s">
        <v>459</v>
      </c>
      <c r="F8" s="24" t="s">
        <v>460</v>
      </c>
    </row>
    <row r="9" spans="2:6" ht="84" customHeight="1" x14ac:dyDescent="0.35">
      <c r="B9" s="29" t="s">
        <v>461</v>
      </c>
      <c r="C9" s="16">
        <v>0.186</v>
      </c>
      <c r="D9" s="24" t="str">
        <f>"LFSS 2026, loi n° 2025-1403 du 30/12/2025, art. 12, modifiant CSS art. L136-8 : CSG portée de 9,2 % à 10,6 % dès les revenus 2025. Vérifié le "&amp;TEXT(DAY(Paramètres!$C$111),"00")&amp;"/"&amp;TEXT(MONTH(Paramètres!$C$111),"00")&amp;"/"&amp;YEAR(Paramètres!$C$111)&amp;"."</f>
        <v>LFSS 2026, loi n° 2025-1403 du 30/12/2025, art. 12, modifiant CSS art. L136-8 : CSG portée de 9,2 % à 10,6 % dès les revenus 2025. Vérifié le 05/09/2026.</v>
      </c>
      <c r="E9" s="24" t="s">
        <v>459</v>
      </c>
      <c r="F9" s="24" t="s">
        <v>462</v>
      </c>
    </row>
    <row r="10" spans="2:6" ht="30" customHeight="1" x14ac:dyDescent="0.35">
      <c r="B10" s="29" t="s">
        <v>463</v>
      </c>
      <c r="C10" s="16">
        <v>6.8000000000000005E-2</v>
      </c>
      <c r="D10" s="24" t="str">
        <f>"CGI art. 154 quinquies II : 6,8 points de CSG déductibles sur les revenus du patrimoine soumis au barème. Fraction inchangée par la LFSS 2026. Vérifié le "&amp;TEXT(DAY(Paramètres!$C$111),"00")&amp;"/"&amp;TEXT(MONTH(Paramètres!$C$111),"00")&amp;"/"&amp;YEAR(Paramètres!$C$111)&amp;"."</f>
        <v>CGI art. 154 quinquies II : 6,8 points de CSG déductibles sur les revenus du patrimoine soumis au barème. Fraction inchangée par la LFSS 2026. Vérifié le 05/09/2026.</v>
      </c>
      <c r="E10" s="24" t="s">
        <v>464</v>
      </c>
      <c r="F10" s="24" t="s">
        <v>465</v>
      </c>
    </row>
    <row r="11" spans="2:6" ht="16.5" customHeight="1" x14ac:dyDescent="0.35">
      <c r="B11" s="29" t="s">
        <v>466</v>
      </c>
      <c r="C11" s="16">
        <v>0.3</v>
      </c>
      <c r="D11" s="24" t="str">
        <f>"CGI art. 32. Vérifié le "&amp;TEXT(DAY(Paramètres!$C$111),"00")&amp;"/"&amp;TEXT(MONTH(Paramètres!$C$111),"00")&amp;"/"&amp;YEAR(Paramètres!$C$111)&amp;"."</f>
        <v>CGI art. 32. Vérifié le 05/09/2026.</v>
      </c>
      <c r="E11" s="24" t="s">
        <v>467</v>
      </c>
      <c r="F11" s="24" t="s">
        <v>468</v>
      </c>
    </row>
    <row r="12" spans="2:6" ht="43.5" customHeight="1" x14ac:dyDescent="0.35">
      <c r="B12" s="29" t="s">
        <v>469</v>
      </c>
      <c r="C12" s="11">
        <v>15000</v>
      </c>
      <c r="D12" s="24" t="str">
        <f>"CGI art. 32, I. Vérifié le "&amp;TEXT(DAY(Paramètres!$C$111),"00")&amp;"/"&amp;TEXT(MONTH(Paramètres!$C$111),"00")&amp;"/"&amp;YEAR(Paramètres!$C$111)&amp;"."</f>
        <v>CGI art. 32, I. Vérifié le 05/09/2026.</v>
      </c>
      <c r="E12" s="24" t="s">
        <v>467</v>
      </c>
      <c r="F12" s="24" t="s">
        <v>470</v>
      </c>
    </row>
    <row r="13" spans="2:6" ht="30" customHeight="1" x14ac:dyDescent="0.35">
      <c r="B13" s="29" t="s">
        <v>471</v>
      </c>
      <c r="C13" s="11">
        <v>10700</v>
      </c>
      <c r="D13" s="24" t="str">
        <f>"CGI art. 156, I-3°. Vérifié le "&amp;TEXT(DAY(Paramètres!$C$111),"00")&amp;"/"&amp;TEXT(MONTH(Paramètres!$C$111),"00")&amp;"/"&amp;YEAR(Paramètres!$C$111)&amp;"."</f>
        <v>CGI art. 156, I-3°. Vérifié le 05/09/2026.</v>
      </c>
      <c r="E13" s="24" t="s">
        <v>467</v>
      </c>
      <c r="F13" s="24" t="s">
        <v>472</v>
      </c>
    </row>
    <row r="14" spans="2:6" ht="178.5" customHeight="1" x14ac:dyDescent="0.35">
      <c r="B14" s="29" t="s">
        <v>473</v>
      </c>
      <c r="C14" s="11">
        <v>21400</v>
      </c>
      <c r="D14" s="24" t="str">
        <f>"CGI art. 156, I-3°. Rehaussement à 21 400 € institué par la loi n° 2022-1499 du 01/12/2022 de finances rectificative pour 2022, art. 12 ; décret n° 2023-297 du 21/04/2023 ; CGI annexe III art. 41 DO ; BOFiP BOI-RFPI-BASE-30-20. Vérifié le "&amp;TEXT(DAY(Paramètres!$C$111),"00")&amp;"/"&amp;TEXT(MONTH(Paramètres!$C$111),"00")&amp;"/"&amp;YEAR(Paramètres!$C$111)&amp;"."</f>
        <v>CGI art. 156, I-3°. Rehaussement à 21 400 € institué par la loi n° 2022-1499 du 01/12/2022 de finances rectificative pour 2022, art. 12 ; décret n° 2023-297 du 21/04/2023 ; CGI annexe III art. 41 DO ; BOFiP BOI-RFPI-BASE-30-20. Vérifié le 05/09/2026.</v>
      </c>
      <c r="E14" s="24" t="s">
        <v>467</v>
      </c>
      <c r="F14" s="24" t="s">
        <v>474</v>
      </c>
    </row>
    <row r="15" spans="2:6" ht="30" customHeight="1" x14ac:dyDescent="0.35">
      <c r="B15" s="29" t="s">
        <v>475</v>
      </c>
      <c r="C15" s="16">
        <v>0.15</v>
      </c>
      <c r="D15" s="24" t="str">
        <f>"CGI art. 219, I-b : chiffre d'affaires inférieur à 10 M€, capital libéré et détenu à 75 % au moins par des personnes physiques. Vérifié le "&amp;TEXT(DAY(Paramètres!$C$111),"00")&amp;"/"&amp;TEXT(MONTH(Paramètres!$C$111),"00")&amp;"/"&amp;YEAR(Paramètres!$C$111)&amp;"."</f>
        <v>CGI art. 219, I-b : chiffre d'affaires inférieur à 10 M€, capital libéré et détenu à 75 % au moins par des personnes physiques. Vérifié le 05/09/2026.</v>
      </c>
      <c r="E15" s="24" t="s">
        <v>467</v>
      </c>
      <c r="F15" s="24" t="s">
        <v>476</v>
      </c>
    </row>
    <row r="16" spans="2:6" ht="16.5" customHeight="1" x14ac:dyDescent="0.35">
      <c r="B16" s="29" t="s">
        <v>477</v>
      </c>
      <c r="C16" s="11">
        <v>42500</v>
      </c>
      <c r="D16" s="24" t="str">
        <f>"CGI art. 219, I-b, par période de douze mois. L'amendement à 100 000 € du PLF 2026 n'a pas été retenu. Vérifié le "&amp;TEXT(DAY(Paramètres!$C$111),"00")&amp;"/"&amp;TEXT(MONTH(Paramètres!$C$111),"00")&amp;"/"&amp;YEAR(Paramètres!$C$111)&amp;"."</f>
        <v>CGI art. 219, I-b, par période de douze mois. L'amendement à 100 000 € du PLF 2026 n'a pas été retenu. Vérifié le 05/09/2026.</v>
      </c>
      <c r="E16" s="24" t="s">
        <v>467</v>
      </c>
      <c r="F16" s="24"/>
    </row>
    <row r="17" spans="2:6" ht="16.5" customHeight="1" x14ac:dyDescent="0.35">
      <c r="B17" s="29" t="s">
        <v>478</v>
      </c>
      <c r="C17" s="16">
        <v>0.25</v>
      </c>
      <c r="D17" s="24" t="str">
        <f>"CGI art. 219, I. Vérifié le "&amp;TEXT(DAY(Paramètres!$C$111),"00")&amp;"/"&amp;TEXT(MONTH(Paramètres!$C$111),"00")&amp;"/"&amp;YEAR(Paramètres!$C$111)&amp;"."</f>
        <v>CGI art. 219, I. Vérifié le 05/09/2026.</v>
      </c>
      <c r="E17" s="24" t="s">
        <v>467</v>
      </c>
      <c r="F17" s="24" t="s">
        <v>479</v>
      </c>
    </row>
    <row r="18" spans="2:6" ht="30" customHeight="1" x14ac:dyDescent="0.35">
      <c r="B18" s="29" t="s">
        <v>480</v>
      </c>
      <c r="C18" s="16">
        <v>0.314</v>
      </c>
      <c r="D18" s="24" t="str">
        <f>"CGI art. 200 A et 117 quater ; LFSS 2026, loi n° 2025-1403 du 30/12/2025, art. 12 : 31,4 % sur les dividendes perçus à compter du 01/01/2026. Vérifié le "&amp;TEXT(DAY(Paramètres!$C$111),"00")&amp;"/"&amp;TEXT(MONTH(Paramètres!$C$111),"00")&amp;"/"&amp;YEAR(Paramètres!$C$111)&amp;"."</f>
        <v>CGI art. 200 A et 117 quater ; LFSS 2026, loi n° 2025-1403 du 30/12/2025, art. 12 : 31,4 % sur les dividendes perçus à compter du 01/01/2026. Vérifié le 05/09/2026.</v>
      </c>
      <c r="E18" s="24" t="s">
        <v>481</v>
      </c>
      <c r="F18" s="24" t="s">
        <v>482</v>
      </c>
    </row>
    <row r="19" spans="2:6" ht="16.5" customHeight="1" x14ac:dyDescent="0.35">
      <c r="B19" s="29" t="s">
        <v>483</v>
      </c>
      <c r="C19" s="16">
        <v>0.19</v>
      </c>
      <c r="D19" s="24" t="str">
        <f>"CGI art. 200 B. Vérifié le "&amp;TEXT(DAY(Paramètres!$C$111),"00")&amp;"/"&amp;TEXT(MONTH(Paramètres!$C$111),"00")&amp;"/"&amp;YEAR(Paramètres!$C$111)&amp;"."</f>
        <v>CGI art. 200 B. Vérifié le 05/09/2026.</v>
      </c>
      <c r="E19" s="24" t="s">
        <v>467</v>
      </c>
      <c r="F19" s="24" t="s">
        <v>484</v>
      </c>
    </row>
    <row r="20" spans="2:6" ht="16.5" customHeight="1" x14ac:dyDescent="0.35">
      <c r="B20" s="29" t="s">
        <v>485</v>
      </c>
      <c r="C20" s="16">
        <v>0.17199999999999999</v>
      </c>
      <c r="D20" s="24" t="str">
        <f>"CSS art. L136-7 et L136-8 ; inchangé par la LFSS 2026 (la hausse de CSG vise les revenus, pas les plus-values immobilières). Vérifié le "&amp;TEXT(DAY(Paramètres!$C$111),"00")&amp;"/"&amp;TEXT(MONTH(Paramètres!$C$111),"00")&amp;"/"&amp;YEAR(Paramètres!$C$111)&amp;"."</f>
        <v>CSS art. L136-7 et L136-8 ; inchangé par la LFSS 2026 (la hausse de CSG vise les revenus, pas les plus-values immobilières). Vérifié le 05/09/2026.</v>
      </c>
      <c r="E20" s="24" t="s">
        <v>464</v>
      </c>
      <c r="F20" s="24"/>
    </row>
    <row r="21" spans="2:6" ht="70.5" customHeight="1" x14ac:dyDescent="0.35">
      <c r="B21" s="29" t="s">
        <v>486</v>
      </c>
      <c r="C21" s="16">
        <v>7.4999999999999997E-2</v>
      </c>
      <c r="D21" s="24" t="str">
        <f>"CGI art. 150 VB, II-3° ; BOFiP BOI-RFPI-PVI-20-10-20-20 : forfait réservé aux acquisitions à titre onéreux. Vérifié le "&amp;TEXT(DAY(Paramètres!$C$111),"00")&amp;"/"&amp;TEXT(MONTH(Paramètres!$C$111),"00")&amp;"/"&amp;YEAR(Paramètres!$C$111)&amp;"."</f>
        <v>CGI art. 150 VB, II-3° ; BOFiP BOI-RFPI-PVI-20-10-20-20 : forfait réservé aux acquisitions à titre onéreux. Vérifié le 05/09/2026.</v>
      </c>
      <c r="E21" s="24" t="s">
        <v>487</v>
      </c>
      <c r="F21" s="24" t="s">
        <v>488</v>
      </c>
    </row>
    <row r="22" spans="2:6" ht="43.5" customHeight="1" x14ac:dyDescent="0.35">
      <c r="B22" s="29" t="s">
        <v>489</v>
      </c>
      <c r="C22" s="16">
        <v>0.15</v>
      </c>
      <c r="D22" s="24" t="str">
        <f>"CGI art. 150 VB, II-4° : 15 % du prix d'acquisition, sans justificatif, pour un immeuble bâti détenu depuis plus de cinq ans. Vérifié le "&amp;TEXT(DAY(Paramètres!$C$111),"00")&amp;"/"&amp;TEXT(MONTH(Paramètres!$C$111),"00")&amp;"/"&amp;YEAR(Paramètres!$C$111)&amp;"."</f>
        <v>CGI art. 150 VB, II-4° : 15 % du prix d'acquisition, sans justificatif, pour un immeuble bâti détenu depuis plus de cinq ans. Vérifié le 05/09/2026.</v>
      </c>
      <c r="E22" s="24" t="s">
        <v>487</v>
      </c>
      <c r="F22" s="24" t="s">
        <v>490</v>
      </c>
    </row>
    <row r="23" spans="2:6" ht="16.5" customHeight="1" x14ac:dyDescent="0.35">
      <c r="B23" s="29" t="s">
        <v>491</v>
      </c>
      <c r="C23" s="18">
        <v>5</v>
      </c>
      <c r="D23" s="24" t="str">
        <f>"CGI art. 150 VB, II-4° : « plus de cinq ans ». Vérifié le "&amp;TEXT(DAY(Paramètres!$C$111),"00")&amp;"/"&amp;TEXT(MONTH(Paramètres!$C$111),"00")&amp;"/"&amp;YEAR(Paramètres!$C$111)&amp;"."</f>
        <v>CGI art. 150 VB, II-4° : « plus de cinq ans ». Vérifié le 05/09/2026.</v>
      </c>
      <c r="E23" s="24" t="s">
        <v>487</v>
      </c>
      <c r="F23" s="24" t="s">
        <v>492</v>
      </c>
    </row>
    <row r="25" spans="2:6" ht="18" customHeight="1" x14ac:dyDescent="0.35">
      <c r="B25" s="1" t="s">
        <v>493</v>
      </c>
      <c r="C25" s="1"/>
      <c r="D25" s="1"/>
      <c r="E25" s="1"/>
      <c r="F25" s="1"/>
    </row>
    <row r="26" spans="2:6" ht="30" customHeight="1" x14ac:dyDescent="0.35">
      <c r="B26" s="22" t="s">
        <v>494</v>
      </c>
      <c r="C26" s="22" t="s">
        <v>495</v>
      </c>
      <c r="D26" s="22" t="s">
        <v>496</v>
      </c>
      <c r="E26" s="22" t="s">
        <v>455</v>
      </c>
      <c r="F26" s="22" t="s">
        <v>457</v>
      </c>
    </row>
    <row r="27" spans="2:6" ht="44" customHeight="1" x14ac:dyDescent="0.35">
      <c r="B27" s="10" t="s">
        <v>286</v>
      </c>
      <c r="C27" s="16">
        <v>0.5</v>
      </c>
      <c r="D27" s="11">
        <v>83600</v>
      </c>
      <c r="E27" s="24" t="str">
        <f>"CGI art. 50-0 ; plafond revalorisé tous les trois ans : 83 600 € pour les recettes 2026 à 2028 (77 700 € pour 2025). Legifiscal, ARAPL Provence-Var, 18/02/2026. Vérifié le "&amp;TEXT(DAY(Paramètres!$C$111),"00")&amp;"/"&amp;TEXT(MONTH(Paramètres!$C$111),"00")&amp;"/"&amp;YEAR(Paramètres!$C$111)&amp;"."</f>
        <v>CGI art. 50-0 ; plafond revalorisé tous les trois ans : 83 600 € pour les recettes 2026 à 2028 (77 700 € pour 2025). Legifiscal, ARAPL Provence-Var, 18/02/2026. Vérifié le 05/09/2026.</v>
      </c>
      <c r="F27" s="24" t="s">
        <v>497</v>
      </c>
    </row>
    <row r="28" spans="2:6" ht="44" customHeight="1" x14ac:dyDescent="0.35">
      <c r="B28" s="10" t="s">
        <v>498</v>
      </c>
      <c r="C28" s="16">
        <v>0.5</v>
      </c>
      <c r="D28" s="11">
        <v>83600</v>
      </c>
      <c r="E28" s="24" t="str">
        <f>"CGI art. 50-0 modifié par la loi n° 2024-1039 du 19/11/2024 (dite Le Meur), revenus 2025 et suivants ; même plafond que le meublé classique. Vérifié le "&amp;TEXT(DAY(Paramètres!$C$111),"00")&amp;"/"&amp;TEXT(MONTH(Paramètres!$C$111),"00")&amp;"/"&amp;YEAR(Paramètres!$C$111)&amp;"."</f>
        <v>CGI art. 50-0 modifié par la loi n° 2024-1039 du 19/11/2024 (dite Le Meur), revenus 2025 et suivants ; même plafond que le meublé classique. Vérifié le 05/09/2026.</v>
      </c>
      <c r="F28" s="24" t="s">
        <v>499</v>
      </c>
    </row>
    <row r="29" spans="2:6" ht="44" customHeight="1" x14ac:dyDescent="0.35">
      <c r="B29" s="10" t="s">
        <v>500</v>
      </c>
      <c r="C29" s="16">
        <v>0.3</v>
      </c>
      <c r="D29" s="11">
        <v>15000</v>
      </c>
      <c r="E29" s="24" t="str">
        <f>"CGI art. 50-0, loi n° 2024-1039 du 19/11/2024 : abattement ramené de 50 à 30 %, plafond à 15 000 €. Vérifié le "&amp;TEXT(DAY(Paramètres!$C$111),"00")&amp;"/"&amp;TEXT(MONTH(Paramètres!$C$111),"00")&amp;"/"&amp;YEAR(Paramètres!$C$111)&amp;"."</f>
        <v>CGI art. 50-0, loi n° 2024-1039 du 19/11/2024 : abattement ramené de 50 à 30 %, plafond à 15 000 €. Vérifié le 05/09/2026.</v>
      </c>
      <c r="F29" s="24" t="s">
        <v>501</v>
      </c>
    </row>
    <row r="31" spans="2:6" ht="18" customHeight="1" x14ac:dyDescent="0.35">
      <c r="B31" s="1" t="s">
        <v>502</v>
      </c>
      <c r="C31" s="1"/>
      <c r="D31" s="1"/>
      <c r="E31" s="1"/>
      <c r="F31" s="1"/>
    </row>
    <row r="32" spans="2:6" ht="30" customHeight="1" x14ac:dyDescent="0.35">
      <c r="B32" s="22" t="s">
        <v>503</v>
      </c>
      <c r="C32" s="22" t="s">
        <v>504</v>
      </c>
      <c r="D32" s="22" t="s">
        <v>505</v>
      </c>
      <c r="E32" s="22" t="s">
        <v>506</v>
      </c>
      <c r="F32" s="22" t="s">
        <v>507</v>
      </c>
    </row>
    <row r="33" spans="2:6" ht="110" customHeight="1" x14ac:dyDescent="0.35">
      <c r="B33" s="16">
        <v>0</v>
      </c>
      <c r="C33" s="10" t="s">
        <v>508</v>
      </c>
      <c r="D33" s="10" t="s">
        <v>292</v>
      </c>
      <c r="E33" s="10" t="s">
        <v>224</v>
      </c>
      <c r="F33" s="24" t="s">
        <v>509</v>
      </c>
    </row>
    <row r="34" spans="2:6" x14ac:dyDescent="0.35">
      <c r="B34" s="16">
        <v>0.11</v>
      </c>
      <c r="C34" s="10" t="s">
        <v>289</v>
      </c>
      <c r="D34" s="10" t="s">
        <v>510</v>
      </c>
      <c r="E34" s="10" t="s">
        <v>511</v>
      </c>
    </row>
    <row r="35" spans="2:6" x14ac:dyDescent="0.35">
      <c r="B35" s="16">
        <v>0.3</v>
      </c>
      <c r="E35" s="10" t="s">
        <v>512</v>
      </c>
    </row>
    <row r="36" spans="2:6" x14ac:dyDescent="0.35">
      <c r="B36" s="16">
        <v>0.41</v>
      </c>
    </row>
    <row r="37" spans="2:6" x14ac:dyDescent="0.35">
      <c r="B37" s="16">
        <v>0.45</v>
      </c>
    </row>
    <row r="39" spans="2:6" ht="18" customHeight="1" x14ac:dyDescent="0.35">
      <c r="B39" s="1" t="s">
        <v>513</v>
      </c>
      <c r="C39" s="1"/>
      <c r="D39" s="1"/>
      <c r="E39" s="1"/>
      <c r="F39" s="1"/>
    </row>
    <row r="40" spans="2:6" ht="30" customHeight="1" x14ac:dyDescent="0.35">
      <c r="B40" s="22" t="s">
        <v>514</v>
      </c>
      <c r="C40" s="22" t="s">
        <v>515</v>
      </c>
      <c r="D40" s="22" t="s">
        <v>516</v>
      </c>
      <c r="E40" s="22" t="s">
        <v>455</v>
      </c>
      <c r="F40" s="22" t="s">
        <v>457</v>
      </c>
    </row>
    <row r="41" spans="2:6" ht="80" customHeight="1" x14ac:dyDescent="0.35">
      <c r="B41" s="30">
        <v>1</v>
      </c>
      <c r="C41" s="16">
        <v>0</v>
      </c>
      <c r="D41" s="16">
        <v>0</v>
      </c>
      <c r="E41" s="24" t="s">
        <v>517</v>
      </c>
      <c r="F41" s="24" t="s">
        <v>518</v>
      </c>
    </row>
    <row r="42" spans="2:6" x14ac:dyDescent="0.35">
      <c r="B42" s="30">
        <v>2</v>
      </c>
      <c r="C42" s="16">
        <v>0</v>
      </c>
      <c r="D42" s="16">
        <v>0</v>
      </c>
    </row>
    <row r="43" spans="2:6" x14ac:dyDescent="0.35">
      <c r="B43" s="30">
        <v>3</v>
      </c>
      <c r="C43" s="16">
        <v>0</v>
      </c>
      <c r="D43" s="16">
        <v>0</v>
      </c>
    </row>
    <row r="44" spans="2:6" x14ac:dyDescent="0.35">
      <c r="B44" s="30">
        <v>4</v>
      </c>
      <c r="C44" s="16">
        <v>0</v>
      </c>
      <c r="D44" s="16">
        <v>0</v>
      </c>
    </row>
    <row r="45" spans="2:6" x14ac:dyDescent="0.35">
      <c r="B45" s="30">
        <v>5</v>
      </c>
      <c r="C45" s="16">
        <v>0</v>
      </c>
      <c r="D45" s="16">
        <v>0</v>
      </c>
    </row>
    <row r="46" spans="2:6" x14ac:dyDescent="0.35">
      <c r="B46" s="30">
        <v>6</v>
      </c>
      <c r="C46" s="16">
        <v>0.06</v>
      </c>
      <c r="D46" s="16">
        <v>1.6500000000000001E-2</v>
      </c>
    </row>
    <row r="47" spans="2:6" x14ac:dyDescent="0.35">
      <c r="B47" s="30">
        <v>7</v>
      </c>
      <c r="C47" s="16">
        <v>0.12</v>
      </c>
      <c r="D47" s="16">
        <v>3.3000000000000002E-2</v>
      </c>
    </row>
    <row r="48" spans="2:6" x14ac:dyDescent="0.35">
      <c r="B48" s="30">
        <v>8</v>
      </c>
      <c r="C48" s="16">
        <v>0.18</v>
      </c>
      <c r="D48" s="16">
        <v>4.9500000000000002E-2</v>
      </c>
    </row>
    <row r="49" spans="2:4" x14ac:dyDescent="0.35">
      <c r="B49" s="30">
        <v>9</v>
      </c>
      <c r="C49" s="16">
        <v>0.24</v>
      </c>
      <c r="D49" s="16">
        <v>6.6000000000000003E-2</v>
      </c>
    </row>
    <row r="50" spans="2:4" x14ac:dyDescent="0.35">
      <c r="B50" s="30">
        <v>10</v>
      </c>
      <c r="C50" s="16">
        <v>0.3</v>
      </c>
      <c r="D50" s="16">
        <v>8.2500000000000004E-2</v>
      </c>
    </row>
    <row r="51" spans="2:4" x14ac:dyDescent="0.35">
      <c r="B51" s="30">
        <v>11</v>
      </c>
      <c r="C51" s="16">
        <v>0.36</v>
      </c>
      <c r="D51" s="16">
        <v>9.9000000000000005E-2</v>
      </c>
    </row>
    <row r="52" spans="2:4" x14ac:dyDescent="0.35">
      <c r="B52" s="30">
        <v>12</v>
      </c>
      <c r="C52" s="16">
        <v>0.42</v>
      </c>
      <c r="D52" s="16">
        <v>0.11550000000000001</v>
      </c>
    </row>
    <row r="53" spans="2:4" x14ac:dyDescent="0.35">
      <c r="B53" s="30">
        <v>13</v>
      </c>
      <c r="C53" s="16">
        <v>0.48</v>
      </c>
      <c r="D53" s="16">
        <v>0.13200000000000001</v>
      </c>
    </row>
    <row r="54" spans="2:4" x14ac:dyDescent="0.35">
      <c r="B54" s="30">
        <v>14</v>
      </c>
      <c r="C54" s="16">
        <v>0.54</v>
      </c>
      <c r="D54" s="16">
        <v>0.14849999999999999</v>
      </c>
    </row>
    <row r="55" spans="2:4" x14ac:dyDescent="0.35">
      <c r="B55" s="30">
        <v>15</v>
      </c>
      <c r="C55" s="16">
        <v>0.6</v>
      </c>
      <c r="D55" s="16">
        <v>0.16500000000000001</v>
      </c>
    </row>
    <row r="56" spans="2:4" x14ac:dyDescent="0.35">
      <c r="B56" s="30">
        <v>16</v>
      </c>
      <c r="C56" s="16">
        <v>0.66</v>
      </c>
      <c r="D56" s="16">
        <v>0.18149999999999999</v>
      </c>
    </row>
    <row r="57" spans="2:4" x14ac:dyDescent="0.35">
      <c r="B57" s="30">
        <v>17</v>
      </c>
      <c r="C57" s="16">
        <v>0.72</v>
      </c>
      <c r="D57" s="16">
        <v>0.19800000000000001</v>
      </c>
    </row>
    <row r="58" spans="2:4" x14ac:dyDescent="0.35">
      <c r="B58" s="30">
        <v>18</v>
      </c>
      <c r="C58" s="16">
        <v>0.78</v>
      </c>
      <c r="D58" s="16">
        <v>0.2145</v>
      </c>
    </row>
    <row r="59" spans="2:4" x14ac:dyDescent="0.35">
      <c r="B59" s="30">
        <v>19</v>
      </c>
      <c r="C59" s="16">
        <v>0.84</v>
      </c>
      <c r="D59" s="16">
        <v>0.23100000000000001</v>
      </c>
    </row>
    <row r="60" spans="2:4" x14ac:dyDescent="0.35">
      <c r="B60" s="30">
        <v>20</v>
      </c>
      <c r="C60" s="16">
        <v>0.9</v>
      </c>
      <c r="D60" s="16">
        <v>0.2475</v>
      </c>
    </row>
    <row r="61" spans="2:4" x14ac:dyDescent="0.35">
      <c r="B61" s="30">
        <v>21</v>
      </c>
      <c r="C61" s="16">
        <v>0.96</v>
      </c>
      <c r="D61" s="16">
        <v>0.26400000000000001</v>
      </c>
    </row>
    <row r="62" spans="2:4" x14ac:dyDescent="0.35">
      <c r="B62" s="30">
        <v>22</v>
      </c>
      <c r="C62" s="16">
        <v>1</v>
      </c>
      <c r="D62" s="16">
        <v>0.28000000000000003</v>
      </c>
    </row>
    <row r="63" spans="2:4" x14ac:dyDescent="0.35">
      <c r="B63" s="30">
        <v>23</v>
      </c>
      <c r="C63" s="16">
        <v>1</v>
      </c>
      <c r="D63" s="16">
        <v>0.37</v>
      </c>
    </row>
    <row r="64" spans="2:4" x14ac:dyDescent="0.35">
      <c r="B64" s="30">
        <v>24</v>
      </c>
      <c r="C64" s="16">
        <v>1</v>
      </c>
      <c r="D64" s="16">
        <v>0.46</v>
      </c>
    </row>
    <row r="65" spans="2:6" x14ac:dyDescent="0.35">
      <c r="B65" s="30">
        <v>25</v>
      </c>
      <c r="C65" s="16">
        <v>1</v>
      </c>
      <c r="D65" s="16">
        <v>0.55000000000000004</v>
      </c>
    </row>
    <row r="66" spans="2:6" x14ac:dyDescent="0.35">
      <c r="B66" s="30">
        <v>26</v>
      </c>
      <c r="C66" s="16">
        <v>1</v>
      </c>
      <c r="D66" s="16">
        <v>0.64</v>
      </c>
    </row>
    <row r="67" spans="2:6" x14ac:dyDescent="0.35">
      <c r="B67" s="30">
        <v>27</v>
      </c>
      <c r="C67" s="16">
        <v>1</v>
      </c>
      <c r="D67" s="16">
        <v>0.73</v>
      </c>
    </row>
    <row r="68" spans="2:6" x14ac:dyDescent="0.35">
      <c r="B68" s="30">
        <v>28</v>
      </c>
      <c r="C68" s="16">
        <v>1</v>
      </c>
      <c r="D68" s="16">
        <v>0.82</v>
      </c>
    </row>
    <row r="69" spans="2:6" x14ac:dyDescent="0.35">
      <c r="B69" s="30">
        <v>29</v>
      </c>
      <c r="C69" s="16">
        <v>1</v>
      </c>
      <c r="D69" s="16">
        <v>0.91</v>
      </c>
    </row>
    <row r="70" spans="2:6" x14ac:dyDescent="0.35">
      <c r="B70" s="30">
        <v>30</v>
      </c>
      <c r="C70" s="16">
        <v>1</v>
      </c>
      <c r="D70" s="16">
        <v>1</v>
      </c>
    </row>
    <row r="72" spans="2:6" ht="18" customHeight="1" x14ac:dyDescent="0.35">
      <c r="B72" s="1" t="s">
        <v>519</v>
      </c>
      <c r="C72" s="1"/>
      <c r="D72" s="1"/>
      <c r="E72" s="1"/>
      <c r="F72" s="1"/>
    </row>
    <row r="73" spans="2:6" ht="30" customHeight="1" x14ac:dyDescent="0.35">
      <c r="B73" s="22" t="s">
        <v>520</v>
      </c>
      <c r="C73" s="22" t="s">
        <v>521</v>
      </c>
      <c r="D73" s="22" t="s">
        <v>522</v>
      </c>
      <c r="E73" s="22" t="s">
        <v>523</v>
      </c>
      <c r="F73" s="22" t="s">
        <v>507</v>
      </c>
    </row>
    <row r="74" spans="2:6" ht="60" customHeight="1" x14ac:dyDescent="0.35">
      <c r="B74" s="11">
        <v>50000</v>
      </c>
      <c r="C74" s="16">
        <v>0.02</v>
      </c>
      <c r="D74" s="31">
        <v>0.05</v>
      </c>
      <c r="E74" s="11">
        <v>60000</v>
      </c>
      <c r="F74" s="24" t="str">
        <f>"CGI art. 1609 nonies G, version en vigueur depuis le 01/01/2024 (LF 2024, loi n° 2023-1322 art. 9), non abrogée ; BOFiP BOI-RFPI-TPVIE-10 et BOI-RFPI-TPVIE-20. Terrains à bâtir hors du champ. Vérifié le "&amp;TEXT(DAY(Paramètres!$C$111),"00")&amp;"/"&amp;TEXT(MONTH(Paramètres!$C$111),"00")&amp;"/"&amp;YEAR(Paramètres!$C$111)&amp;"."</f>
        <v>CGI art. 1609 nonies G, version en vigueur depuis le 01/01/2024 (LF 2024, loi n° 2023-1322 art. 9), non abrogée ; BOFiP BOI-RFPI-TPVIE-10 et BOI-RFPI-TPVIE-20. Terrains à bâtir hors du champ. Vérifié le 05/09/2026.</v>
      </c>
    </row>
    <row r="75" spans="2:6" ht="150" customHeight="1" x14ac:dyDescent="0.35">
      <c r="B75" s="11">
        <v>60000</v>
      </c>
      <c r="C75" s="16">
        <v>0.02</v>
      </c>
      <c r="D75" s="31">
        <v>0</v>
      </c>
      <c r="E75" s="11">
        <v>0</v>
      </c>
      <c r="F75" s="24" t="s">
        <v>524</v>
      </c>
    </row>
    <row r="76" spans="2:6" x14ac:dyDescent="0.35">
      <c r="B76" s="11">
        <v>100000</v>
      </c>
      <c r="C76" s="16">
        <v>0.03</v>
      </c>
      <c r="D76" s="31">
        <v>0.1</v>
      </c>
      <c r="E76" s="11">
        <v>110000</v>
      </c>
    </row>
    <row r="77" spans="2:6" x14ac:dyDescent="0.35">
      <c r="B77" s="11">
        <v>110000</v>
      </c>
      <c r="C77" s="16">
        <v>0.03</v>
      </c>
      <c r="D77" s="31">
        <v>0</v>
      </c>
      <c r="E77" s="11">
        <v>0</v>
      </c>
    </row>
    <row r="78" spans="2:6" x14ac:dyDescent="0.35">
      <c r="B78" s="11">
        <v>150000</v>
      </c>
      <c r="C78" s="16">
        <v>0.04</v>
      </c>
      <c r="D78" s="31">
        <v>0.15</v>
      </c>
      <c r="E78" s="11">
        <v>160000</v>
      </c>
    </row>
    <row r="79" spans="2:6" x14ac:dyDescent="0.35">
      <c r="B79" s="11">
        <v>160000</v>
      </c>
      <c r="C79" s="16">
        <v>0.04</v>
      </c>
      <c r="D79" s="31">
        <v>0</v>
      </c>
      <c r="E79" s="11">
        <v>0</v>
      </c>
    </row>
    <row r="80" spans="2:6" x14ac:dyDescent="0.35">
      <c r="B80" s="11">
        <v>200000</v>
      </c>
      <c r="C80" s="16">
        <v>0.05</v>
      </c>
      <c r="D80" s="31">
        <v>0.2</v>
      </c>
      <c r="E80" s="11">
        <v>210000</v>
      </c>
    </row>
    <row r="81" spans="2:6" x14ac:dyDescent="0.35">
      <c r="B81" s="11">
        <v>210000</v>
      </c>
      <c r="C81" s="16">
        <v>0.05</v>
      </c>
      <c r="D81" s="31">
        <v>0</v>
      </c>
      <c r="E81" s="11">
        <v>0</v>
      </c>
    </row>
    <row r="82" spans="2:6" x14ac:dyDescent="0.35">
      <c r="B82" s="11">
        <v>250000</v>
      </c>
      <c r="C82" s="16">
        <v>0.06</v>
      </c>
      <c r="D82" s="31">
        <v>0.25</v>
      </c>
      <c r="E82" s="11">
        <v>260000</v>
      </c>
    </row>
    <row r="83" spans="2:6" x14ac:dyDescent="0.35">
      <c r="B83" s="11">
        <v>260000</v>
      </c>
      <c r="C83" s="16">
        <v>0.06</v>
      </c>
      <c r="D83" s="31">
        <v>0</v>
      </c>
      <c r="E83" s="11">
        <v>0</v>
      </c>
    </row>
    <row r="85" spans="2:6" ht="18" customHeight="1" x14ac:dyDescent="0.35">
      <c r="B85" s="1" t="s">
        <v>525</v>
      </c>
      <c r="C85" s="1"/>
      <c r="D85" s="1"/>
      <c r="E85" s="1"/>
      <c r="F85" s="1"/>
    </row>
    <row r="86" spans="2:6" ht="30" customHeight="1" x14ac:dyDescent="0.35">
      <c r="B86" s="22" t="s">
        <v>143</v>
      </c>
      <c r="C86" s="22" t="s">
        <v>454</v>
      </c>
      <c r="D86" s="22" t="s">
        <v>455</v>
      </c>
      <c r="E86" s="22" t="s">
        <v>456</v>
      </c>
      <c r="F86" s="22" t="s">
        <v>457</v>
      </c>
    </row>
    <row r="87" spans="2:6" ht="84" customHeight="1" x14ac:dyDescent="0.35">
      <c r="B87" s="29" t="s">
        <v>526</v>
      </c>
      <c r="C87" s="16">
        <v>3.27E-2</v>
      </c>
      <c r="D87" s="24" t="s">
        <v>527</v>
      </c>
      <c r="E87" s="24" t="s">
        <v>528</v>
      </c>
      <c r="F87" s="24" t="s">
        <v>529</v>
      </c>
    </row>
    <row r="88" spans="2:6" ht="84" customHeight="1" x14ac:dyDescent="0.35">
      <c r="B88" s="29" t="s">
        <v>530</v>
      </c>
      <c r="C88" s="16">
        <v>3.3500000000000002E-2</v>
      </c>
      <c r="D88" s="24" t="s">
        <v>531</v>
      </c>
      <c r="E88" s="24" t="s">
        <v>528</v>
      </c>
      <c r="F88" s="24" t="s">
        <v>532</v>
      </c>
    </row>
    <row r="89" spans="2:6" ht="16.5" customHeight="1" x14ac:dyDescent="0.35">
      <c r="B89" s="29" t="s">
        <v>533</v>
      </c>
      <c r="C89" s="16">
        <v>3.5999999999999999E-3</v>
      </c>
      <c r="D89" s="24" t="str">
        <f>"Baromètres 2026 (pretclair.fr, covelia.fr), 35 ans non fumeur, sur capital initial. Consulté le "&amp;TEXT(DAY(Paramètres!$C$111),"00")&amp;"/"&amp;TEXT(MONTH(Paramètres!$C$111),"00")&amp;"/"&amp;YEAR(Paramètres!$C$111)&amp;"."</f>
        <v>Baromètres 2026 (pretclair.fr, covelia.fr), 35 ans non fumeur, sur capital initial. Consulté le 05/09/2026.</v>
      </c>
      <c r="E89" s="24" t="s">
        <v>534</v>
      </c>
      <c r="F89" s="24"/>
    </row>
    <row r="90" spans="2:6" ht="30" customHeight="1" x14ac:dyDescent="0.35">
      <c r="B90" s="29" t="s">
        <v>535</v>
      </c>
      <c r="C90" s="16">
        <v>1.6999999999999999E-3</v>
      </c>
      <c r="D90" s="24" t="s">
        <v>536</v>
      </c>
      <c r="E90" s="24" t="s">
        <v>534</v>
      </c>
      <c r="F90" s="24" t="s">
        <v>537</v>
      </c>
    </row>
    <row r="91" spans="2:6" ht="30" customHeight="1" x14ac:dyDescent="0.35">
      <c r="B91" s="29" t="s">
        <v>538</v>
      </c>
      <c r="C91" s="16">
        <v>7.4999999999999997E-2</v>
      </c>
      <c r="D91" s="24" t="str">
        <f>"DMTO 6,32 % dans la majorité des départements, émoluments du notaire, CSI 0,10 % : barème pretto.fr du 27/08/2026, calcunet.fr. Consulté le "&amp;TEXT(DAY(Paramètres!$C$111),"00")&amp;"/"&amp;TEXT(MONTH(Paramètres!$C$111),"00")&amp;"/"&amp;YEAR(Paramètres!$C$111)&amp;"."</f>
        <v>DMTO 6,32 % dans la majorité des départements, émoluments du notaire, CSI 0,10 % : barème pretto.fr du 27/08/2026, calcunet.fr. Consulté le 05/09/2026.</v>
      </c>
      <c r="E91" s="24" t="s">
        <v>534</v>
      </c>
      <c r="F91" s="24" t="s">
        <v>539</v>
      </c>
    </row>
    <row r="92" spans="2:6" ht="16.5" customHeight="1" x14ac:dyDescent="0.35">
      <c r="B92" s="29" t="s">
        <v>540</v>
      </c>
      <c r="C92" s="16">
        <v>8.5000000000000006E-2</v>
      </c>
      <c r="D92" s="24" t="s">
        <v>541</v>
      </c>
      <c r="E92" s="24" t="s">
        <v>534</v>
      </c>
      <c r="F92" s="24" t="s">
        <v>542</v>
      </c>
    </row>
    <row r="93" spans="2:6" ht="16.5" customHeight="1" x14ac:dyDescent="0.35">
      <c r="B93" s="29" t="s">
        <v>543</v>
      </c>
      <c r="C93" s="11">
        <v>300</v>
      </c>
      <c r="D93" s="24" t="str">
        <f>"jedeclaremonmeuble.com et decla.fr, « Prix comptable LMNP 2026 » : 300 à 600 € en cabinet en ligne. Consulté le "&amp;TEXT(DAY(Paramètres!$C$111),"00")&amp;"/"&amp;TEXT(MONTH(Paramètres!$C$111),"00")&amp;"/"&amp;YEAR(Paramètres!$C$111)&amp;"."</f>
        <v>jedeclaremonmeuble.com et decla.fr, « Prix comptable LMNP 2026 » : 300 à 600 € en cabinet en ligne. Consulté le 05/09/2026.</v>
      </c>
      <c r="E93" s="24" t="s">
        <v>534</v>
      </c>
      <c r="F93" s="24" t="s">
        <v>544</v>
      </c>
    </row>
    <row r="94" spans="2:6" ht="30" customHeight="1" x14ac:dyDescent="0.35">
      <c r="B94" s="29" t="s">
        <v>545</v>
      </c>
      <c r="C94" s="11">
        <v>900</v>
      </c>
      <c r="D94" s="24" t="s">
        <v>546</v>
      </c>
      <c r="E94" s="24" t="s">
        <v>534</v>
      </c>
      <c r="F94" s="24" t="s">
        <v>547</v>
      </c>
    </row>
    <row r="95" spans="2:6" ht="16.5" customHeight="1" x14ac:dyDescent="0.35">
      <c r="B95" s="29" t="s">
        <v>548</v>
      </c>
      <c r="C95" s="11">
        <v>1200</v>
      </c>
      <c r="D95" s="24" t="str">
        <f>"Hayot Expertise, « Prix expert-comptable SCI 2026 », 19/05/2026 : 1 200 à 2 500 € HT par an pour une SCI à l'IS. Consulté le "&amp;TEXT(DAY(Paramètres!$C$111),"00")&amp;"/"&amp;TEXT(MONTH(Paramètres!$C$111),"00")&amp;"/"&amp;YEAR(Paramètres!$C$111)&amp;"."</f>
        <v>Hayot Expertise, « Prix expert-comptable SCI 2026 », 19/05/2026 : 1 200 à 2 500 € HT par an pour une SCI à l'IS. Consulté le 05/09/2026.</v>
      </c>
      <c r="E95" s="24" t="s">
        <v>534</v>
      </c>
      <c r="F95" s="24" t="s">
        <v>549</v>
      </c>
    </row>
    <row r="96" spans="2:6" ht="16.5" customHeight="1" x14ac:dyDescent="0.35">
      <c r="B96" s="29" t="s">
        <v>550</v>
      </c>
      <c r="C96" s="11">
        <v>2500</v>
      </c>
      <c r="D96" s="24" t="s">
        <v>551</v>
      </c>
      <c r="E96" s="24" t="s">
        <v>534</v>
      </c>
      <c r="F96" s="24" t="s">
        <v>552</v>
      </c>
    </row>
    <row r="97" spans="2:6" ht="30" customHeight="1" x14ac:dyDescent="0.35">
      <c r="B97" s="29" t="s">
        <v>553</v>
      </c>
      <c r="C97" s="11">
        <v>247</v>
      </c>
      <c r="D97" s="24" t="str">
        <f>"CGI art. 1447 et 1647 D ; décret n° 2025-547 du 17/06/2025 ; LMNP.ai, « CFE LMNP 2026 ». Consulté le "&amp;TEXT(DAY(Paramètres!$C$111),"00")&amp;"/"&amp;TEXT(MONTH(Paramètres!$C$111),"00")&amp;"/"&amp;YEAR(Paramètres!$C$111)&amp;"."</f>
        <v>CGI art. 1447 et 1647 D ; décret n° 2025-547 du 17/06/2025 ; LMNP.ai, « CFE LMNP 2026 ». Consulté le 05/09/2026.</v>
      </c>
      <c r="E97" s="24" t="s">
        <v>554</v>
      </c>
      <c r="F97" s="24" t="s">
        <v>555</v>
      </c>
    </row>
    <row r="98" spans="2:6" ht="30" customHeight="1" x14ac:dyDescent="0.35">
      <c r="B98" s="29" t="s">
        <v>556</v>
      </c>
      <c r="C98" s="11">
        <v>1179</v>
      </c>
      <c r="D98" s="24" t="s">
        <v>541</v>
      </c>
      <c r="E98" s="24" t="s">
        <v>554</v>
      </c>
      <c r="F98" s="24" t="s">
        <v>557</v>
      </c>
    </row>
    <row r="99" spans="2:6" ht="16.5" customHeight="1" x14ac:dyDescent="0.35">
      <c r="B99" s="29" t="s">
        <v>558</v>
      </c>
      <c r="C99" s="16">
        <v>0.1</v>
      </c>
      <c r="D99" s="24" t="str">
        <f>"Usage des experts-comptables LMNP ; CE 15/02/2016 n° 380400 (méthode par comparaison en priorité). jedeclaremonmeuble.com. Consulté le "&amp;TEXT(DAY(Paramètres!$C$111),"00")&amp;"/"&amp;TEXT(MONTH(Paramètres!$C$111),"00")&amp;"/"&amp;YEAR(Paramètres!$C$111)&amp;"."</f>
        <v>Usage des experts-comptables LMNP ; CE 15/02/2016 n° 380400 (méthode par comparaison en priorité). jedeclaremonmeuble.com. Consulté le 05/09/2026.</v>
      </c>
      <c r="E99" s="24" t="s">
        <v>487</v>
      </c>
      <c r="F99" s="24" t="s">
        <v>559</v>
      </c>
    </row>
    <row r="100" spans="2:6" ht="30" customHeight="1" x14ac:dyDescent="0.35">
      <c r="B100" s="29" t="s">
        <v>560</v>
      </c>
      <c r="C100" s="16">
        <v>0.2</v>
      </c>
      <c r="D100" s="24" t="s">
        <v>541</v>
      </c>
      <c r="E100" s="24" t="s">
        <v>487</v>
      </c>
      <c r="F100" s="24" t="s">
        <v>561</v>
      </c>
    </row>
    <row r="101" spans="2:6" ht="30" customHeight="1" x14ac:dyDescent="0.35">
      <c r="B101" s="29" t="s">
        <v>562</v>
      </c>
      <c r="C101" s="18">
        <v>25</v>
      </c>
      <c r="D101" s="24" t="str">
        <f>"BOFiP BOI-BIC-AMT-10-40-10 (amortissement par composants) ; usage en linéaire simplifié : jedeclaremonmeuble.com, calcunet.fr. Consulté le "&amp;TEXT(DAY(Paramètres!$C$111),"00")&amp;"/"&amp;TEXT(MONTH(Paramètres!$C$111),"00")&amp;"/"&amp;YEAR(Paramètres!$C$111)&amp;"."</f>
        <v>BOFiP BOI-BIC-AMT-10-40-10 (amortissement par composants) ; usage en linéaire simplifié : jedeclaremonmeuble.com, calcunet.fr. Consulté le 05/09/2026.</v>
      </c>
      <c r="E101" s="24" t="s">
        <v>487</v>
      </c>
      <c r="F101" s="24" t="s">
        <v>563</v>
      </c>
    </row>
    <row r="102" spans="2:6" ht="16.5" customHeight="1" x14ac:dyDescent="0.35">
      <c r="B102" s="29" t="s">
        <v>564</v>
      </c>
      <c r="C102" s="18">
        <v>40</v>
      </c>
      <c r="D102" s="24" t="s">
        <v>541</v>
      </c>
      <c r="E102" s="24" t="s">
        <v>487</v>
      </c>
      <c r="F102" s="24"/>
    </row>
    <row r="103" spans="2:6" ht="16.5" customHeight="1" x14ac:dyDescent="0.35">
      <c r="B103" s="29" t="s">
        <v>565</v>
      </c>
      <c r="C103" s="18">
        <v>10</v>
      </c>
      <c r="D103" s="24" t="str">
        <f>"Usage : aménagements 10 à 12 ans, gros œuvre 25 à 30 ans (calcunet.fr). Consulté le "&amp;TEXT(DAY(Paramètres!$C$111),"00")&amp;"/"&amp;TEXT(MONTH(Paramètres!$C$111),"00")&amp;"/"&amp;YEAR(Paramètres!$C$111)&amp;"."</f>
        <v>Usage : aménagements 10 à 12 ans, gros œuvre 25 à 30 ans (calcunet.fr). Consulté le 05/09/2026.</v>
      </c>
      <c r="E103" s="24" t="s">
        <v>487</v>
      </c>
      <c r="F103" s="24"/>
    </row>
    <row r="104" spans="2:6" ht="16.5" customHeight="1" x14ac:dyDescent="0.35">
      <c r="B104" s="29" t="s">
        <v>566</v>
      </c>
      <c r="C104" s="18">
        <v>20</v>
      </c>
      <c r="D104" s="24" t="s">
        <v>541</v>
      </c>
      <c r="E104" s="24" t="s">
        <v>487</v>
      </c>
      <c r="F104" s="24"/>
    </row>
    <row r="105" spans="2:6" ht="16.5" customHeight="1" x14ac:dyDescent="0.35">
      <c r="B105" s="29" t="s">
        <v>567</v>
      </c>
      <c r="C105" s="18">
        <v>5</v>
      </c>
      <c r="D105" s="24" t="str">
        <f>"Usage : 5 à 10 ans (jedeclaremonmeuble.com). Consulté le "&amp;TEXT(DAY(Paramètres!$C$111),"00")&amp;"/"&amp;TEXT(MONTH(Paramètres!$C$111),"00")&amp;"/"&amp;YEAR(Paramètres!$C$111)&amp;"."</f>
        <v>Usage : 5 à 10 ans (jedeclaremonmeuble.com). Consulté le 05/09/2026.</v>
      </c>
      <c r="E105" s="24" t="s">
        <v>487</v>
      </c>
      <c r="F105" s="24"/>
    </row>
    <row r="106" spans="2:6" ht="30" customHeight="1" x14ac:dyDescent="0.35">
      <c r="B106" s="29" t="s">
        <v>568</v>
      </c>
      <c r="C106" s="18">
        <v>10</v>
      </c>
      <c r="D106" s="24" t="s">
        <v>541</v>
      </c>
      <c r="E106" s="24" t="s">
        <v>487</v>
      </c>
      <c r="F106" s="24" t="s">
        <v>569</v>
      </c>
    </row>
    <row r="107" spans="2:6" ht="97.5" customHeight="1" x14ac:dyDescent="0.35">
      <c r="B107" s="29" t="s">
        <v>570</v>
      </c>
      <c r="C107" s="16">
        <v>0.03</v>
      </c>
      <c r="D107" s="24" t="s">
        <v>571</v>
      </c>
      <c r="E107" s="24" t="s">
        <v>534</v>
      </c>
      <c r="F107" s="24" t="s">
        <v>572</v>
      </c>
    </row>
    <row r="108" spans="2:6" ht="30" customHeight="1" x14ac:dyDescent="0.35">
      <c r="B108" s="29" t="s">
        <v>573</v>
      </c>
      <c r="C108" s="16">
        <v>7.0000000000000007E-2</v>
      </c>
      <c r="D108" s="24" t="s">
        <v>574</v>
      </c>
      <c r="E108" s="24" t="s">
        <v>534</v>
      </c>
      <c r="F108" s="24" t="s">
        <v>575</v>
      </c>
    </row>
    <row r="109" spans="2:6" ht="57" customHeight="1" x14ac:dyDescent="0.35">
      <c r="B109" s="29" t="s">
        <v>576</v>
      </c>
      <c r="C109" s="16">
        <v>1E-3</v>
      </c>
      <c r="D109" s="24" t="s">
        <v>577</v>
      </c>
      <c r="E109" s="24" t="s">
        <v>487</v>
      </c>
      <c r="F109" s="24" t="s">
        <v>578</v>
      </c>
    </row>
    <row r="111" spans="2:6" x14ac:dyDescent="0.35">
      <c r="B111" s="13" t="s">
        <v>579</v>
      </c>
      <c r="C111" s="32">
        <v>46270</v>
      </c>
      <c r="D111" s="9" t="s">
        <v>580</v>
      </c>
    </row>
    <row r="113" spans="2:6" x14ac:dyDescent="0.35">
      <c r="B113" s="9" t="s">
        <v>581</v>
      </c>
    </row>
    <row r="114" spans="2:6" x14ac:dyDescent="0.35">
      <c r="B114" s="9" t="s">
        <v>582</v>
      </c>
    </row>
    <row r="116" spans="2:6" ht="36" customHeight="1" x14ac:dyDescent="0.35">
      <c r="B116" s="37" t="s">
        <v>216</v>
      </c>
      <c r="C116" s="36"/>
      <c r="D116" s="36"/>
      <c r="E116" s="36"/>
      <c r="F116" s="36"/>
    </row>
  </sheetData>
  <sheetProtection sheet="1" formatColumns="0" formatRows="0"/>
  <mergeCells count="1">
    <mergeCell ref="B116:F1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69"/>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8" customWidth="1"/>
  </cols>
  <sheetData>
    <row r="1" spans="2:3" ht="20" customHeight="1" x14ac:dyDescent="0.35">
      <c r="B1" s="1" t="s">
        <v>0</v>
      </c>
      <c r="C1" s="1"/>
    </row>
    <row r="2" spans="2:3" ht="26" customHeight="1" x14ac:dyDescent="0.35">
      <c r="B2" s="2" t="s">
        <v>583</v>
      </c>
    </row>
    <row r="3" spans="2:3" x14ac:dyDescent="0.35">
      <c r="B3" s="3" t="s">
        <v>584</v>
      </c>
    </row>
    <row r="5" spans="2:3" ht="18" customHeight="1" x14ac:dyDescent="0.35">
      <c r="B5" s="1" t="s">
        <v>585</v>
      </c>
      <c r="C5" s="1"/>
    </row>
    <row r="6" spans="2:3" ht="70.5" customHeight="1" x14ac:dyDescent="0.35">
      <c r="B6" s="8" t="s">
        <v>586</v>
      </c>
      <c r="C6" s="4" t="s">
        <v>587</v>
      </c>
    </row>
    <row r="7" spans="2:3" ht="124.5" customHeight="1" x14ac:dyDescent="0.35">
      <c r="B7" s="8" t="s">
        <v>588</v>
      </c>
      <c r="C7" s="4" t="s">
        <v>589</v>
      </c>
    </row>
    <row r="8" spans="2:3" ht="43.5" customHeight="1" x14ac:dyDescent="0.35">
      <c r="B8" s="8" t="s">
        <v>590</v>
      </c>
      <c r="C8" s="4" t="s">
        <v>591</v>
      </c>
    </row>
    <row r="9" spans="2:3" ht="111" customHeight="1" x14ac:dyDescent="0.35">
      <c r="B9" s="8" t="s">
        <v>592</v>
      </c>
      <c r="C9" s="4" t="s">
        <v>593</v>
      </c>
    </row>
    <row r="10" spans="2:3" ht="124.5" customHeight="1" x14ac:dyDescent="0.35">
      <c r="B10" s="8" t="s">
        <v>317</v>
      </c>
      <c r="C10" s="4" t="s">
        <v>594</v>
      </c>
    </row>
    <row r="11" spans="2:3" ht="138" customHeight="1" x14ac:dyDescent="0.35">
      <c r="B11" s="8" t="s">
        <v>595</v>
      </c>
      <c r="C11" s="4" t="s">
        <v>596</v>
      </c>
    </row>
    <row r="12" spans="2:3" ht="178.5" customHeight="1" x14ac:dyDescent="0.35">
      <c r="B12" s="8" t="s">
        <v>347</v>
      </c>
      <c r="C12" s="4" t="s">
        <v>597</v>
      </c>
    </row>
    <row r="13" spans="2:3" ht="84" customHeight="1" x14ac:dyDescent="0.35">
      <c r="B13" s="8" t="s">
        <v>598</v>
      </c>
      <c r="C13" s="4" t="s">
        <v>599</v>
      </c>
    </row>
    <row r="14" spans="2:3" ht="43.5" customHeight="1" x14ac:dyDescent="0.35">
      <c r="B14" s="8" t="s">
        <v>600</v>
      </c>
      <c r="C14" s="4" t="s">
        <v>601</v>
      </c>
    </row>
    <row r="15" spans="2:3" ht="70.5" customHeight="1" x14ac:dyDescent="0.35">
      <c r="B15" s="8" t="s">
        <v>602</v>
      </c>
      <c r="C15" s="4" t="s">
        <v>603</v>
      </c>
    </row>
    <row r="16" spans="2:3" ht="57" customHeight="1" x14ac:dyDescent="0.35">
      <c r="B16" s="8" t="s">
        <v>604</v>
      </c>
      <c r="C16" s="4" t="s">
        <v>605</v>
      </c>
    </row>
    <row r="17" spans="2:3" ht="84" customHeight="1" x14ac:dyDescent="0.35">
      <c r="B17" s="8" t="s">
        <v>606</v>
      </c>
      <c r="C17" s="4" t="s">
        <v>607</v>
      </c>
    </row>
    <row r="18" spans="2:3" ht="70.5" customHeight="1" x14ac:dyDescent="0.35">
      <c r="B18" s="8" t="s">
        <v>608</v>
      </c>
      <c r="C18" s="4" t="s">
        <v>609</v>
      </c>
    </row>
    <row r="19" spans="2:3" ht="57" customHeight="1" x14ac:dyDescent="0.35">
      <c r="B19" s="8" t="s">
        <v>610</v>
      </c>
      <c r="C19" s="4" t="s">
        <v>611</v>
      </c>
    </row>
    <row r="21" spans="2:3" ht="18" customHeight="1" x14ac:dyDescent="0.35">
      <c r="B21" s="1" t="s">
        <v>612</v>
      </c>
      <c r="C21" s="1"/>
    </row>
    <row r="22" spans="2:3" ht="30" customHeight="1" x14ac:dyDescent="0.35">
      <c r="B22" s="35" t="s">
        <v>613</v>
      </c>
      <c r="C22" s="36"/>
    </row>
    <row r="23" spans="2:3" ht="30" customHeight="1" x14ac:dyDescent="0.35">
      <c r="B23" s="35" t="s">
        <v>614</v>
      </c>
      <c r="C23" s="36"/>
    </row>
    <row r="24" spans="2:3" ht="43.5" customHeight="1" x14ac:dyDescent="0.35">
      <c r="B24" s="35" t="s">
        <v>615</v>
      </c>
      <c r="C24" s="36"/>
    </row>
    <row r="25" spans="2:3" ht="30" customHeight="1" x14ac:dyDescent="0.35">
      <c r="B25" s="35" t="s">
        <v>616</v>
      </c>
      <c r="C25" s="36"/>
    </row>
    <row r="26" spans="2:3" ht="30" customHeight="1" x14ac:dyDescent="0.35">
      <c r="B26" s="35" t="s">
        <v>617</v>
      </c>
      <c r="C26" s="36"/>
    </row>
    <row r="27" spans="2:3" ht="30" customHeight="1" x14ac:dyDescent="0.35">
      <c r="B27" s="35" t="s">
        <v>618</v>
      </c>
      <c r="C27" s="36"/>
    </row>
    <row r="28" spans="2:3" ht="16.5" customHeight="1" x14ac:dyDescent="0.35">
      <c r="B28" s="35" t="s">
        <v>619</v>
      </c>
      <c r="C28" s="36"/>
    </row>
    <row r="30" spans="2:3" ht="18" customHeight="1" x14ac:dyDescent="0.35">
      <c r="B30" s="1" t="s">
        <v>620</v>
      </c>
      <c r="C30" s="1"/>
    </row>
    <row r="31" spans="2:3" ht="57" customHeight="1" x14ac:dyDescent="0.35">
      <c r="B31" s="8" t="s">
        <v>621</v>
      </c>
      <c r="C31" s="4" t="s">
        <v>622</v>
      </c>
    </row>
    <row r="32" spans="2:3" ht="30" customHeight="1" x14ac:dyDescent="0.35">
      <c r="B32" s="8" t="s">
        <v>623</v>
      </c>
      <c r="C32" s="4" t="s">
        <v>624</v>
      </c>
    </row>
    <row r="33" spans="2:3" ht="97.5" customHeight="1" x14ac:dyDescent="0.35">
      <c r="B33" s="8" t="s">
        <v>625</v>
      </c>
      <c r="C33" s="4" t="s">
        <v>626</v>
      </c>
    </row>
    <row r="34" spans="2:3" ht="30" customHeight="1" x14ac:dyDescent="0.35">
      <c r="B34" s="8" t="s">
        <v>627</v>
      </c>
      <c r="C34" s="4" t="s">
        <v>628</v>
      </c>
    </row>
    <row r="35" spans="2:3" ht="84" customHeight="1" x14ac:dyDescent="0.35">
      <c r="B35" s="8" t="s">
        <v>629</v>
      </c>
      <c r="C35" s="4" t="s">
        <v>630</v>
      </c>
    </row>
    <row r="37" spans="2:3" ht="18" customHeight="1" x14ac:dyDescent="0.35">
      <c r="B37" s="1" t="s">
        <v>631</v>
      </c>
      <c r="C37" s="1"/>
    </row>
    <row r="38" spans="2:3" ht="43.5" customHeight="1" x14ac:dyDescent="0.35">
      <c r="B38" s="8" t="s">
        <v>458</v>
      </c>
      <c r="C38" s="24" t="str">
        <f>"CSS art. L136-6 (assiette des revenus du patrimoine) et L136-8 (taux : CSG 9,2 %), CRDS 0,5 %, CGI art. 235 ter (solidarité 7,5 %). Inchangé par la LFSS 2026. Vérifié le "&amp;TEXT(DAY(Paramètres!$C$111),"00")&amp;"/"&amp;TEXT(MONTH(Paramètres!$C$111),"00")&amp;"/"&amp;YEAR(Paramètres!$C$111)&amp;"."</f>
        <v>CSS art. L136-6 (assiette des revenus du patrimoine) et L136-8 (taux : CSG 9,2 %), CRDS 0,5 %, CGI art. 235 ter (solidarité 7,5 %). Inchangé par la LFSS 2026. Vérifié le 05/09/2026.</v>
      </c>
    </row>
    <row r="39" spans="2:3" ht="30" customHeight="1" x14ac:dyDescent="0.35">
      <c r="B39" s="8" t="s">
        <v>461</v>
      </c>
      <c r="C39" s="24" t="str">
        <f>"LFSS 2026, loi n° 2025-1403 du 30/12/2025, art. 12, modifiant CSS art. L136-8 : CSG portée de 9,2 % à 10,6 % dès les revenus 2025. Vérifié le "&amp;TEXT(DAY(Paramètres!$C$111),"00")&amp;"/"&amp;TEXT(MONTH(Paramètres!$C$111),"00")&amp;"/"&amp;YEAR(Paramètres!$C$111)&amp;"."</f>
        <v>LFSS 2026, loi n° 2025-1403 du 30/12/2025, art. 12, modifiant CSS art. L136-8 : CSG portée de 9,2 % à 10,6 % dès les revenus 2025. Vérifié le 05/09/2026.</v>
      </c>
    </row>
    <row r="40" spans="2:3" ht="30" customHeight="1" x14ac:dyDescent="0.35">
      <c r="B40" s="8" t="s">
        <v>463</v>
      </c>
      <c r="C40" s="24" t="str">
        <f>"CGI art. 154 quinquies II : 6,8 points de CSG déductibles sur les revenus du patrimoine soumis au barème. Fraction inchangée par la LFSS 2026. Vérifié le "&amp;TEXT(DAY(Paramètres!$C$111),"00")&amp;"/"&amp;TEXT(MONTH(Paramètres!$C$111),"00")&amp;"/"&amp;YEAR(Paramètres!$C$111)&amp;"."</f>
        <v>CGI art. 154 quinquies II : 6,8 points de CSG déductibles sur les revenus du patrimoine soumis au barème. Fraction inchangée par la LFSS 2026. Vérifié le 05/09/2026.</v>
      </c>
    </row>
    <row r="41" spans="2:3" ht="16.5" customHeight="1" x14ac:dyDescent="0.35">
      <c r="B41" s="8" t="s">
        <v>466</v>
      </c>
      <c r="C41" s="24" t="str">
        <f>"CGI art. 32. Vérifié le "&amp;TEXT(DAY(Paramètres!$C$111),"00")&amp;"/"&amp;TEXT(MONTH(Paramètres!$C$111),"00")&amp;"/"&amp;YEAR(Paramètres!$C$111)&amp;"."</f>
        <v>CGI art. 32. Vérifié le 05/09/2026.</v>
      </c>
    </row>
    <row r="42" spans="2:3" ht="16.5" customHeight="1" x14ac:dyDescent="0.35">
      <c r="B42" s="8" t="s">
        <v>469</v>
      </c>
      <c r="C42" s="24" t="str">
        <f>"CGI art. 32, I. Vérifié le "&amp;TEXT(DAY(Paramètres!$C$111),"00")&amp;"/"&amp;TEXT(MONTH(Paramètres!$C$111),"00")&amp;"/"&amp;YEAR(Paramètres!$C$111)&amp;"."</f>
        <v>CGI art. 32, I. Vérifié le 05/09/2026.</v>
      </c>
    </row>
    <row r="43" spans="2:3" ht="30" customHeight="1" x14ac:dyDescent="0.35">
      <c r="B43" s="8" t="s">
        <v>471</v>
      </c>
      <c r="C43" s="24" t="str">
        <f>"CGI art. 156, I-3°. Vérifié le "&amp;TEXT(DAY(Paramètres!$C$111),"00")&amp;"/"&amp;TEXT(MONTH(Paramètres!$C$111),"00")&amp;"/"&amp;YEAR(Paramètres!$C$111)&amp;"."</f>
        <v>CGI art. 156, I-3°. Vérifié le 05/09/2026.</v>
      </c>
    </row>
    <row r="44" spans="2:3" ht="43.5" customHeight="1" x14ac:dyDescent="0.35">
      <c r="B44" s="8" t="s">
        <v>473</v>
      </c>
      <c r="C44" s="24" t="str">
        <f>"CGI art. 156, I-3°. Rehaussement à 21 400 € institué par la loi n° 2022-1499 du 01/12/2022 de finances rectificative pour 2022, art. 12 ; décret n° 2023-297 du 21/04/2023 ; CGI annexe III art. 41 DO ; BOFiP BOI-RFPI-BASE-30-20. Vérifié le "&amp;TEXT(DAY(Paramètres!$C$111),"00")&amp;"/"&amp;TEXT(MONTH(Paramètres!$C$111),"00")&amp;"/"&amp;YEAR(Paramètres!$C$111)&amp;"."</f>
        <v>CGI art. 156, I-3°. Rehaussement à 21 400 € institué par la loi n° 2022-1499 du 01/12/2022 de finances rectificative pour 2022, art. 12 ; décret n° 2023-297 du 21/04/2023 ; CGI annexe III art. 41 DO ; BOFiP BOI-RFPI-BASE-30-20. Vérifié le 05/09/2026.</v>
      </c>
    </row>
    <row r="45" spans="2:3" ht="30" customHeight="1" x14ac:dyDescent="0.35">
      <c r="B45" s="8" t="s">
        <v>475</v>
      </c>
      <c r="C45" s="24" t="str">
        <f>"CGI art. 219, I-b : chiffre d'affaires inférieur à 10 M€, capital libéré et détenu à 75 % au moins par des personnes physiques. Vérifié le "&amp;TEXT(DAY(Paramètres!$C$111),"00")&amp;"/"&amp;TEXT(MONTH(Paramètres!$C$111),"00")&amp;"/"&amp;YEAR(Paramètres!$C$111)&amp;"."</f>
        <v>CGI art. 219, I-b : chiffre d'affaires inférieur à 10 M€, capital libéré et détenu à 75 % au moins par des personnes physiques. Vérifié le 05/09/2026.</v>
      </c>
    </row>
    <row r="46" spans="2:3" ht="30" customHeight="1" x14ac:dyDescent="0.35">
      <c r="B46" s="8" t="s">
        <v>477</v>
      </c>
      <c r="C46" s="24" t="str">
        <f>"CGI art. 219, I-b, par période de douze mois. L'amendement à 100 000 € du PLF 2026 n'a pas été retenu. Vérifié le "&amp;TEXT(DAY(Paramètres!$C$111),"00")&amp;"/"&amp;TEXT(MONTH(Paramètres!$C$111),"00")&amp;"/"&amp;YEAR(Paramètres!$C$111)&amp;"."</f>
        <v>CGI art. 219, I-b, par période de douze mois. L'amendement à 100 000 € du PLF 2026 n'a pas été retenu. Vérifié le 05/09/2026.</v>
      </c>
    </row>
    <row r="47" spans="2:3" ht="16.5" customHeight="1" x14ac:dyDescent="0.35">
      <c r="B47" s="8" t="s">
        <v>478</v>
      </c>
      <c r="C47" s="24" t="str">
        <f>"CGI art. 219, I. Vérifié le "&amp;TEXT(DAY(Paramètres!$C$111),"00")&amp;"/"&amp;TEXT(MONTH(Paramètres!$C$111),"00")&amp;"/"&amp;YEAR(Paramètres!$C$111)&amp;"."</f>
        <v>CGI art. 219, I. Vérifié le 05/09/2026.</v>
      </c>
    </row>
    <row r="48" spans="2:3" ht="30" customHeight="1" x14ac:dyDescent="0.35">
      <c r="B48" s="8" t="s">
        <v>480</v>
      </c>
      <c r="C48" s="24" t="str">
        <f>"CGI art. 200 A et 117 quater ; LFSS 2026, loi n° 2025-1403 du 30/12/2025, art. 12 : 31,4 % sur les dividendes perçus à compter du 01/01/2026. Vérifié le "&amp;TEXT(DAY(Paramètres!$C$111),"00")&amp;"/"&amp;TEXT(MONTH(Paramètres!$C$111),"00")&amp;"/"&amp;YEAR(Paramètres!$C$111)&amp;"."</f>
        <v>CGI art. 200 A et 117 quater ; LFSS 2026, loi n° 2025-1403 du 30/12/2025, art. 12 : 31,4 % sur les dividendes perçus à compter du 01/01/2026. Vérifié le 05/09/2026.</v>
      </c>
    </row>
    <row r="49" spans="2:3" ht="16.5" customHeight="1" x14ac:dyDescent="0.35">
      <c r="B49" s="8" t="s">
        <v>483</v>
      </c>
      <c r="C49" s="24" t="str">
        <f>"CGI art. 200 B. Vérifié le "&amp;TEXT(DAY(Paramètres!$C$111),"00")&amp;"/"&amp;TEXT(MONTH(Paramètres!$C$111),"00")&amp;"/"&amp;YEAR(Paramètres!$C$111)&amp;"."</f>
        <v>CGI art. 200 B. Vérifié le 05/09/2026.</v>
      </c>
    </row>
    <row r="50" spans="2:3" ht="30" customHeight="1" x14ac:dyDescent="0.35">
      <c r="B50" s="8" t="s">
        <v>485</v>
      </c>
      <c r="C50" s="24" t="str">
        <f>"CSS art. L136-7 et L136-8 ; inchangé par la LFSS 2026 (la hausse de CSG vise les revenus, pas les plus-values immobilières). Vérifié le "&amp;TEXT(DAY(Paramètres!$C$111),"00")&amp;"/"&amp;TEXT(MONTH(Paramètres!$C$111),"00")&amp;"/"&amp;YEAR(Paramètres!$C$111)&amp;"."</f>
        <v>CSS art. L136-7 et L136-8 ; inchangé par la LFSS 2026 (la hausse de CSG vise les revenus, pas les plus-values immobilières). Vérifié le 05/09/2026.</v>
      </c>
    </row>
    <row r="51" spans="2:3" ht="30" customHeight="1" x14ac:dyDescent="0.35">
      <c r="B51" s="8" t="s">
        <v>486</v>
      </c>
      <c r="C51" s="24" t="str">
        <f>"CGI art. 150 VB, II-3° ; BOFiP BOI-RFPI-PVI-20-10-20-20 : forfait réservé aux acquisitions à titre onéreux. Vérifié le "&amp;TEXT(DAY(Paramètres!$C$111),"00")&amp;"/"&amp;TEXT(MONTH(Paramètres!$C$111),"00")&amp;"/"&amp;YEAR(Paramètres!$C$111)&amp;"."</f>
        <v>CGI art. 150 VB, II-3° ; BOFiP BOI-RFPI-PVI-20-10-20-20 : forfait réservé aux acquisitions à titre onéreux. Vérifié le 05/09/2026.</v>
      </c>
    </row>
    <row r="52" spans="2:3" ht="30" customHeight="1" x14ac:dyDescent="0.35">
      <c r="B52" s="8" t="s">
        <v>489</v>
      </c>
      <c r="C52" s="24" t="str">
        <f>"CGI art. 150 VB, II-4° : 15 % du prix d'acquisition, sans justificatif, pour un immeuble bâti détenu depuis plus de cinq ans. Vérifié le "&amp;TEXT(DAY(Paramètres!$C$111),"00")&amp;"/"&amp;TEXT(MONTH(Paramètres!$C$111),"00")&amp;"/"&amp;YEAR(Paramètres!$C$111)&amp;"."</f>
        <v>CGI art. 150 VB, II-4° : 15 % du prix d'acquisition, sans justificatif, pour un immeuble bâti détenu depuis plus de cinq ans. Vérifié le 05/09/2026.</v>
      </c>
    </row>
    <row r="53" spans="2:3" ht="30" customHeight="1" x14ac:dyDescent="0.35">
      <c r="B53" s="8" t="s">
        <v>491</v>
      </c>
      <c r="C53" s="24" t="str">
        <f>"CGI art. 150 VB, II-4° : « plus de cinq ans ». Vérifié le "&amp;TEXT(DAY(Paramètres!$C$111),"00")&amp;"/"&amp;TEXT(MONTH(Paramètres!$C$111),"00")&amp;"/"&amp;YEAR(Paramètres!$C$111)&amp;"."</f>
        <v>CGI art. 150 VB, II-4° : « plus de cinq ans ». Vérifié le 05/09/2026.</v>
      </c>
    </row>
    <row r="54" spans="2:3" ht="43.5" customHeight="1" x14ac:dyDescent="0.35">
      <c r="B54" s="8" t="s">
        <v>286</v>
      </c>
      <c r="C54" s="24" t="str">
        <f>"CGI art. 50-0 ; plafond revalorisé tous les trois ans : 83 600 € pour les recettes 2026 à 2028 (77 700 € pour 2025). Legifiscal, ARAPL Provence-Var, 18/02/2026. Vérifié le "&amp;TEXT(DAY(Paramètres!$C$111),"00")&amp;"/"&amp;TEXT(MONTH(Paramètres!$C$111),"00")&amp;"/"&amp;YEAR(Paramètres!$C$111)&amp;"."</f>
        <v>CGI art. 50-0 ; plafond revalorisé tous les trois ans : 83 600 € pour les recettes 2026 à 2028 (77 700 € pour 2025). Legifiscal, ARAPL Provence-Var, 18/02/2026. Vérifié le 05/09/2026.</v>
      </c>
    </row>
    <row r="55" spans="2:3" ht="30" customHeight="1" x14ac:dyDescent="0.35">
      <c r="B55" s="8" t="s">
        <v>498</v>
      </c>
      <c r="C55" s="24" t="str">
        <f>"CGI art. 50-0 modifié par la loi n° 2024-1039 du 19/11/2024 (dite Le Meur), revenus 2025 et suivants ; même plafond que le meublé classique. Vérifié le "&amp;TEXT(DAY(Paramètres!$C$111),"00")&amp;"/"&amp;TEXT(MONTH(Paramètres!$C$111),"00")&amp;"/"&amp;YEAR(Paramètres!$C$111)&amp;"."</f>
        <v>CGI art. 50-0 modifié par la loi n° 2024-1039 du 19/11/2024 (dite Le Meur), revenus 2025 et suivants ; même plafond que le meublé classique. Vérifié le 05/09/2026.</v>
      </c>
    </row>
    <row r="56" spans="2:3" ht="30" customHeight="1" x14ac:dyDescent="0.35">
      <c r="B56" s="8" t="s">
        <v>500</v>
      </c>
      <c r="C56" s="24" t="str">
        <f>"CGI art. 50-0, loi n° 2024-1039 du 19/11/2024 : abattement ramené de 50 à 30 %, plafond à 15 000 €. Vérifié le "&amp;TEXT(DAY(Paramètres!$C$111),"00")&amp;"/"&amp;TEXT(MONTH(Paramètres!$C$111),"00")&amp;"/"&amp;YEAR(Paramètres!$C$111)&amp;"."</f>
        <v>CGI art. 50-0, loi n° 2024-1039 du 19/11/2024 : abattement ramené de 50 à 30 %, plafond à 15 000 €. Vérifié le 05/09/2026.</v>
      </c>
    </row>
    <row r="57" spans="2:3" ht="30" customHeight="1" x14ac:dyDescent="0.35">
      <c r="B57" s="8" t="s">
        <v>632</v>
      </c>
      <c r="C57" s="24" t="s">
        <v>633</v>
      </c>
    </row>
    <row r="58" spans="2:3" ht="43.5" customHeight="1" x14ac:dyDescent="0.35">
      <c r="B58" s="8" t="s">
        <v>167</v>
      </c>
      <c r="C58" s="24" t="s">
        <v>517</v>
      </c>
    </row>
    <row r="59" spans="2:3" ht="43.5" customHeight="1" x14ac:dyDescent="0.35">
      <c r="B59" s="8" t="s">
        <v>634</v>
      </c>
      <c r="C59" s="24" t="s">
        <v>635</v>
      </c>
    </row>
    <row r="60" spans="2:3" ht="30" customHeight="1" x14ac:dyDescent="0.35">
      <c r="B60" s="8" t="s">
        <v>636</v>
      </c>
      <c r="C60" s="24" t="s">
        <v>637</v>
      </c>
    </row>
    <row r="61" spans="2:3" ht="30" customHeight="1" x14ac:dyDescent="0.35">
      <c r="B61" s="8" t="s">
        <v>638</v>
      </c>
      <c r="C61" s="24" t="s">
        <v>639</v>
      </c>
    </row>
    <row r="62" spans="2:3" ht="30" customHeight="1" x14ac:dyDescent="0.35">
      <c r="B62" s="8" t="s">
        <v>640</v>
      </c>
      <c r="C62" s="24" t="s">
        <v>641</v>
      </c>
    </row>
    <row r="63" spans="2:3" ht="43.5" customHeight="1" x14ac:dyDescent="0.35">
      <c r="B63" s="8" t="s">
        <v>347</v>
      </c>
      <c r="C63" s="24" t="s">
        <v>642</v>
      </c>
    </row>
    <row r="64" spans="2:3" ht="16.5" customHeight="1" x14ac:dyDescent="0.35">
      <c r="B64" s="8" t="s">
        <v>317</v>
      </c>
      <c r="C64" s="24" t="s">
        <v>643</v>
      </c>
    </row>
    <row r="65" spans="2:3" ht="16.5" customHeight="1" x14ac:dyDescent="0.35">
      <c r="B65" s="8" t="s">
        <v>644</v>
      </c>
      <c r="C65" s="24" t="s">
        <v>645</v>
      </c>
    </row>
    <row r="66" spans="2:3" ht="16.5" customHeight="1" x14ac:dyDescent="0.35">
      <c r="B66" s="8" t="s">
        <v>646</v>
      </c>
      <c r="C66" s="24" t="s">
        <v>647</v>
      </c>
    </row>
    <row r="67" spans="2:3" ht="30" customHeight="1" x14ac:dyDescent="0.35">
      <c r="B67" s="8" t="s">
        <v>648</v>
      </c>
      <c r="C67" s="24" t="s">
        <v>649</v>
      </c>
    </row>
    <row r="69" spans="2:3" ht="36" customHeight="1" x14ac:dyDescent="0.35">
      <c r="B69" s="37" t="s">
        <v>216</v>
      </c>
      <c r="C69" s="36"/>
    </row>
  </sheetData>
  <sheetProtection sheet="1" formatColumns="0" formatRows="0"/>
  <mergeCells count="8">
    <mergeCell ref="B22:C22"/>
    <mergeCell ref="B26:C26"/>
    <mergeCell ref="B27:C27"/>
    <mergeCell ref="B69:C69"/>
    <mergeCell ref="B24:C24"/>
    <mergeCell ref="B25:C25"/>
    <mergeCell ref="B28:C28"/>
    <mergeCell ref="B23:C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Mode d'emploi</vt:lpstr>
      <vt:lpstr>Hypothèses</vt:lpstr>
      <vt:lpstr>Comparateur</vt:lpstr>
      <vt:lpstr>Pluriannuel</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Arbitrage fiscal : nu, LMNP ou SCI à l'IS</dc:title>
  <dc:creator>CorpusImmo</dc:creator>
  <cp:lastModifiedBy>CorpusImmo</cp:lastModifiedBy>
  <dcterms:created xsi:type="dcterms:W3CDTF">2026-09-10T07:40:02Z</dcterms:created>
  <dcterms:modified xsi:type="dcterms:W3CDTF">2026-09-10T07:40:07Z</dcterms:modified>
</cp:coreProperties>
</file>