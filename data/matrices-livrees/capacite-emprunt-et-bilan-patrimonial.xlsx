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91A40813-224B-4257-B571-D231BA2ED508}"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apacité d'emprunt" sheetId="2" r:id="rId2"/>
    <sheet name="Bilan patrimonial" sheetId="3" r:id="rId3"/>
    <sheet name="Paramètres" sheetId="4" r:id="rId4"/>
    <sheet name="Méthod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5" l="1"/>
  <c r="C59" i="5"/>
  <c r="C58" i="5"/>
  <c r="C57" i="5"/>
  <c r="C56" i="5"/>
  <c r="C55" i="5"/>
  <c r="C54" i="5"/>
  <c r="C53" i="5"/>
  <c r="C52" i="5"/>
  <c r="C51" i="5"/>
  <c r="C50" i="5"/>
  <c r="C49" i="5"/>
  <c r="C48" i="5"/>
  <c r="C47" i="5"/>
  <c r="C46" i="5"/>
  <c r="C45" i="5"/>
  <c r="C44" i="5"/>
  <c r="C43" i="5"/>
  <c r="C42" i="5"/>
  <c r="C41" i="5"/>
  <c r="C39" i="5"/>
  <c r="C38" i="5"/>
  <c r="C37" i="5"/>
  <c r="C36" i="5"/>
  <c r="C35" i="5"/>
  <c r="C34" i="5"/>
  <c r="C33" i="5"/>
  <c r="C32" i="5"/>
  <c r="C31" i="5"/>
  <c r="C30" i="5"/>
  <c r="D39" i="4"/>
  <c r="D38" i="4"/>
  <c r="D37" i="4"/>
  <c r="D36" i="4"/>
  <c r="D35" i="4"/>
  <c r="D34" i="4"/>
  <c r="D33" i="4"/>
  <c r="D32" i="4"/>
  <c r="D31" i="4"/>
  <c r="D30" i="4"/>
  <c r="D29" i="4"/>
  <c r="D28" i="4"/>
  <c r="D24" i="4"/>
  <c r="D23" i="4"/>
  <c r="D22" i="4"/>
  <c r="D21" i="4"/>
  <c r="D20" i="4"/>
  <c r="D19" i="4"/>
  <c r="D17" i="4"/>
  <c r="D16" i="4"/>
  <c r="D15" i="4"/>
  <c r="D14" i="4"/>
  <c r="D13" i="4"/>
  <c r="D12" i="4"/>
  <c r="D11" i="4"/>
  <c r="D10" i="4"/>
  <c r="D9" i="4"/>
  <c r="D8" i="4"/>
  <c r="C45" i="3"/>
  <c r="C41" i="3"/>
  <c r="C30" i="3"/>
  <c r="C29" i="3"/>
  <c r="C20" i="3"/>
  <c r="C42" i="3" s="1"/>
  <c r="C19" i="3"/>
  <c r="C10" i="3"/>
  <c r="D65" i="2"/>
  <c r="C62" i="2"/>
  <c r="C61" i="2"/>
  <c r="D59" i="2"/>
  <c r="C59" i="2"/>
  <c r="D57" i="2"/>
  <c r="C57" i="2"/>
  <c r="C58" i="2" s="1"/>
  <c r="D54" i="2"/>
  <c r="D50" i="2"/>
  <c r="D49" i="2"/>
  <c r="C43" i="2"/>
  <c r="D42" i="2"/>
  <c r="C40" i="2"/>
  <c r="C38" i="2"/>
  <c r="C39" i="2" s="1"/>
  <c r="D35" i="2"/>
  <c r="C35" i="2"/>
  <c r="D34" i="2"/>
  <c r="D33" i="2"/>
  <c r="D32" i="2"/>
  <c r="D31" i="2"/>
  <c r="D30" i="2"/>
  <c r="D29" i="2"/>
  <c r="D27" i="2"/>
  <c r="C19" i="2"/>
  <c r="C12" i="2"/>
  <c r="D10" i="2"/>
  <c r="D9" i="2"/>
  <c r="C41" i="2" l="1"/>
  <c r="C44" i="3"/>
  <c r="C36" i="3"/>
  <c r="C35" i="3"/>
  <c r="C33" i="3"/>
  <c r="C70" i="2"/>
  <c r="C60" i="2" s="1"/>
  <c r="C38" i="3"/>
  <c r="C42" i="2" l="1"/>
  <c r="C45" i="2" s="1"/>
  <c r="C44" i="2"/>
  <c r="C34" i="3"/>
  <c r="C37" i="3"/>
  <c r="C43" i="3" l="1"/>
  <c r="C68" i="2"/>
  <c r="C53" i="2"/>
  <c r="C47" i="2"/>
  <c r="C46" i="2"/>
  <c r="C50" i="2" s="1"/>
  <c r="C49" i="2"/>
  <c r="C48" i="2"/>
  <c r="C54" i="2" l="1"/>
  <c r="C55" i="2"/>
  <c r="C56" i="2"/>
  <c r="C69" i="2"/>
  <c r="C50" i="3"/>
  <c r="C52" i="3" s="1"/>
  <c r="C63" i="2" l="1"/>
  <c r="C48" i="3" l="1"/>
  <c r="C64" i="2"/>
  <c r="C65" i="2"/>
  <c r="C66" i="2"/>
  <c r="C55" i="3" l="1"/>
  <c r="C51" i="3"/>
  <c r="C67" i="2"/>
  <c r="C49" i="3"/>
  <c r="C53" i="3" l="1"/>
  <c r="C54" i="3" s="1"/>
  <c r="C56" i="3"/>
</calcChain>
</file>

<file path=xl/sharedStrings.xml><?xml version="1.0" encoding="utf-8"?>
<sst xmlns="http://schemas.openxmlformats.org/spreadsheetml/2006/main" count="629" uniqueCount="539">
  <si>
    <t>CorpusImmo  ·  corpus.immo  ·  Estimer, comparer, décider. Sur les ventes réelles.</t>
  </si>
  <si>
    <t>Mode d'emploi</t>
  </si>
  <si>
    <t>À quoi sert ce classeur, dans quel ordre le remplir, et comment lire ce qu'il répond.</t>
  </si>
  <si>
    <t xml:space="preserve">  À QUOI SERT CE CLASSEUR</t>
  </si>
  <si>
    <t>Vous voulez savoir combien une banque acceptera de vous prêter, quelle mensualité votre foyer peut porter, et donc jusqu'à quel prix vous pouvez acheter, frais compris. Ce classeur applique les deux règles d'un analyste crédit en 2026 : le taux d'effort de 35 % assurance comprise, fixé par le HCSF (Haut Conseil de stabilité financière, norme 2026), et le reste à vivre minimal du foyer, puis remonte du prêt au prix en déduisant les frais de notaire, de garantie et de dossier.</t>
  </si>
  <si>
    <t>Le second onglet dresse le bilan patrimonial du foyer, ce que la banque regarde après les revenus : ce qu'il possède, ce qu'il doit, ce qu'il peut mobiliser comme apport, et ce que deviendra son patrimoine le jour de l'achat.</t>
  </si>
  <si>
    <t>Deux onglets de saisie pour le dossier, remplis de haut en bas : les cellules bleues se remplissent, tout le reste se calcule. Un troisième onglet, Paramètres, ne se touche qu'à la mise à jour des barèmes.</t>
  </si>
  <si>
    <t>Vous êtes</t>
  </si>
  <si>
    <t>Ce que le classeur vous donne</t>
  </si>
  <si>
    <t>Acquéreur, primo-accédant</t>
  </si>
  <si>
    <t>La mensualité tenable, le prix maximal à donner à l'agent immobilier, et le saut de charge par rapport à votre loyer.</t>
  </si>
  <si>
    <t>Investisseur locatif</t>
  </si>
  <si>
    <t>La capacité en tenant compte du loyer attendu du bien financé (pondéré) et du loyer que vous continuez à payer.</t>
  </si>
  <si>
    <t>Courtier, banquier</t>
  </si>
  <si>
    <t>Les deux ratios (taux d'effort HCSF strict et taux de charges tout compris), le reste à vivre après mensualité, les contrôles apport, durée et endettement.</t>
  </si>
  <si>
    <t>Conseiller en gestion de patrimoine</t>
  </si>
  <si>
    <t>Le patrimoine net, l'endettement immobilier (LTV, « loan to value » : encours de crédit rapporté à la valeur des biens), la dette rapportée aux revenus, l'épargne résiduelle après apport et le pro forma après l'opération.</t>
  </si>
  <si>
    <t>Agent immobilier</t>
  </si>
  <si>
    <t>Un prix maximal argumenté, frais de notaire 2026 compris (ancien ou neuf, droit départemental majoré ou non).</t>
  </si>
  <si>
    <t xml:space="preserve">  LE PRINCIPE, EN UNE LIGNE</t>
  </si>
  <si>
    <t>Revenus retenus × 35 % (HCSF 2026) − charges = mensualité, bornée par le reste à vivre ; mensualité → capital ; capital + apport − frais = prix maximal</t>
  </si>
  <si>
    <t xml:space="preserve">  LES ONGLETS, DANS L'ORDRE OÙ ON LES REMPLIT</t>
  </si>
  <si>
    <t>Onglet</t>
  </si>
  <si>
    <t>Ce que vous y faites</t>
  </si>
  <si>
    <t>Ce que vous y lisez</t>
  </si>
  <si>
    <t>Rien à saisir. Vous lisez ce guide.</t>
  </si>
  <si>
    <t>La marche à suivre et l'exemple guidé.</t>
  </si>
  <si>
    <t>Capacité d'emprunt</t>
  </si>
  <si>
    <t>Quatre blocs de saisie : revenus, charges, foyer, projet.</t>
  </si>
  <si>
    <t>Ce que la banque retient, la mensualité tenable, le capital, le prix maximal, six contrôles OK / À CORRIGER (C35 taux vraisemblable, C50 endettement, C58 durée, C60 taux d'usure, C67 apport, C70 saisies).</t>
  </si>
  <si>
    <t>Bilan patrimonial</t>
  </si>
  <si>
    <t>Trois blocs de saisie : immobilier, liquidités et placements, dettes.</t>
  </si>
  <si>
    <t>Le patrimoine net, la lecture bancaire, l'apport couvert ou non, le pro forma après l'achat.</t>
  </si>
  <si>
    <t>Paramètres</t>
  </si>
  <si>
    <t>Rien, sauf à la mise à jour des barèmes (HCSF, droits de mutation, émoluments), des repères de marché (pondérations, reste à vivre, garantie, dossier) et des bornes de saisie.</t>
  </si>
  <si>
    <t>Chaque valeur avec sa source datée et sa fréquence de mise à jour.</t>
  </si>
  <si>
    <t>Méthode</t>
  </si>
  <si>
    <t>Rien à saisir.</t>
  </si>
  <si>
    <t>Les conventions de calcul, ce que le modèle ne fait pas, les sources.</t>
  </si>
  <si>
    <t xml:space="preserve">  LE CODE COULEUR, ET COMMENT DÉVERROUILLER UNE CELLULE</t>
  </si>
  <si>
    <t>Cellule</t>
  </si>
  <si>
    <t>Ce que c'est</t>
  </si>
  <si>
    <t>Ce que vous faites</t>
  </si>
  <si>
    <t>Fond bleu clair</t>
  </si>
  <si>
    <t>Saisie utilisateur</t>
  </si>
  <si>
    <t>Vous la remplissez. Jamais de formule dedans.</t>
  </si>
  <si>
    <t>Fond blanc</t>
  </si>
  <si>
    <t>Calcul</t>
  </si>
  <si>
    <t>Vous la lisez. Elle est verrouillée.</t>
  </si>
  <si>
    <t>Fond presque blanc, texte en gras</t>
  </si>
  <si>
    <t>Résultat de bloc, chiffre clé</t>
  </si>
  <si>
    <t>Vous la lisez. C'est un chiffre à retenir. Le gras est le repère, pas la couleur.</t>
  </si>
  <si>
    <t>Bandeau bleu nuit</t>
  </si>
  <si>
    <t>Titre de section</t>
  </si>
  <si>
    <t>Repère de navigation.</t>
  </si>
  <si>
    <t>Texte gris, à droite</t>
  </si>
  <si>
    <t>Commentaire d'aide, ordre de grandeur</t>
  </si>
  <si>
    <t>Une phrase par ligne pour savoir quoi saisir. Dans les onglets, les chiffres cités y sont lus dans Paramètres et se mettent à jour seuls ; ceux de ce guide sont écrits en dur (millésime 2026).</t>
  </si>
  <si>
    <t>Vert OK / rouge À CORRIGER</t>
  </si>
  <si>
    <t>Contrôle de cohérence</t>
  </si>
  <si>
    <t>Rouge : lisez le commentaire de la ligne, corrigez la saisie ou présentez le dossier comme dérogatoire.</t>
  </si>
  <si>
    <t>Les onglets sont protégés sans mot de passe pour éviter d'écraser une formule par erreur. Pour modifier une cellule blanche : onglet Révision, puis « Ôter la protection de la feuille ». Aucun mot de passe n'est demandé.</t>
  </si>
  <si>
    <t xml:space="preserve">  LA MARCHE À SUIVRE, ÉTAPE PAR ÉTAPE</t>
  </si>
  <si>
    <t>Étape</t>
  </si>
  <si>
    <t>Où (onglet et plage)</t>
  </si>
  <si>
    <t>Pourquoi</t>
  </si>
  <si>
    <t>0. L'exemple livré</t>
  </si>
  <si>
    <t>Toutes les cellules bleues des onglets Capacité d'emprunt et Bilan patrimonial</t>
  </si>
  <si>
    <t>Le classeur est livré rempli d'un exemple (section « Exemple guidé »). Gardez-le pour vous repérer, ou remplacez chaque cellule bleue par votre valeur. Mettez 0 dans celles qui ne vous concernent pas, ne laissez jamais une cellule bleue vide et gardez un choix dans chaque liste : le contrôle C70 passe au rouge sinon. Vérifiez surtout les saisies secondaires qui n'ont pas de raison d'être chez vous : loyers encaissés (C10), crédits en cours (C15, C16), loyer payé (C18), loyer du bien financé (C27), les trois choix Oui / Non (C32 à C34), et dans le Bilan patrimonial le bien locatif (C8), son encours (C24), le restant dû du crédit auto (C25) et les quatre postes d'épargne (C13 à C16).</t>
  </si>
  <si>
    <t>Une saisie résiduelle de l'exemple est l'erreur la plus probable d'un premier usage : les 700 € de loyers ou les 450 € de crédit de l'exemple 2026, s'ils ne sont pas les vôtres, déplacent le prix maximal de plusieurs dizaines de milliers d'euros.</t>
  </si>
  <si>
    <t>1. Les revenus</t>
  </si>
  <si>
    <t>Capacité d'emprunt!C7:C11</t>
  </si>
  <si>
    <t>Salaires nets avant impôt, primes lissées, loyers bruts actuels, autres revenus pérennes.</t>
  </si>
  <si>
    <t>La banque pondère les loyers et parfois les primes : saisissez les montants bruts, le classeur pondère avec Paramètres.</t>
  </si>
  <si>
    <t>2. Les charges</t>
  </si>
  <si>
    <t>Capacité d'emprunt!C15:C18</t>
  </si>
  <si>
    <t>Mensualités des crédits qui continueront, pension versée, loyer payé aujourd'hui.</t>
  </si>
  <si>
    <t>Le loyer actuel disparaît pour une résidence principale et reste pour un investissement : le classeur tranche selon l'objet.</t>
  </si>
  <si>
    <t>3. Le foyer</t>
  </si>
  <si>
    <t>Capacité d'emprunt!C22:C23</t>
  </si>
  <si>
    <t>Nombre d'adultes et d'enfants à charge.</t>
  </si>
  <si>
    <t>Le reste à vivre minimal en dépend : c'est la règle qui refuse un dossier à 33 % avec quatre enfants.</t>
  </si>
  <si>
    <t>4. Le projet</t>
  </si>
  <si>
    <t>Capacité d'emprunt!C26:C34</t>
  </si>
  <si>
    <t>Objet (résidence principale ou investissement), loyer attendu du bien financé, apport, taux (tapez 3,3 pour 3,30 %), durée, assurance (taux global du foyer : avec deux emprunteurs couverts à 100 % chacun, additionnez les deux taux), neuf ou en VEFA (vente en l'état futur d'achèvement) ou ancien, différé, droit départemental majoré. Vérifiez que C58 (durée) et C67 (apport) affichent OK.</t>
  </si>
  <si>
    <t>Ces neuf cellules pilotent le capital et les frais. Le droit majoré (LF 2025, en vigueur jusqu'au 31/03/2028) ne s'applique ni dans les départements restés à 4,50 % (liste à jour sur taximmo.fr ou sur le site des notaires de France, source citée en Paramètres!D13), ni aux primo-accédants pour leur résidence principale.</t>
  </si>
  <si>
    <t>5. La lecture</t>
  </si>
  <si>
    <t>Capacité d'emprunt!C38:C70</t>
  </si>
  <si>
    <t>Rien à saisir. Vérifiez que les six contrôles affichent OK : C35 (taux vraisemblable), C50 (endettement dans la norme), C58 (durée), C60 (taux et assurance sous le taux d'usure, ligne C59), C67 (apport), C70 (saisies complètes). Puis lisez la mensualité tenable (C45), le capital (C53) et le prix maximal (C63).</t>
  </si>
  <si>
    <t>Un contrôle rouge signale une saisie manquante, hors bornes ou un dossier hors norme : le classeur préfère un rouge à un chiffre faux.</t>
  </si>
  <si>
    <t>6. Le bilan</t>
  </si>
  <si>
    <t>Bilan patrimonial!C7:C9, Bilan patrimonial!C13:C18, Bilan patrimonial!C23:C28</t>
  </si>
  <si>
    <t>Valeurs de marché des biens, épargne poste par poste avant l'achat (l'apport prévu en fait encore partie : s'il est sur le compte courant, il compte dans C13), capital restant dû de chaque crédit (lu sur le tableau d'amortissement). Vérifiez que Bilan patrimonial!C45 (saisies complètes) puis Bilan patrimonial!C44 (apport couvert par les liquidités) affichent OK.</t>
  </si>
  <si>
    <t>Le Bilan décrit la situation avant l'achat : le pro forma retire lui-même l'apport. Le même foyer que dans Capacité d'emprunt : le bien loué qui produit les loyers doit figurer ici avec son encours. Si Bilan patrimonial!C44 est rouge, l'épargne saisie ne contient pas l'apport, ou l'apport vient d'ailleurs (donation, PER).</t>
  </si>
  <si>
    <t>7. Les barèmes</t>
  </si>
  <si>
    <t>Paramètres!C8:C19, C28:C39 et C43:C48</t>
  </si>
  <si>
    <t>À chaque décision HCSF ou loi de finances, comparez chaque valeur à sa source et mettez à jour la date en Paramètres!C55 : toutes les mentions « vérifié le » du classeur la lisent, et les commentaires gris des onglets se mettent à jour seuls. Ajustez les repères (pondérations, reste à vivre, garantie, dossier) à la banque visée.</t>
  </si>
  <si>
    <t>Un barème périmé fausse le prix maximal sans prévenir. Toutes les formules pointent ici. En revanche, ce guide et l'onglet Méthode sont du texte fixe au millésime 2026 : après une mise à jour, relisez et corrigez les sections « Exemple guidé », « Les chiffres à regarder » (colonne Repère métier), « Les erreurs qui faussent tout », les lignes Revenus retenus, Mensualité maximale, Capital empruntable, Frais de notaire 2026, Durée et Dérogations HCSF de Méthode, et le pied de page « millésime 2026 » de chaque onglet.</t>
  </si>
  <si>
    <t xml:space="preserve">  EXEMPLE GUIDÉ</t>
  </si>
  <si>
    <t>Le fichier est livré avec un exemple calé sur les barèmes 2026 : un couple locataire (850 € de loyer), deux salaires de 2 600 € et 1 900 €, 200 € de primes lissées, un enfant, et un appartement loué 700 € par mois qu'ils remboursent encore (450 € par mois). Ils ont aussi un crédit auto de 280 € par mois. Ils achètent leur résidence principale dans l'ancien, avec 30 000 € d'apport, sur 25 ans à 3,30 % plus 0,30 % d'assurance. Primo-accédants, ils gardent le droit départemental à 4,50 % (« Non » en C34).</t>
  </si>
  <si>
    <t>Revenus retenus (C39) : 5 190 €, soit les salaires, les primes et 490 € de loyers pondérés à 70 % (C38). Charges retenues (C41) : 730 €, les deux crédits ; le loyer actuel ne compte pas puisqu'il disparaît. Mensualité maximale au taux d'effort (C42) : 1 086,50 €. Reste à vivre minimal (C43) : 1 900 €, ce qui laisserait 2 560,00 € de mensualité (C44). La règle qui limite est donc le taux d'effort (C47) et la mensualité tenable ressort à 1 086,50 € (C45), avec un reste à vivre de 3 373,50 € (C46).</t>
  </si>
  <si>
    <t>Les deux ratios (C48 et C49) affichent tous deux 35,00 % : sans pension ni loyer conservé, ils coïncident. Le capital empruntable (C53) est de 210 987 € : c'est la mensualité tenable, assurance déduite, ramenée en capital sur 300 mois. La garantie (C54) coûte 2 532 €, le dossier (C55) 2 000 €, et le budget total (C56) atteint 240 987 €.</t>
  </si>
  <si>
    <t>Frais de notaire : la part proportionnelle (C61) est de 6,87 % (droits 5,81 %, contribution de sécurité immobilière 0,10 %, émoluments marginaux TTC) et la part fixe (C62) de 1 477 €. Le prix d'achat maximal (C63) ressort à 219 875 €, avec 16 579 € de frais de notaire (C64, soit 7,54 % du prix) et 21 111 € de frais au total (C66), couverts par les 30 000 € d'apport : contrôle C67 OK. Le saut de charge (C68) est de 236,50 € par mois par rapport au loyer actuel, et le crédit coûtera 114 963 € d'intérêts et d'assurance sur 25 ans (C69).</t>
  </si>
  <si>
    <t>Bilan patrimonial (les cellules citées dans ce paragraphe et le suivant sont celles de cet onglet) : l'appartement loué vaut 140 000 € (C8) avec 60 000 € restant dus (C24), et il reste 6 500 € à rembourser sur le crédit auto (C25). L'épargne totalise 63 000 € (C19) : 18 000 € de comptes et livrets, 25 000 € d'assurance-vie, 12 000 € de PEA et 8 000 € de PER ; les 30 000 € d'apport en font encore partie (état avant achat). 55 000 € sont mobilisables (C20, sans le PER). Total actif 203 000 € (C33), total passif 66 500 € (C30), patrimoine net (C34) : 136 500 €. Endettement immobilier (C36) : 42,86 %. Dette totale (C38) : 1,07 année de revenus retenus. Après l'apport de 30 000 €, il reste 25 000 € (C42), soit 23 mois de mensualité (C43).</t>
  </si>
  <si>
    <t>Pro forma (C48 à C56) : avec le bien acquis à 219 875 € et le nouveau prêt de 210 987 €, le patrimoine net passe à 115 389 € (C53), en baisse de 21 111 € : exactement les frais de l'opération. L'endettement immobilier monte à 75,30 % (C55) et le ratio dettes sur actif à 70,63 % (C56).</t>
  </si>
  <si>
    <t>Comment le lire : le dossier passe au taux d'effort, avec un reste à vivre confortable et un apport qui couvre largement les frais. Deux essais, indépendants l'un de l'autre (revenez à la saisie d'origine entre les deux). Premier essai : passez C34 à « Oui » (acquéreur non primo-accédant) : le prix maximal recule de 1 044 €, à 218 831 €. Second essai : remettez C34 à « Non », puis passez l'objet (C26) à « Investissement locatif » avec 600 € de loyer attendu en C27 : le loyer actuel de 850 € redevient une charge, le loyer attendu est retenu à 70 %, la mensualité tenable tombe à 383,50 € et le taux d'effort HCSF strict (19,85 %) s'écarte du taux de charges (35,00 %).</t>
  </si>
  <si>
    <t xml:space="preserve">  LES CHIFFRES À REGARDER, ET CE QU'ILS VALENT</t>
  </si>
  <si>
    <t>Indicateur</t>
  </si>
  <si>
    <t>Où</t>
  </si>
  <si>
    <t>Repère métier</t>
  </si>
  <si>
    <t>Ce qu'il dit vraiment</t>
  </si>
  <si>
    <t>Mensualité tenable</t>
  </si>
  <si>
    <t>Capacité d'emprunt!C45</t>
  </si>
  <si>
    <t>À comparer au loyer actuel (saut de charge) : la banque vérifie que l'épargne mensuelle passée couvrait déjà l'écart.</t>
  </si>
  <si>
    <t>La plus contraignante des deux règles, assurance comprise. Le chiffre du rendez-vous banque.</t>
  </si>
  <si>
    <t>Reste à vivre après mensualité</t>
  </si>
  <si>
    <t>Capacité d'emprunt!C46</t>
  </si>
  <si>
    <t>800 € par adulte, 300 € par enfant (repères 2026 de Paramètres) ; davantage en Île-de-France.</t>
  </si>
  <si>
    <t>La seconde règle, celle qui refuse un dossier à 33 % avec quatre enfants. Toujours calculé après la mensualité retenue.</t>
  </si>
  <si>
    <t>Taux d'effort HCSF strict et taux de charges</t>
  </si>
  <si>
    <t>Capacité d'emprunt!C48 et C49</t>
  </si>
  <si>
    <t>35 % (HCSF 2026) ; au-delà, dossier dérogatoire (20 % de la production des banques, 17,5 % utilisés au 1er trimestre 2026).</t>
  </si>
  <si>
    <t>Le premier est déclaré au régulateur, le second est celui que le modèle plafonne. Ils diffèrent dès qu'il y a une pension ou un loyer conservé.</t>
  </si>
  <si>
    <t>Capital empruntable</t>
  </si>
  <si>
    <t>Capacité d'emprunt!C53</t>
  </si>
  <si>
    <t>Environ 191 000 € pour 1 000 € de mensualité sur 25 ans à 3,35 % plus 0,36 % d'assurance (repères d'août 2026, chiffre écrit en dur dans ce guide).</t>
  </si>
  <si>
    <t>Le montant du prêt, pas le prix. Sur l'exemple 2026, oublier l'assurance le gonfle de 5,1 %.</t>
  </si>
  <si>
    <t>Prix d'achat maximal</t>
  </si>
  <si>
    <t>Capacité d'emprunt!C63</t>
  </si>
  <si>
    <t>Frais de notaire : environ 8,0 % dans l'ancien, 2,5 % dans le neuf (repères 2026).</t>
  </si>
  <si>
    <t>Le chiffre à donner à l'agent immobilier, hors frais. Vérifiez que l'apport couvre les frais, sinon la banque refusera.</t>
  </si>
  <si>
    <t>Patrimoine net et LTV</t>
  </si>
  <si>
    <t>Bilan patrimonial!C34 et C36</t>
  </si>
  <si>
    <t>Un patrimoine net positif et une LTV nettement inférieure à 100 % sur l'immobilier existant : la marge de sûreté de la banque.</t>
  </si>
  <si>
    <t>Ce qui amortit un accident de parcours. Le pro forma montre ce qu'il en reste le jour de l'achat.</t>
  </si>
  <si>
    <t xml:space="preserve">  LES DONNÉES À METTRE À JOUR, OÙ ET POURQUOI</t>
  </si>
  <si>
    <t>Deux familles de données. Les benchmarks (règles HCSF, droits de mutation, émoluments, taux de crédit de référence, pondérations et minimums bancaires) changent avec la loi ou le marché, à date fixe, et se rafraîchissent depuis une source indiquée. Les données de projet (revenus, charges, apport, taux, durée, patrimoine) sont propres à chaque dossier. L'architecture du classeur ne change pas quand les données changent : seules les cellules bleues bougent.</t>
  </si>
  <si>
    <t>Paramètre</t>
  </si>
  <si>
    <t>Onglet et cellule</t>
  </si>
  <si>
    <t>Ce qu'il pilote</t>
  </si>
  <si>
    <t>Source à consulter, fréquence</t>
  </si>
  <si>
    <t>Taux d'effort et durées HCSF</t>
  </si>
  <si>
    <t>Paramètres!C8:C10</t>
  </si>
  <si>
    <t>Mensualité maximale, contrôle de durée</t>
  </si>
  <si>
    <t>HCSF (economie.gouv.fr/hcsf), à chaque décision trimestrielle</t>
  </si>
  <si>
    <t>Seuil de travaux, marge de flexibilité</t>
  </si>
  <si>
    <t>Paramètres!C11:C12</t>
  </si>
  <si>
    <t>Rien : information pour répondre à la question « Différé » et lire les dossiers dérogatoires</t>
  </si>
  <si>
    <t>HCSF, à chaque décision trimestrielle</t>
  </si>
  <si>
    <t>Droits de mutation et taxe de publicité foncière</t>
  </si>
  <si>
    <t>Paramètres!C13:C15</t>
  </si>
  <si>
    <t>Frais de notaire, prix maximal</t>
  </si>
  <si>
    <t>Loi de finances (CGI art. 1594 D et 1594 F quinquies A) ; échéance du droit majoré 31/03/2028. Valeurs composites (droit, taxe communale, frais d'assiette), détail en Paramètres!F13 et F14</t>
  </si>
  <si>
    <t>Contribution de sécurité immobilière, émoluments, TVA</t>
  </si>
  <si>
    <t>Paramètres!C16:C19</t>
  </si>
  <si>
    <t>Frais de notaire</t>
  </si>
  <si>
    <t>CGI art. 879 ; Code de commerce art. A444-91, arrêté tarifaire tous les deux ans (prochain : 01/03/2028). C18 se recalcule depuis les tranches, formule en Paramètres!D18</t>
  </si>
  <si>
    <t>Taux d'usure par tranche de durée</t>
  </si>
  <si>
    <t>Paramètres!C20:C24</t>
  </si>
  <si>
    <t>Le taux d'usure applicable (C59) et le contrôle « Taux et assurance sous le taux d'usure » (C60)</t>
  </si>
  <si>
    <t>Banque de France, banque-france.fr, rubrique Taux d'usure : avis publié le dernier jour ouvré de mars, juin, septembre et décembre, applicable le 1er du mois suivant. Trimestrielle</t>
  </si>
  <si>
    <t>Pondérations et reste à vivre</t>
  </si>
  <si>
    <t>Paramètres!C28:C31</t>
  </si>
  <si>
    <t>Revenus retenus, mensualité tenable</t>
  </si>
  <si>
    <t>Grille de la banque visée, chaque année</t>
  </si>
  <si>
    <t>Débours, garantie, frais de dossier</t>
  </si>
  <si>
    <t>Paramètres!C32:C34</t>
  </si>
  <si>
    <t>Frais à financer, prix maximal, contrôle d'apport</t>
  </si>
  <si>
    <t>Notaire, Crédit Logement, banque : chaque année</t>
  </si>
  <si>
    <t>Repères de taux, d'assurance et de frais de notaire</t>
  </si>
  <si>
    <t>Paramètres!C35:C39</t>
  </si>
  <si>
    <t>Rien : ils alimentent les commentaires d'aide des onglets. Les chiffres du Mode d'emploi, eux, sont écrits en dur : relisez-le après chaque mise à jour (voir l'étape 7)</t>
  </si>
  <si>
    <t>Observatoire Crédit Logement / CSA (mensuel), baromètres d'assurance et frais-de-notaire.fr (annuel)</t>
  </si>
  <si>
    <t>Bornes de saisie et plancher de plausibilité des taux</t>
  </si>
  <si>
    <t>Paramètres!C43:C48</t>
  </si>
  <si>
    <t>Validations, contrôle des taux C35 et contrôle « Saisies complètes »</t>
  </si>
  <si>
    <t>Convention du classeur : stable. Relevez le plancher si des taux inférieurs à 0,10 % redeviennent courants</t>
  </si>
  <si>
    <t>Date de vérification et listes</t>
  </si>
  <si>
    <t>Paramètres!C55 ; Paramètres!B52:C53</t>
  </si>
  <si>
    <t>La date alimente toutes les mentions « vérifié le » ; les listes sont testées par les formules</t>
  </si>
  <si>
    <t>La date : à chaque mise à jour. Les listes : ne jamais les modifier</t>
  </si>
  <si>
    <t>Revenus, charges, foyer, projet, patrimoine</t>
  </si>
  <si>
    <t>Capacité d'emprunt!C7:C11, Capacité d'emprunt!C15:C18, Capacité d'emprunt!C22:C23, Capacité d'emprunt!C26:C34, toutes les cellules bleues du Bilan patrimonial</t>
  </si>
  <si>
    <t>Tout le reste</t>
  </si>
  <si>
    <t>Données de projet, propres à chaque dossier</t>
  </si>
  <si>
    <t xml:space="preserve">  TROIS FAÇONS DE S'EN SERVIR</t>
  </si>
  <si>
    <t>Votre situation</t>
  </si>
  <si>
    <t>Vous préparez un premier achat</t>
  </si>
  <si>
    <t>Remplissez revenus, charges et foyer, choisissez « Résidence principale » et laissez le loyer actuel en C18 : il disparaît du calcul mais sert au saut de charge (C68). Si le foyer est hébergé ou déjà propriétaire, C68 n'a pas de sens : ne le présentez pas. Lisez le prix maximal (C63) et vérifiez l'apport (C67). Primo-accédant : « Non » en C34.</t>
  </si>
  <si>
    <t>Vous étudiez un investissement locatif</t>
  </si>
  <si>
    <t>Choisissez « Investissement locatif », saisissez le loyer attendu en C27 et votre loyer actuel en C18 : il reste une charge. Comparez le taux d'effort HCSF strict (C48) au taux de charges (C49) : c'est l'écart que le courtier devra défendre.</t>
  </si>
  <si>
    <t>Vous montez un dossier pour la banque</t>
  </si>
  <si>
    <t>Remplissez les deux onglets. Présentez, dans Capacité d'emprunt, la mensualité tenable (C45), le reste à vivre (C46) et les six contrôles (C35, C50, C58, C60, C67, C70). Puis, dans Bilan patrimonial, le patrimoine net (C34), l'épargne résiduelle (C42) et le patrimoine net pro forma (C53). Ajustez les repères de Paramètres à la grille de la banque visée.</t>
  </si>
  <si>
    <t xml:space="preserve">  LES ERREURS QUI FAUSSENT TOUT</t>
  </si>
  <si>
    <t>Le piège</t>
  </si>
  <si>
    <t>Le dégât</t>
  </si>
  <si>
    <t>Pondérer soi-même les loyers avant de les saisir (C10)</t>
  </si>
  <si>
    <t>Ils sont comptés à 49 % au lieu de 70 % : sur l'exemple 2026, 147 € de revenus retenus en moins chaque mois, soit un capital réduit d'environ 10 000 €.</t>
  </si>
  <si>
    <t>Saisir le net imposable ou le net après prélèvement à la source (C7, C8)</t>
  </si>
  <si>
    <t>La banque raisonne en net avant impôt : des revenus sous-estimés de 10 % réduisent le capital de plus de 10 %, car les charges, elles, ne bougent pas.</t>
  </si>
  <si>
    <t>Laisser le loyer actuel à 0 pour un investissement locatif (C18)</t>
  </si>
  <si>
    <t>Une charge de plusieurs centaines d'euros oubliée : la mensualité tenable est surestimée d'autant, et le dossier sera refusé.</t>
  </si>
  <si>
    <t>Saisir un taux en fraction (0,033) dans une cellule qui affiche déjà le pourcentage (C29)</t>
  </si>
  <si>
    <t>Selon le réglage d'Excel, la cellule lit 0,033 % : le capital gonfle de plus de 40 %. Tapez 3,3 et vérifiez que la cellule affiche 3,30 %.</t>
  </si>
  <si>
    <t>Oublier l'assurance (C31 à 0)</t>
  </si>
  <si>
    <t>Le capital est surestimé de 5,1 % sur l'exemple 2026, davantage après 45 ans ou en cas de surprime.</t>
  </si>
  <si>
    <t>Choisir « Oui » au droit majoré pour un primo-accédant, ou « Non » dans un département à 5 % (C34)</t>
  </si>
  <si>
    <t>Un demi-point de droits : 1 044 € de prix maximal sur l'exemple 2026. L'erreur la plus fréquente depuis avril 2025.</t>
  </si>
  <si>
    <t>Saisir 0 en restant dû faute de tableau d'amortissement (Bilan patrimonial!C23 à C25)</t>
  </si>
  <si>
    <t>Le patrimoine net et la dette sur revenus sont surestimés, sans aucun contrôle rouge. Demandez le tableau d'amortissement, ou estimez le restant dû par mensualité × mois restants.</t>
  </si>
  <si>
    <t>Décrire un foyer différent dans les deux onglets</t>
  </si>
  <si>
    <t>Des loyers dans Capacité d'emprunt sans bien loué dans le Bilan (ou l'inverse) : le pro forma et la dette sur revenus ne veulent plus rien dire.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</si>
  <si>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</si>
  <si>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</si>
  <si>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Jusqu'où la banque peut vous suivre, et ce qu'il vous reste pour vivre.</t>
  </si>
  <si>
    <t>Cellules bleues : à remplir.  Cellules blanches : calculées automatiquement.</t>
  </si>
  <si>
    <t xml:space="preserve">  REVENUS MENSUELS NETS DU FOYER</t>
  </si>
  <si>
    <t>Salaire net emprunteur 1</t>
  </si>
  <si>
    <t>Net avant impôt, hors primes exceptionnelles : la ligne « net à payer avant impôt sur le revenu » de la fiche de paie.</t>
  </si>
  <si>
    <t>Salaire net emprunteur 2</t>
  </si>
  <si>
    <t>0 s'il n'y a qu'un emprunteur. Indépendant : moyenne des derniers bilans.</t>
  </si>
  <si>
    <t>Primes et variables (moyenne mensuelle)</t>
  </si>
  <si>
    <t>Revenus locatifs actuels (loyers bruts)</t>
  </si>
  <si>
    <t>Autres revenus pérennes</t>
  </si>
  <si>
    <t>Pensions reçues, rentes, allocations pérennes. Pas les aides temporaires.</t>
  </si>
  <si>
    <t>Total des revenus du foyer</t>
  </si>
  <si>
    <t>Ce que le foyer encaisse réellement chaque mois, avant pondération.</t>
  </si>
  <si>
    <t xml:space="preserve">  CHARGES MENSUELLES ACTUELLES</t>
  </si>
  <si>
    <t>Crédits immobiliers en cours (mensualités)</t>
  </si>
  <si>
    <t>Assurance comprise, pour les prêts qui continueront après l'opération. Exemple : le prêt du bien loué.</t>
  </si>
  <si>
    <t>Crédit auto, consommation, LOA (mensualités)</t>
  </si>
  <si>
    <t>Toutes les mensualités de crédits non immobiliers en cours.</t>
  </si>
  <si>
    <t>Pension alimentaire versée</t>
  </si>
  <si>
    <t>Pension versée. Une pension reçue se saisit dans les autres revenus.</t>
  </si>
  <si>
    <t>Loyer actuel payé par le foyer</t>
  </si>
  <si>
    <t>Loyer payé aujourd'hui. Il disparaît pour une résidence principale, il reste une charge pour un investissement locatif (choix dans Le projet).</t>
  </si>
  <si>
    <t>Charges de crédits en cours</t>
  </si>
  <si>
    <t>Les seules charges comptées dans le taux d'effort HCSF strict.</t>
  </si>
  <si>
    <t xml:space="preserve">  LE FOYER</t>
  </si>
  <si>
    <t>Nombre d'adultes</t>
  </si>
  <si>
    <t>Emprunteurs et adultes à charge. Au moins 1.</t>
  </si>
  <si>
    <t>Nombre d'enfants à charge</t>
  </si>
  <si>
    <t>Enfants à charge, garde alternée comprise.</t>
  </si>
  <si>
    <t xml:space="preserve">  LE PROJET</t>
  </si>
  <si>
    <t>Objet du financement</t>
  </si>
  <si>
    <t>Résidence principale</t>
  </si>
  <si>
    <t>Choisir dans la liste. Résidence principale : le loyer actuel disparaît. Investissement locatif : il reste, et le loyer du bien financé est retenu (pondéré).</t>
  </si>
  <si>
    <t>Loyer mensuel attendu du bien financé</t>
  </si>
  <si>
    <t>Apport personnel</t>
  </si>
  <si>
    <t>Épargne apportée. Doit au moins couvrir les frais de notaire, de garantie et de dossier (contrôle plus bas).</t>
  </si>
  <si>
    <t>Taux du prêt (hors assurance)</t>
  </si>
  <si>
    <t>Durée envisagée</t>
  </si>
  <si>
    <t>Taux d'assurance emprunteur (sur capital initial)</t>
  </si>
  <si>
    <t>Bien neuf ou en VEFA ?</t>
  </si>
  <si>
    <t>Non</t>
  </si>
  <si>
    <t>Différé d'amortissement justifié (VEFA, construction, gros travaux) ?</t>
  </si>
  <si>
    <t>Droit départemental majoré à 5 % applicable ?</t>
  </si>
  <si>
    <t>Taux vraisemblable</t>
  </si>
  <si>
    <t xml:space="preserve">  CE QUE LA BANQUE RETIENT</t>
  </si>
  <si>
    <t>Loyers retenus (pondérés)</t>
  </si>
  <si>
    <t>Loyers actuels, plus loyer du bien financé pour un investissement locatif, multipliés par la pondération de Paramètres.</t>
  </si>
  <si>
    <t>Revenus retenus par la banque</t>
  </si>
  <si>
    <t>Salaires, primes pondérées, autres revenus et loyers pondérés : le dénominateur de tous les ratios.</t>
  </si>
  <si>
    <t>Loyer actuel conservé après l'opération</t>
  </si>
  <si>
    <t>Le loyer actuel s'il continue (investissement locatif), 0 pour une résidence principale.</t>
  </si>
  <si>
    <t>Charges retenues</t>
  </si>
  <si>
    <t>Crédits en cours, pension versée et loyer conservé. Option prudente : tout compte.</t>
  </si>
  <si>
    <t>Mensualité maximale au taux d'effort</t>
  </si>
  <si>
    <t>Reste à vivre minimal attendu</t>
  </si>
  <si>
    <t>Adultes et enfants multipliés par les minimums de Paramètres. Repère bancaire, pas une règle légale.</t>
  </si>
  <si>
    <t>Mensualité maximale au reste à vivre</t>
  </si>
  <si>
    <t>Revenus retenus, moins charges retenues, moins reste à vivre minimal.</t>
  </si>
  <si>
    <t>Mensualité réellement tenable, assurance comprise</t>
  </si>
  <si>
    <t>La plus contraignante des deux règles. Le chiffre à présenter à la banque.</t>
  </si>
  <si>
    <t>Reste à vivre du foyer après la mensualité</t>
  </si>
  <si>
    <t>Revenus retenus, moins charges retenues, moins la mensualité tenable. Jamais sous le minimum tant qu'une mensualité est possible.</t>
  </si>
  <si>
    <t>Règle qui limite le dossier</t>
  </si>
  <si>
    <t>Taux d'effort ou reste à vivre. « Aucune marge » : les charges actuelles saturent déjà le dossier.</t>
  </si>
  <si>
    <t>Taux d'effort HCSF strict</t>
  </si>
  <si>
    <t>(Crédits en cours + mensualité) / revenus retenus : le ratio déclaré au HCSF, sans loyer ni pension.</t>
  </si>
  <si>
    <t>Taux de charges tout compris</t>
  </si>
  <si>
    <t>Endettement dans la norme (taux d'effort et reste à vivre)</t>
  </si>
  <si>
    <t xml:space="preserve">  CAPITAL, FRAIS ET PRIX D'ACHAT</t>
  </si>
  <si>
    <t>Le montant du prêt, pas le prix du bien. Annuité constante, assurance sur capital initial prise sur la mensualité.</t>
  </si>
  <si>
    <t>Frais de garantie (caution ou hypothèque)</t>
  </si>
  <si>
    <t>Frais de dossier de la banque</t>
  </si>
  <si>
    <t>Forfait de Paramètres. 0 s'il n'y a pas de prêt.</t>
  </si>
  <si>
    <t>Budget total disponible</t>
  </si>
  <si>
    <t>Capital plus apport : tout ce qui est disponible, frais compris.</t>
  </si>
  <si>
    <t>Durée maximale HCSF applicable</t>
  </si>
  <si>
    <t>Durée conforme HCSF</t>
  </si>
  <si>
    <t>À CORRIGER sila durée dépasse le maximum applicable. Un tel dossier ne passe que dans la marge de flexibilité de la banque.</t>
  </si>
  <si>
    <t>Taux d'usure applicable (selon la durée)</t>
  </si>
  <si>
    <t>Taux et assurance sous le taux d'usure</t>
  </si>
  <si>
    <t>Le plafond légal porte sur le TAEG, que ce classeur ne calcule pas : il compare ici le taux du prêt plus l'assurance, qui est déjà en dessous du TAEG. À CORRIGER veut donc dire que l'offre est certainement illégale ; OK ne garantit pas la conformité, la marge restante doit encore absorber les frais de dossier et de garantie. Le TAEG complet se calcule dans la matrice Tableau d'amortissement.</t>
  </si>
  <si>
    <t>Frais de notaire, part proportionnelle au prix</t>
  </si>
  <si>
    <t>Droits de mutation (ou taxe de publicité foncière dans le neuf), contribution de sécurité immobilière et taux marginal des émoluments TTC.</t>
  </si>
  <si>
    <t>Frais de notaire, part fixe</t>
  </si>
  <si>
    <t>Part fixe des émoluments (tranches basses, TTC) et débours.</t>
  </si>
  <si>
    <t>Prix d'achat maximal (hors frais)</t>
  </si>
  <si>
    <t>Le chiffre à donner à l'agent immobilier : budget moins garantie, dossier et frais de notaire.</t>
  </si>
  <si>
    <t>Frais de notaire estimés</t>
  </si>
  <si>
    <t>Sur ce prix : droits, émoluments TTC, contribution de sécurité immobilière, débours.</t>
  </si>
  <si>
    <t>Frais de notaire rapportés au prix</t>
  </si>
  <si>
    <t>Total des frais à financer</t>
  </si>
  <si>
    <t>Notaire, garantie et dossier : ce que l'apport doit couvrir au minimum.</t>
  </si>
  <si>
    <t>Apport couvre les frais</t>
  </si>
  <si>
    <t>À CORRIGER sil'apport est inférieur aux frais : les banques ne financent plus les frais par le prêt, sauf exception.</t>
  </si>
  <si>
    <t>Saut de charge (mensualité future moins loyer actuel)</t>
  </si>
  <si>
    <t>Résidence principale seulement. La banque vérifie que l'épargne mensuelle passée couvrait déjà ce saut.</t>
  </si>
  <si>
    <t>Coût total du crédit (intérêts et assurance)</t>
  </si>
  <si>
    <t>Mensualité × 12 × durée, moins le capital. Hors garantie et frais de dossier.</t>
  </si>
  <si>
    <t>Saisies complètes et dans les bornes</t>
  </si>
  <si>
    <t>À CORRIGER : unesaisie manque, n'est pas un nombre ou sort des bornes de Paramètres, une liste est hors valeurs, un paramètre est vide, ou les revenus sont nuls.</t>
  </si>
  <si>
    <t>Ce que la banque regarde après les revenus : ce que vous possédez déjà, et ce qu'il en restera après l'achat.</t>
  </si>
  <si>
    <t xml:space="preserve">  ACTIF IMMOBILIER (VALEUR DE MARCHÉ)</t>
  </si>
  <si>
    <t>Valeur de revente réaliste aujourd'hui (pas le prix payé). 0 si vous êtes locataire.</t>
  </si>
  <si>
    <t>Biens locatifs</t>
  </si>
  <si>
    <t>Valeur de marché des biens loués. Leurs loyers sont saisis dans Capacité d'emprunt.</t>
  </si>
  <si>
    <t>Autres biens immobiliers</t>
  </si>
  <si>
    <t>Résidence secondaire, terrain, parking, nue-propriété (à sa valeur décotée).</t>
  </si>
  <si>
    <t>Total immobilier</t>
  </si>
  <si>
    <t>Valeur brute du patrimoine immobilier.</t>
  </si>
  <si>
    <t xml:space="preserve">  LIQUIDITÉS ET PLACEMENTS</t>
  </si>
  <si>
    <t>Comptes courants et livrets</t>
  </si>
  <si>
    <t>Disponibles immédiatement : comptes, Livret A, LDDS, LEP, CEL, PEL.</t>
  </si>
  <si>
    <t>Assurance-vie</t>
  </si>
  <si>
    <t>Valeur de rachat. Mobilisable sous quelques semaines, avec la fiscalité du rachat.</t>
  </si>
  <si>
    <t>PEA et comptes-titres</t>
  </si>
  <si>
    <t>Valeur liquidative. Un retrait sur un PEA de moins de cinq ans entraîne sa clôture.</t>
  </si>
  <si>
    <t>Épargne retraite (PER, PERCO)</t>
  </si>
  <si>
    <t>Bloquée jusqu'à la retraite, sauf déblocage pour l'achat de la résidence principale (PER individuel) : non comptée dans les liquidités mobilisables.</t>
  </si>
  <si>
    <t>Parts de sociétés et SCPI</t>
  </si>
  <si>
    <t>Valeur de retrait ou de marché. Peu liquide : non comptée dans les liquidités mobilisables.</t>
  </si>
  <si>
    <t>Autres actifs (véhicules, œuvres, métaux)</t>
  </si>
  <si>
    <t>À la valeur de revente. Non comptés dans les liquidités mobilisables.</t>
  </si>
  <si>
    <t>Total liquidités et placements</t>
  </si>
  <si>
    <t>Actif financier brut.</t>
  </si>
  <si>
    <t>Liquidités mobilisables pour l'apport</t>
  </si>
  <si>
    <t>Comptes et livrets, assurance-vie, PEA et comptes-titres. Ce que la banque accepte comme apport disponible.</t>
  </si>
  <si>
    <t xml:space="preserve">  PASSIF (CAPITAL RESTANT DÛ)</t>
  </si>
  <si>
    <t>Capital restant dû, résidence principale</t>
  </si>
  <si>
    <t>Lire le dernier tableau d'amortissement, pas la mensualité.</t>
  </si>
  <si>
    <t>Capital restant dû, biens locatifs</t>
  </si>
  <si>
    <t>Encours des prêts des biens loués. Leur mensualité est dans Capacité d'emprunt (crédits immobiliers en cours).</t>
  </si>
  <si>
    <t>Crédit auto ou consommation (restant dû)</t>
  </si>
  <si>
    <t>Capital restant dû, pas la mensualité.</t>
  </si>
  <si>
    <t>Découverts et crédits renouvelables</t>
  </si>
  <si>
    <t>Encours utilisé à ce jour.</t>
  </si>
  <si>
    <t>Impôts et charges à régler</t>
  </si>
  <si>
    <t>Impôt sur le revenu restant dû, taxe foncière à venir, charges de copropriété impayées.</t>
  </si>
  <si>
    <t>Autres dettes</t>
  </si>
  <si>
    <t>Prêt familial, soulte, dette professionnelle personnelle.</t>
  </si>
  <si>
    <t>Encours immobilier</t>
  </si>
  <si>
    <t>Capital restant dû sur l'ensemble des biens immobiliers.</t>
  </si>
  <si>
    <t>Total passif</t>
  </si>
  <si>
    <t>Tout ce qui est dû aujourd'hui.</t>
  </si>
  <si>
    <t xml:space="preserve">  LECTURE BANCAIRE, AVANT L'OPÉRATION</t>
  </si>
  <si>
    <t>Total actif</t>
  </si>
  <si>
    <t>Immobilier plus liquidités et placements.</t>
  </si>
  <si>
    <t>Patrimoine net</t>
  </si>
  <si>
    <t>Ce qui reste si tout est vendu et toutes les dettes soldées. Ce qui amortit un accident de parcours aux yeux de la banque.</t>
  </si>
  <si>
    <t>Patrimoine immobilier net</t>
  </si>
  <si>
    <t>Valeur des biens moins leur encours de crédit.</t>
  </si>
  <si>
    <t>Endettement immobilier (encours / valeur, LTV)</t>
  </si>
  <si>
    <t>Plus il est proche de 100 %, moins l'immobilier existant offre de marge de sûreté à la banque.</t>
  </si>
  <si>
    <t>Ratio dettes / actif brut</t>
  </si>
  <si>
    <t>Un ratio de stock (dettes totales rapportées à l'actif total), à ne pas confondre avec le taux d'effort, qui est un ratio de flux.</t>
  </si>
  <si>
    <t>Dette totale / revenus annuels retenus</t>
  </si>
  <si>
    <t>En années de revenus retenus (Capacité d'emprunt). Plus il est élevé, plus la stabilité des revenus compte.</t>
  </si>
  <si>
    <t xml:space="preserve">  APPORT ET ÉPARGNE DE PRÉCAUTION</t>
  </si>
  <si>
    <t>Apport prévu (lu dans Capacité d'emprunt)</t>
  </si>
  <si>
    <t>Repris de l'onglet Capacité d'emprunt.</t>
  </si>
  <si>
    <t>Épargne résiduelle après apport</t>
  </si>
  <si>
    <t>Liquidités mobilisables moins apport : l'épargne de précaution que la banque veut voir subsister.</t>
  </si>
  <si>
    <t>Épargne résiduelle en mois de mensualité future</t>
  </si>
  <si>
    <t>Épargne résiduelle divisée par la mensualité tenable. Vide si aucune mensualité n'est possible.</t>
  </si>
  <si>
    <t>Apport couvert par les liquidités</t>
  </si>
  <si>
    <t>À CORRIGER sil'apport prévu dépasse les liquidités mobilisables : il faudra un rachat, un déblocage de PER ou une donation.</t>
  </si>
  <si>
    <t>Saisies du bilan complètes et positives</t>
  </si>
  <si>
    <t>À CORRIGER : unecellule bleue de cet onglet est vide, n'est pas un nombre ou est négative.</t>
  </si>
  <si>
    <t xml:space="preserve">  PRO FORMA APRÈS L'OPÉRATION (AU PRIX MAXIMAL)</t>
  </si>
  <si>
    <t>Bien acquis (prix maximal de Capacité d'emprunt)</t>
  </si>
  <si>
    <t>Scénario plafond : le foyer achète au prix maximal calculé.</t>
  </si>
  <si>
    <t>Frais de l'opération (notaire, garantie, dossier)</t>
  </si>
  <si>
    <t>Payés par l'apport, ils sortent du patrimoine : c'est le coût patrimonial immédiat de l'achat.</t>
  </si>
  <si>
    <t>Nouveau prêt</t>
  </si>
  <si>
    <t>Capital empruntable.</t>
  </si>
  <si>
    <t>Total actif pro forma</t>
  </si>
  <si>
    <t>Actif actuel, moins l'apport, plus le bien acquis.</t>
  </si>
  <si>
    <t>Total passif pro forma</t>
  </si>
  <si>
    <t>Passif actuel plus le nouveau prêt.</t>
  </si>
  <si>
    <t>Patrimoine net pro forma</t>
  </si>
  <si>
    <t>Patrimoine net après l'achat, le jour de la signature.</t>
  </si>
  <si>
    <t>Variation du patrimoine net</t>
  </si>
  <si>
    <t>Égale aux frais de l'opération, en négatif : ils sont perdus. Le bien s'apprécie ensuite (ou non).</t>
  </si>
  <si>
    <t>Endettement immobilier pro forma (LTV)</t>
  </si>
  <si>
    <t>Encours total après l'achat rapporté à la valeur immobilière totale.</t>
  </si>
  <si>
    <t>Ratio dettes / actif brut pro forma</t>
  </si>
  <si>
    <t>Dettes totales après l'achat rapportées à l'actif total.</t>
  </si>
  <si>
    <t>Les règles de la banque et les barèmes 2026, en clair. Toutes les formules du classeur pointent ici.</t>
  </si>
  <si>
    <t xml:space="preserve">  BARÈMES RÉGLEMENTAIRES, MILLÉSIME 2026</t>
  </si>
  <si>
    <t>Valeur</t>
  </si>
  <si>
    <t>Source (organisme, texte, date)</t>
  </si>
  <si>
    <t>Mise à jour</t>
  </si>
  <si>
    <t>Commentaire</t>
  </si>
  <si>
    <t>Taux d'effort maximal HCSF (assurance comprise)</t>
  </si>
  <si>
    <t>À chaque décision HCSF (réunion trimestrielle)</t>
  </si>
  <si>
    <t>Charges d'emprunt assurance comprise rapportées aux revenus nets avant impôt. Norme contraignante depuis le 01/01/2022, avec une marge de flexibilité (ligne plus bas).</t>
  </si>
  <si>
    <t>Durée maximale HCSF, cas général</t>
  </si>
  <si>
    <t>À chaque décision HCSF</t>
  </si>
  <si>
    <t>Maturité maximale du crédit.</t>
  </si>
  <si>
    <t>Durée maximale HCSF avec différé (VEFA, construction, travaux)</t>
  </si>
  <si>
    <t>Durée générale plus 2 ans de différé d'amortissement au plus, quand le bien n'est pas livré ou que les travaux atteignent le seuil de la ligne suivante.</t>
  </si>
  <si>
    <t>Seuil de travaux ouvrant le différé (part du coût total)</t>
  </si>
  <si>
    <t>Information : sert à répondre à la question « Différé » de l'onglet Capacité d'emprunt, pas aux formules.</t>
  </si>
  <si>
    <t>Marge de flexibilité HCSF (part de la production trimestrielle)</t>
  </si>
  <si>
    <t>Information : non utilisée par les formules. Un dossier au-delà du taux d'effort ou de la durée ne passe que dans cette marge, à la main de chaque banque.</t>
  </si>
  <si>
    <t>Droits de mutation, ancien, droit départemental majoré à 5 %</t>
  </si>
  <si>
    <t>À chaque loi de finances ; échéance 31/03/2028</t>
  </si>
  <si>
    <t>5 % × 1,0237 + 1,20 % = 6,32 %. Appliqué par la grande majorité des départements ; le classeur demande si le droit majoré s'applique.</t>
  </si>
  <si>
    <t>Droits de mutation, ancien, droit départemental à 4,50 %</t>
  </si>
  <si>
    <t>À chaque loi de finances</t>
  </si>
  <si>
    <t>4,50 % × 1,0237 + 1,20 % = 5,81 %.</t>
  </si>
  <si>
    <t>Taxe de publicité foncière, neuf ou VEFA</t>
  </si>
  <si>
    <t>0,70 % × 1,0214 = 0,715 %. Remplace les droits de mutation pour un logement neuf ou vendu en l'état futur d'achèvement.</t>
  </si>
  <si>
    <t>Contribution de sécurité immobilière</t>
  </si>
  <si>
    <t>Ex-salaire du conservateur des hypothèques.</t>
  </si>
  <si>
    <t>Émoluments du notaire, taux marginal au-delà de 60 000 € (HT)</t>
  </si>
  <si>
    <t>À chaque arrêté tarifaire (tous les deux ans)</t>
  </si>
  <si>
    <t>Le classeur applique la forme linéaire du barème au-delà de 60 000 € : taux marginal × prix + part fixe (ligne suivante). En dessous de 60 000 €, il surestime légèrement les émoluments (prudent).</t>
  </si>
  <si>
    <t>Émoluments du notaire, part fixe des tranches inférieures (HT)</t>
  </si>
  <si>
    <t>Calcul depuis le barème A444-91 : 6 500 × (3,870 − 0,799) % + 10 500 × (1,596 − 0,799) % + 43 000 × (1,064 − 0,799) % = 397,25 €.</t>
  </si>
  <si>
    <t>À chaque arrêté tarifaire</t>
  </si>
  <si>
    <t>Ce que les trois premières tranches ajoutent par rapport au taux marginal appliqué dès le premier euro.</t>
  </si>
  <si>
    <t>TVA sur les émoluments</t>
  </si>
  <si>
    <t>Les émoluments sont exprimés HT dans le barème ; l'acquéreur les paie TTC.</t>
  </si>
  <si>
    <t>Taux d'usure, prêts à taux fixe de moins de 10 ans</t>
  </si>
  <si>
    <t>Trimestrielle (1er janvier, avril, juillet, octobre)</t>
  </si>
  <si>
    <t>Plafond légal du TAEG. Une offre au-dessus est illégale.</t>
  </si>
  <si>
    <t>Taux d'usure, prêts à taux fixe de 10 ans à moins de 20 ans</t>
  </si>
  <si>
    <t>Trimestrielle</t>
  </si>
  <si>
    <t>Taux d'usure, prêts à taux fixe de 20 ans et plus</t>
  </si>
  <si>
    <t>Tranche de la plupart des prêts immobiliers (20 et 25 ans).</t>
  </si>
  <si>
    <t>Seuil de durée entre les deux premières tranches d'usure</t>
  </si>
  <si>
    <t>Stable</t>
  </si>
  <si>
    <t>Le classeur choisit la tranche d'usure selon la durée du prêt. Le tableau d'amortissement porte le même seuil en mois (120).</t>
  </si>
  <si>
    <t>Seuil de durée entre les deux dernières tranches d'usure</t>
  </si>
  <si>
    <t>Même seuil que le tableau d'amortissement, exprimé en années (240 mois).</t>
  </si>
  <si>
    <t xml:space="preserve">  REPÈRES DE MARCHÉ (POINTS DE DÉPART, À AJUSTER SELON LA BANQUE)</t>
  </si>
  <si>
    <t>Pondération des revenus locatifs</t>
  </si>
  <si>
    <t>Annuelle, selon la banque visée</t>
  </si>
  <si>
    <t>Couvre la vacance, les impayés et les charges du bailleur. S'applique aux loyers actuels et au loyer du bien financé.</t>
  </si>
  <si>
    <t>Pondération des primes et variables</t>
  </si>
  <si>
    <t>Paramètre optionnel. Laissez 100 % si les primes sont déjà lissées sur 3 ans.</t>
  </si>
  <si>
    <t>Reste à vivre minimal par adulte</t>
  </si>
  <si>
    <t>Ordre de grandeur ; varie fortement selon la banque et la zone.</t>
  </si>
  <si>
    <t>Reste à vivre minimal par enfant à charge</t>
  </si>
  <si>
    <t>Par enfant à charge.</t>
  </si>
  <si>
    <t>Débours et frais de formalités du notaire (forfait)</t>
  </si>
  <si>
    <t>Annuelle</t>
  </si>
  <si>
    <t>Documents d'urbanisme, état hypothécaire, cadastre, géomètre : des frais réels, peu liés au prix.</t>
  </si>
  <si>
    <t>Frais de garantie du prêt (en % du capital emprunté)</t>
  </si>
  <si>
    <t>Annuelle, sur le simulateur creditlogement.fr</t>
  </si>
  <si>
    <t>Aucune source primaire ne tranche : le classeur retient la borne haute des relevés, parce que sous-estimer un coût avancé par l'emprunteur flatte le plan de financement. Caution : 65 à 70 % restitués en fin de prêt. Hypothèque ou PPD : 1,5 à 2 %, non restituables. À avancer dans tous les cas.</t>
  </si>
  <si>
    <t>Frais de dossier de la banque (forfait)</t>
  </si>
  <si>
    <t>Négociables. 0 € dans quelques banques en ligne, 2 500 € au plafond le plus élevé du relevé. Valeur prudente, arrondie au-dessus de la moyenne du relevé.</t>
  </si>
  <si>
    <t>Taux moyen constaté sur 25 ans (repère pour la saisie du taux)</t>
  </si>
  <si>
    <t>Mensuelle</t>
  </si>
  <si>
    <t>Information : non utilisée par les formules. Le taux du dossier se saisit dans l'onglet Capacité d'emprunt.</t>
  </si>
  <si>
    <t>Taux d'assurance emprunteur, contrat groupe (repère)</t>
  </si>
  <si>
    <t>Information : repère pour la saisie du taux d'assurance. Davantage après 45 ans ou avec surprime.</t>
  </si>
  <si>
    <t>Taux d'assurance emprunteur, délégation (repère)</t>
  </si>
  <si>
    <t>Information : repère pour la saisie du taux d'assurance.</t>
  </si>
  <si>
    <t>Frais de notaire usuels dans l'ancien (ordre de grandeur)</t>
  </si>
  <si>
    <t>Information : repère pour lire la ligne « Frais de notaire rapportés au prix ». Le classeur calcule les frais réels.</t>
  </si>
  <si>
    <t>Frais de notaire usuels dans le neuf (ordre de grandeur)</t>
  </si>
  <si>
    <t>Information : repère pour lire la ligne « Frais de notaire rapportés au prix ».</t>
  </si>
  <si>
    <t xml:space="preserve">  BORNES DE SAISIE (VALIDATIONS ET CONTRÔLE GLOBAL)</t>
  </si>
  <si>
    <t>Borne de saisie : taux du prêt maximal</t>
  </si>
  <si>
    <t>Borne de vraisemblance du classeur, sans valeur réglementaire.</t>
  </si>
  <si>
    <t>Jamais</t>
  </si>
  <si>
    <t>Une saisie au-delà est refusée et le contrôle global passe au rouge.</t>
  </si>
  <si>
    <t>Borne de saisie : taux d'assurance maximal</t>
  </si>
  <si>
    <t>Borne de vraisemblance du classeur.</t>
  </si>
  <si>
    <t>Idem.</t>
  </si>
  <si>
    <t>Borne de saisie : durée maximale acceptée</t>
  </si>
  <si>
    <t>Borne de vraisemblance du classeur : au-delà du maximum HCSF, la durée reste saisissable (dossier dérogatoire) mais le contrôle de durée est rouge.</t>
  </si>
  <si>
    <t>Borne de saisie : nombre d'adultes maximal</t>
  </si>
  <si>
    <t>Au moins 1 adulte.</t>
  </si>
  <si>
    <t>Borne de saisie : nombre d'enfants maximal</t>
  </si>
  <si>
    <t>Plancher de plausibilité d'un taux saisi</t>
  </si>
  <si>
    <t>Convention CorpusImmo, commune aux matrices qui saisissent des taux.</t>
  </si>
  <si>
    <t>Un taux entre 0 et 0,10 % signale presque toujours une saisie en fraction (0,033 tapé pour 3,30 %). Le contrôle « Taux vraisemblable » passe au rouge dans ce cas, sauf à 0 % exactement (prêt à taux zéro, ou pas d'assurance).</t>
  </si>
  <si>
    <t xml:space="preserve">  LISTES DÉROULANTES DE L'ONGLET CAPACITÉ D'EMPRUNT</t>
  </si>
  <si>
    <t>Oui / Non (bien neuf, différé, droit majoré)</t>
  </si>
  <si>
    <t>Oui</t>
  </si>
  <si>
    <t>Libellés fixes, testés par les formules : ne pas les modifier.</t>
  </si>
  <si>
    <t>Investissement locatif</t>
  </si>
  <si>
    <t>Dernière vérification des paramètres</t>
  </si>
  <si>
    <t>Aucun de ces taux n'est recopié dans une formule : toutes pointent ici. Les mentions « vérifié le » du classeur lisent cette date.</t>
  </si>
  <si>
    <t>Le seuil de 35 % n'est pas une loi de plafonnement absolu : c'est une norme du HCSF assortie d'une marge de flexibilité que chaque banque utilise à sa main.</t>
  </si>
  <si>
    <t>Un dossier à 37 % avec un reste à vivre confortable passe parfois ; un dossier à 33 % avec quatre enfants et un crédit auto peut être refusé. D'où les deux règles côte à côte.</t>
  </si>
  <si>
    <t>Méthode et limites</t>
  </si>
  <si>
    <t>Comment la banque raisonne, où le modèle s'arrête, et sur quelles sources reposent ses chiffres.</t>
  </si>
  <si>
    <t xml:space="preserve">  CONVENTIONS RETENUES, ET CE QU'ELLES COÛTENT</t>
  </si>
  <si>
    <t>Revenus retenus</t>
  </si>
  <si>
    <t>Salaires nets, primes récurrentes lissées, et loyers PONDÉRÉS. La pondération (70 % par défaut, repère 2026) couvre la vacance, les impayés et les charges du bailleur. Compter les loyers à 100 % au lieu de 70 % majore la part locative des revenus de 43 % ; l'effet sur la capacité dépend du poids des loyers (sur l'exemple 2026 : +210 € de revenus retenus, soit +4 % de capacité). Les primes et variables sont pondérées à part (100 % par défaut, repère 2026). Pour un investissement locatif, le loyer attendu du bien financé est ajouté aux loyers, avec la même pondération : c'est la méthode classique des banques ; la méthode différentielle (loyers nets de charges compensés avec la mensualité) n'est pas modélisée.</t>
  </si>
  <si>
    <t>Mensualité maximale</t>
  </si>
  <si>
    <t>Revenus retenus × taux d'effort − charges existantes. Le taux d'effort de 35 % (HCSF, norme 2026) s'entend assurance emprunteur comprise, ce que beaucoup de simulateurs oublient. Les charges retenues comprennent les crédits en cours, la pension versée et, pour un investissement locatif, le loyer actuel qui continue : option prudente, certaines banques renvoient loyer et pension au seul reste à vivre.</t>
  </si>
  <si>
    <t>Reste à vivre</t>
  </si>
  <si>
    <t>Deuxième filtre, indépendant du premier. Le modèle retient la plus contraignante des deux règles, parce que c'est ce que fait un analyste crédit. Le reste à vivre affiché est calculé après la mensualité retenue (et non après la mensualité théorique) : il ne peut donc pas passer sous le minimum tant qu'une mensualité est possible. Il est calculé sur les revenus retenus (loyers pondérés) et avant impôt sur le revenu : convention prudente ; une banque qui raisonne après impôt trouvera un reste à vivre plus faible, une banque qui compte les loyers à 100 % un reste à vivre plus élevé.</t>
  </si>
  <si>
    <t>Deux taux d'endettement</t>
  </si>
  <si>
    <t>Le taux d'effort HCSF strict rapporte les seules charges d'emprunt (crédits en cours plus la mensualité, assurance comprise) aux revenus retenus : c'est le ratio que la banque déclare au régulateur. Le taux de charges tout compris ajoute la pension versée et le loyer conservé : c'est celui que le modèle plafonne à 35 %. Les deux sont affichés parce qu'un courtier présente les deux.</t>
  </si>
  <si>
    <t>Valeur actuelle (PV) de la mensualité sur la durée, corrigée de l'assurance. L'assurance étant assise sur le capital initial, elle mord sur la mensualité disponible : la corriger après coup surestime le capital d'environ 5 % à 0,30 % d'assurance sur 25 ans (exemple 2026), moins sur une durée courte. Taux mensuel proportionnel (taux annuel divisé par 12), annuité constante. L'assurance est calculée sur le capital initial avec un taux global pour tous les emprunteurs : deux emprunteurs assurés chacun à 100 % doublent ce taux.</t>
  </si>
  <si>
    <t>Frais de notaire 2026</t>
  </si>
  <si>
    <t>Barèmes 2026, tous en Paramètres. Ancien : droits de mutation à 6,32 % du prix (droit départemental porté à 5 % du 1er avril 2025 au 31 mars 2028 dans la grande majorité des départements) ou 5,81 % (départements restés à 4,50 %, et primo-accédants achetant leur résidence principale, exonérés de la hausse), plus contribution de sécurité immobilière 0,10 %, émoluments du notaire TTC selon le barème par tranches (linéarisé au-delà de 60 000 €) et débours forfaitaires. Neuf ou VEFA : taxe de publicité foncière 0,715 % à la place des droits de mutation, le reste inchangé. Hors honoraires d'agence et hors mobilier, qui échappent aux droits.</t>
  </si>
  <si>
    <t>Budget total (capital plus apport), moins les frais de garantie (en % du capital), les frais de dossier et la part fixe des frais de notaire, divisé par (1 + part proportionnelle des frais de notaire). On raisonne à l'envers du budget, car les frais se calculent sur le prix, pas sur le budget. Le contrôle « Apport couvre les frais » signale un dossier où le prêt financerait des frais, ce que les banques refusent en pratique.</t>
  </si>
  <si>
    <t>Durée</t>
  </si>
  <si>
    <t>25 ans au plus (HCSF, norme 2026) ; 27 ans quand un différé d'amortissement de 2 ans au plus est justifié par une VEFA, une construction ou des travaux représentant au moins 10 % du coût total (décision HCSF du 29 juin 2023, seuil auparavant fixé à 25 %). Le classeur accepte une durée jusqu'à la borne de Paramètres (30 ans) mais l'affiche en rouge au-delà du maximum applicable.</t>
  </si>
  <si>
    <t>Dérogations HCSF</t>
  </si>
  <si>
    <t>Les banques peuvent déroger au taux d'effort et à la durée pour 20 % de leur production trimestrielle (HCSF, norme 2026), dont au moins 70 % pour l'achat d'une résidence principale et au moins 30 % pour les primo-accédants ; cette marge était utilisée à 17,5 % au premier trimestre 2026. Le classeur signale les dossiers hors norme (contrôles rouges) sans les interdire : leur acceptation relève de chaque banque.</t>
  </si>
  <si>
    <t>Le patrimoine net est ce qui reste si tout était vendu et toutes les dettes soldées. Une banque le regarde pour deux raisons : il mesure votre capacité à encaisser un coup dur, et il révèle une éventuelle capacité d'apport complémentaire. Un patrimoine net solide compense parfois un taux d'endettement à la limite. Les liquidités mobilisables retiennent les comptes, livrets, assurance-vie, PEA et comptes-titres, et excluent l'épargne retraite (bloquée, sauf déblocage pour la résidence principale), les parts de sociétés et les autres actifs. Le pro forma se place au jour de la signature, au prix maximal : le patrimoine net baisse exactement des frais de l'opération ; l'endettement immobilier (LTV) et le ratio dettes sur actif sont recalculés avec le nouveau prêt.</t>
  </si>
  <si>
    <t>Taux d'usure</t>
  </si>
  <si>
    <t>Le taux d'usure plafonne le TAEG, pas le taux nominal, et la Banque de France le publie par tranche de durée (moins de 10 ans, 10 à moins de 20 ans, 20 ans et plus) le dernier jour ouvré de chaque trimestre. Ce classeur ne calcule pas de TAEG : il compare le taux du prêt augmenté du taux d'assurance au plafond de la tranche. Cette somme est inférieure au TAEG, qui intègre en plus les frais de dossier et de garantie : le contrôle est donc conservateur dans un seul sens. Rouge veut dire que l'offre est certainement illégale ; vert veut dire qu'il reste de la marge, à condition que les frais tiennent dedans. Le TAEG lui-même se calcule dans la matrice Tableau d'amortissement et comparateur de prêts, qui porte les mêmes trois tranches et le même seuil de durée.</t>
  </si>
  <si>
    <t>Taux et dates</t>
  </si>
  <si>
    <t>Tous les taux sont des fractions affichées en pourcentage : tapez 3,3 dans une cellule de taux, elle affiche 3,30 % et contient 0,033. Aucune formule ne divise par 100. Les durées sont en années entières.</t>
  </si>
  <si>
    <t xml:space="preserve">  CE QUE CE MODÈLE NE FAIT PAS</t>
  </si>
  <si>
    <t>•  Il ne remplace pas l'accord d'une banque : chaque établissement a sa grille et ses dérogations.</t>
  </si>
  <si>
    <t>•  Il ne tient pas compte de la stabilité professionnelle, qui pèse autant que le taux d'effort.</t>
  </si>
  <si>
    <t>•  Il ne modélise pas le prêt à taux zéro, ni les prêts employeur ou aidés, ni un prêt relais (dont les intérêts sont exclus du taux d'effort par la décision HCSF du 4 décembre 2023).</t>
  </si>
  <si>
    <t>•  Il ne calcule pas le TAEG, le seul taux que le taux d'usure plafonne légalement. Le contrôle d'usure de cet onglet compare le taux du prêt augmenté de l'assurance, qui reste en dessous du TAEG puisqu'il ignore les frais : il détecte une offre certainement illégale, il ne certifie pas une offre conforme. Le TAEG se calcule dans la matrice Tableau d'amortissement et comparateur de prêts.</t>
  </si>
  <si>
    <t>•  Il ne calcule pas les frais de notaire au barème exact en dessous de 60 000 € (il les surestime légèrement), ni les honoraires d'agence, ni la part de mobilier hors droits.</t>
  </si>
  <si>
    <t>•  Il ne modélise pas la méthode différentielle des banques pour l'investissement locatif, ni la fiscalité des loyers (voir la matrice Calculateur de rentabilité locative).</t>
  </si>
  <si>
    <t>•  Il ne fait pas de sensibilité durée × taux sur le capital empruntable (voir la matrice Tableau d'amortissement et comparateur de prêts).</t>
  </si>
  <si>
    <t>•  Il ne remplace ni un courtier, ni un conseil en gestion de patrimoine.</t>
  </si>
  <si>
    <t xml:space="preserve">  SOURCES</t>
  </si>
  <si>
    <t>Prêts relais et taux d'effort</t>
  </si>
  <si>
    <t>Frais de notaire, ordres de grandeur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</si>
</sst>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 €&quot;"/>
    <numFmt numFmtId="165" formatCode="0&quot; ans&quot;"/>
    <numFmt numFmtId="166" formatCode="#,##0.00&quot; €&quot;"/>
    <numFmt numFmtId="167" formatCode="0.00&quot;x&quot;"/>
    <numFmt numFmtId="168" formatCode="0&quot; mois&quot;"/>
    <numFmt numFmtId="169" formatCode="dd/mm/yyyy;@"/>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3" borderId="1" xfId="0" applyNumberFormat="1" applyFont="1" applyFill="1" applyBorder="1" applyAlignment="1" applyProtection="1">
      <alignment horizontal="right" vertical="center"/>
      <protection locked="0"/>
    </xf>
    <xf numFmtId="164" fontId="5" fillId="4" borderId="0" xfId="0" applyNumberFormat="1" applyFont="1" applyFill="1" applyAlignment="1">
      <alignment horizontal="right" vertical="center"/>
    </xf>
    <xf numFmtId="3"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10" fontId="6" fillId="3" borderId="1" xfId="0" applyNumberFormat="1" applyFont="1" applyFill="1" applyBorder="1" applyAlignment="1" applyProtection="1">
      <alignment horizontal="right" vertical="center"/>
      <protection locked="0"/>
    </xf>
    <xf numFmtId="165" fontId="6" fillId="3" borderId="1" xfId="0" applyNumberFormat="1"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0" xfId="0" applyFont="1" applyAlignment="1">
      <alignment horizontal="left" vertical="center"/>
    </xf>
    <xf numFmtId="164" fontId="7" fillId="5" borderId="1" xfId="0" applyNumberFormat="1" applyFont="1" applyFill="1" applyBorder="1" applyAlignment="1">
      <alignment horizontal="right" vertical="center"/>
    </xf>
    <xf numFmtId="166" fontId="5" fillId="4" borderId="0" xfId="0" applyNumberFormat="1" applyFont="1" applyFill="1" applyAlignment="1">
      <alignment horizontal="right" vertical="center"/>
    </xf>
    <xf numFmtId="166" fontId="8" fillId="5" borderId="1" xfId="0" applyNumberFormat="1" applyFont="1" applyFill="1" applyBorder="1" applyAlignment="1">
      <alignment horizontal="right" vertical="center"/>
    </xf>
    <xf numFmtId="49" fontId="5" fillId="4" borderId="0" xfId="0" applyNumberFormat="1" applyFont="1" applyFill="1" applyAlignment="1">
      <alignment horizontal="right" vertical="center"/>
    </xf>
    <xf numFmtId="10" fontId="5" fillId="4" borderId="0" xfId="0" applyNumberFormat="1" applyFont="1" applyFill="1" applyAlignment="1">
      <alignment horizontal="right" vertical="center"/>
    </xf>
    <xf numFmtId="165" fontId="5" fillId="4" borderId="0" xfId="0" applyNumberFormat="1" applyFont="1" applyFill="1" applyAlignment="1">
      <alignment horizontal="right" vertical="center"/>
    </xf>
    <xf numFmtId="164" fontId="8" fillId="5" borderId="1" xfId="0" applyNumberFormat="1" applyFont="1" applyFill="1" applyBorder="1" applyAlignment="1">
      <alignment horizontal="right" vertical="center"/>
    </xf>
    <xf numFmtId="167" fontId="5" fillId="4" borderId="0" xfId="0" applyNumberFormat="1" applyFont="1" applyFill="1" applyAlignment="1">
      <alignment horizontal="right" vertical="center"/>
    </xf>
    <xf numFmtId="168" fontId="5" fillId="4" borderId="0" xfId="0" applyNumberFormat="1" applyFont="1" applyFill="1" applyAlignment="1">
      <alignment horizontal="right" vertical="center"/>
    </xf>
    <xf numFmtId="0" fontId="1" fillId="2" borderId="0" xfId="0" applyFont="1" applyFill="1" applyAlignment="1">
      <alignment horizontal="center" vertical="center" wrapText="1"/>
    </xf>
    <xf numFmtId="0" fontId="5" fillId="0" borderId="0" xfId="0" applyFont="1"/>
    <xf numFmtId="0" fontId="4" fillId="0" borderId="0" xfId="0" applyFont="1" applyAlignment="1">
      <alignment horizontal="left" vertical="top" wrapText="1"/>
    </xf>
    <xf numFmtId="166" fontId="6" fillId="3" borderId="1" xfId="0" applyNumberFormat="1" applyFont="1" applyFill="1" applyBorder="1" applyAlignment="1" applyProtection="1">
      <alignment horizontal="right" vertical="center"/>
      <protection locked="0"/>
    </xf>
    <xf numFmtId="169" fontId="6" fillId="3" borderId="1" xfId="0" applyNumberFormat="1" applyFont="1" applyFill="1" applyBorder="1" applyAlignment="1" applyProtection="1">
      <alignment horizontal="right" vertical="center"/>
      <protection locked="0"/>
    </xf>
    <xf numFmtId="0" fontId="9"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cellXfs>
  <cellStyles count="1">
    <cellStyle name="Normal" xfId="0" builtinId="0"/>
  </cellStyles>
  <dxfs count="14">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1"/>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43.5" customHeight="1" x14ac:dyDescent="0.35">
      <c r="B7" s="37" t="s">
        <v>4</v>
      </c>
      <c r="C7" s="34"/>
      <c r="D7" s="34"/>
      <c r="E7" s="34"/>
    </row>
    <row r="8" spans="2:6" ht="30" customHeight="1" x14ac:dyDescent="0.35">
      <c r="B8" s="37" t="s">
        <v>5</v>
      </c>
      <c r="C8" s="34"/>
      <c r="D8" s="34"/>
      <c r="E8" s="34"/>
    </row>
    <row r="9" spans="2:6" ht="30" customHeight="1" x14ac:dyDescent="0.35">
      <c r="B9" s="37" t="s">
        <v>6</v>
      </c>
      <c r="C9" s="34"/>
      <c r="D9" s="34"/>
      <c r="E9" s="34"/>
    </row>
    <row r="10" spans="2:6" ht="18" customHeight="1" x14ac:dyDescent="0.35">
      <c r="B10" s="5" t="s">
        <v>7</v>
      </c>
      <c r="C10" s="38" t="s">
        <v>8</v>
      </c>
      <c r="D10" s="34"/>
      <c r="E10" s="34"/>
    </row>
    <row r="11" spans="2:6" ht="16.5" customHeight="1" x14ac:dyDescent="0.35">
      <c r="B11" s="6" t="s">
        <v>9</v>
      </c>
      <c r="C11" s="35" t="s">
        <v>10</v>
      </c>
      <c r="D11" s="36"/>
      <c r="E11" s="36"/>
    </row>
    <row r="12" spans="2:6" ht="16.5" customHeight="1" x14ac:dyDescent="0.35">
      <c r="B12" s="6" t="s">
        <v>11</v>
      </c>
      <c r="C12" s="35" t="s">
        <v>12</v>
      </c>
      <c r="D12" s="36"/>
      <c r="E12" s="36"/>
    </row>
    <row r="13" spans="2:6" ht="16.5" customHeight="1" x14ac:dyDescent="0.35">
      <c r="B13" s="6" t="s">
        <v>13</v>
      </c>
      <c r="C13" s="35" t="s">
        <v>14</v>
      </c>
      <c r="D13" s="36"/>
      <c r="E13" s="36"/>
    </row>
    <row r="14" spans="2:6" ht="30" customHeight="1" x14ac:dyDescent="0.35">
      <c r="B14" s="6" t="s">
        <v>15</v>
      </c>
      <c r="C14" s="35" t="s">
        <v>16</v>
      </c>
      <c r="D14" s="36"/>
      <c r="E14" s="36"/>
    </row>
    <row r="15" spans="2:6" ht="16.5" customHeight="1" x14ac:dyDescent="0.35">
      <c r="B15" s="6" t="s">
        <v>17</v>
      </c>
      <c r="C15" s="35" t="s">
        <v>18</v>
      </c>
      <c r="D15" s="36"/>
      <c r="E15" s="36"/>
    </row>
    <row r="17" spans="2:5" ht="18" customHeight="1" x14ac:dyDescent="0.35">
      <c r="B17" s="1" t="s">
        <v>19</v>
      </c>
      <c r="C17" s="1"/>
      <c r="D17" s="1"/>
      <c r="E17" s="1"/>
    </row>
    <row r="18" spans="2:5" ht="28" customHeight="1" x14ac:dyDescent="0.35">
      <c r="B18" s="40" t="s">
        <v>20</v>
      </c>
      <c r="C18" s="34"/>
      <c r="D18" s="34"/>
      <c r="E18" s="34"/>
    </row>
    <row r="20" spans="2:5" ht="18" customHeight="1" x14ac:dyDescent="0.35">
      <c r="B20" s="1" t="s">
        <v>21</v>
      </c>
      <c r="C20" s="1"/>
      <c r="D20" s="1"/>
      <c r="E20" s="1"/>
    </row>
    <row r="21" spans="2:5" ht="18" customHeight="1" x14ac:dyDescent="0.35">
      <c r="B21" s="5" t="s">
        <v>22</v>
      </c>
      <c r="C21" s="5" t="s">
        <v>23</v>
      </c>
      <c r="D21" s="38" t="s">
        <v>24</v>
      </c>
      <c r="E21" s="34"/>
    </row>
    <row r="22" spans="2:5" ht="30" customHeight="1" x14ac:dyDescent="0.35">
      <c r="B22" s="6" t="s">
        <v>1</v>
      </c>
      <c r="C22" s="7" t="s">
        <v>25</v>
      </c>
      <c r="D22" s="35" t="s">
        <v>26</v>
      </c>
      <c r="E22" s="36"/>
    </row>
    <row r="23" spans="2:5" ht="43.5" customHeight="1" x14ac:dyDescent="0.35">
      <c r="B23" s="6" t="s">
        <v>27</v>
      </c>
      <c r="C23" s="7" t="s">
        <v>28</v>
      </c>
      <c r="D23" s="35" t="s">
        <v>29</v>
      </c>
      <c r="E23" s="36"/>
    </row>
    <row r="24" spans="2:5" ht="43.5" customHeight="1" x14ac:dyDescent="0.35">
      <c r="B24" s="6" t="s">
        <v>30</v>
      </c>
      <c r="C24" s="7" t="s">
        <v>31</v>
      </c>
      <c r="D24" s="35" t="s">
        <v>32</v>
      </c>
      <c r="E24" s="36"/>
    </row>
    <row r="25" spans="2:5" ht="111" customHeight="1" x14ac:dyDescent="0.35">
      <c r="B25" s="6" t="s">
        <v>33</v>
      </c>
      <c r="C25" s="7" t="s">
        <v>34</v>
      </c>
      <c r="D25" s="35" t="s">
        <v>35</v>
      </c>
      <c r="E25" s="36"/>
    </row>
    <row r="26" spans="2:5" ht="16.5" customHeight="1" x14ac:dyDescent="0.35">
      <c r="B26" s="6" t="s">
        <v>36</v>
      </c>
      <c r="C26" s="7" t="s">
        <v>37</v>
      </c>
      <c r="D26" s="35" t="s">
        <v>38</v>
      </c>
      <c r="E26" s="36"/>
    </row>
    <row r="28" spans="2:5" ht="18" customHeight="1" x14ac:dyDescent="0.35">
      <c r="B28" s="1" t="s">
        <v>39</v>
      </c>
      <c r="C28" s="1"/>
      <c r="D28" s="1"/>
      <c r="E28" s="1"/>
    </row>
    <row r="29" spans="2:5" ht="18" customHeight="1" x14ac:dyDescent="0.35">
      <c r="B29" s="5" t="s">
        <v>40</v>
      </c>
      <c r="C29" s="5" t="s">
        <v>41</v>
      </c>
      <c r="D29" s="38" t="s">
        <v>42</v>
      </c>
      <c r="E29" s="34"/>
    </row>
    <row r="30" spans="2:5" ht="16.5" customHeight="1" x14ac:dyDescent="0.35">
      <c r="B30" s="6" t="s">
        <v>43</v>
      </c>
      <c r="C30" s="7" t="s">
        <v>44</v>
      </c>
      <c r="D30" s="35" t="s">
        <v>45</v>
      </c>
      <c r="E30" s="36"/>
    </row>
    <row r="31" spans="2:5" ht="16.5" customHeight="1" x14ac:dyDescent="0.35">
      <c r="B31" s="6" t="s">
        <v>46</v>
      </c>
      <c r="C31" s="7" t="s">
        <v>47</v>
      </c>
      <c r="D31" s="35" t="s">
        <v>48</v>
      </c>
      <c r="E31" s="36"/>
    </row>
    <row r="32" spans="2:5" ht="30" customHeight="1" x14ac:dyDescent="0.35">
      <c r="B32" s="6" t="s">
        <v>49</v>
      </c>
      <c r="C32" s="7" t="s">
        <v>50</v>
      </c>
      <c r="D32" s="35" t="s">
        <v>51</v>
      </c>
      <c r="E32" s="36"/>
    </row>
    <row r="33" spans="2:5" ht="16.5" customHeight="1" x14ac:dyDescent="0.35">
      <c r="B33" s="6" t="s">
        <v>52</v>
      </c>
      <c r="C33" s="7" t="s">
        <v>53</v>
      </c>
      <c r="D33" s="35" t="s">
        <v>54</v>
      </c>
      <c r="E33" s="36"/>
    </row>
    <row r="34" spans="2:5" ht="30" customHeight="1" x14ac:dyDescent="0.35">
      <c r="B34" s="6" t="s">
        <v>55</v>
      </c>
      <c r="C34" s="7" t="s">
        <v>56</v>
      </c>
      <c r="D34" s="35" t="s">
        <v>57</v>
      </c>
      <c r="E34" s="36"/>
    </row>
    <row r="35" spans="2:5" ht="16.5" customHeight="1" x14ac:dyDescent="0.35">
      <c r="B35" s="6" t="s">
        <v>58</v>
      </c>
      <c r="C35" s="7" t="s">
        <v>59</v>
      </c>
      <c r="D35" s="35" t="s">
        <v>60</v>
      </c>
      <c r="E35" s="36"/>
    </row>
    <row r="36" spans="2:5" ht="30" customHeight="1" x14ac:dyDescent="0.35">
      <c r="B36" s="37" t="s">
        <v>61</v>
      </c>
      <c r="C36" s="34"/>
      <c r="D36" s="34"/>
      <c r="E36" s="34"/>
    </row>
    <row r="38" spans="2:5" ht="18" customHeight="1" x14ac:dyDescent="0.35">
      <c r="B38" s="1" t="s">
        <v>62</v>
      </c>
      <c r="C38" s="1"/>
      <c r="D38" s="1"/>
      <c r="E38" s="1"/>
    </row>
    <row r="39" spans="2:5" ht="18" customHeight="1" x14ac:dyDescent="0.35">
      <c r="B39" s="5" t="s">
        <v>63</v>
      </c>
      <c r="C39" s="5" t="s">
        <v>64</v>
      </c>
      <c r="D39" s="5" t="s">
        <v>42</v>
      </c>
      <c r="E39" s="5" t="s">
        <v>65</v>
      </c>
    </row>
    <row r="40" spans="2:5" ht="165" customHeight="1" x14ac:dyDescent="0.35">
      <c r="B40" s="6" t="s">
        <v>66</v>
      </c>
      <c r="C40" s="7" t="s">
        <v>67</v>
      </c>
      <c r="D40" s="7" t="s">
        <v>68</v>
      </c>
      <c r="E40" s="7" t="s">
        <v>69</v>
      </c>
    </row>
    <row r="41" spans="2:5" ht="30" customHeight="1" x14ac:dyDescent="0.35">
      <c r="B41" s="6" t="s">
        <v>70</v>
      </c>
      <c r="C41" s="7" t="s">
        <v>71</v>
      </c>
      <c r="D41" s="7" t="s">
        <v>72</v>
      </c>
      <c r="E41" s="7" t="s">
        <v>73</v>
      </c>
    </row>
    <row r="42" spans="2:5" ht="30" customHeight="1" x14ac:dyDescent="0.35">
      <c r="B42" s="6" t="s">
        <v>74</v>
      </c>
      <c r="C42" s="7" t="s">
        <v>75</v>
      </c>
      <c r="D42" s="7" t="s">
        <v>76</v>
      </c>
      <c r="E42" s="7" t="s">
        <v>77</v>
      </c>
    </row>
    <row r="43" spans="2:5" ht="30" customHeight="1" x14ac:dyDescent="0.35">
      <c r="B43" s="6" t="s">
        <v>78</v>
      </c>
      <c r="C43" s="7" t="s">
        <v>79</v>
      </c>
      <c r="D43" s="7" t="s">
        <v>80</v>
      </c>
      <c r="E43" s="7" t="s">
        <v>81</v>
      </c>
    </row>
    <row r="44" spans="2:5" ht="97.5" customHeight="1" x14ac:dyDescent="0.35">
      <c r="B44" s="6" t="s">
        <v>82</v>
      </c>
      <c r="C44" s="7" t="s">
        <v>83</v>
      </c>
      <c r="D44" s="7" t="s">
        <v>84</v>
      </c>
      <c r="E44" s="7" t="s">
        <v>85</v>
      </c>
    </row>
    <row r="45" spans="2:5" ht="84" customHeight="1" x14ac:dyDescent="0.35">
      <c r="B45" s="6" t="s">
        <v>86</v>
      </c>
      <c r="C45" s="7" t="s">
        <v>87</v>
      </c>
      <c r="D45" s="7" t="s">
        <v>88</v>
      </c>
      <c r="E45" s="7" t="s">
        <v>89</v>
      </c>
    </row>
    <row r="46" spans="2:5" ht="97.5" customHeight="1" x14ac:dyDescent="0.35">
      <c r="B46" s="6" t="s">
        <v>90</v>
      </c>
      <c r="C46" s="7" t="s">
        <v>91</v>
      </c>
      <c r="D46" s="7" t="s">
        <v>92</v>
      </c>
      <c r="E46" s="7" t="s">
        <v>93</v>
      </c>
    </row>
    <row r="47" spans="2:5" ht="97.5" customHeight="1" x14ac:dyDescent="0.35">
      <c r="B47" s="6" t="s">
        <v>94</v>
      </c>
      <c r="C47" s="7" t="s">
        <v>95</v>
      </c>
      <c r="D47" s="7" t="s">
        <v>96</v>
      </c>
      <c r="E47" s="7" t="s">
        <v>97</v>
      </c>
    </row>
    <row r="49" spans="2:5" ht="18" customHeight="1" x14ac:dyDescent="0.35">
      <c r="B49" s="1" t="s">
        <v>98</v>
      </c>
      <c r="C49" s="1"/>
      <c r="D49" s="1"/>
      <c r="E49" s="1"/>
    </row>
    <row r="50" spans="2:5" ht="43.5" customHeight="1" x14ac:dyDescent="0.35">
      <c r="B50" s="37" t="s">
        <v>99</v>
      </c>
      <c r="C50" s="34"/>
      <c r="D50" s="34"/>
      <c r="E50" s="34"/>
    </row>
    <row r="51" spans="2:5" ht="43.5" customHeight="1" x14ac:dyDescent="0.35">
      <c r="B51" s="37" t="s">
        <v>100</v>
      </c>
      <c r="C51" s="34"/>
      <c r="D51" s="34"/>
      <c r="E51" s="34"/>
    </row>
    <row r="52" spans="2:5" ht="30" customHeight="1" x14ac:dyDescent="0.35">
      <c r="B52" s="37" t="s">
        <v>101</v>
      </c>
      <c r="C52" s="34"/>
      <c r="D52" s="34"/>
      <c r="E52" s="34"/>
    </row>
    <row r="53" spans="2:5" ht="43.5" customHeight="1" x14ac:dyDescent="0.35">
      <c r="B53" s="37" t="s">
        <v>102</v>
      </c>
      <c r="C53" s="34"/>
      <c r="D53" s="34"/>
      <c r="E53" s="34"/>
    </row>
    <row r="54" spans="2:5" ht="57" customHeight="1" x14ac:dyDescent="0.35">
      <c r="B54" s="37" t="s">
        <v>103</v>
      </c>
      <c r="C54" s="34"/>
      <c r="D54" s="34"/>
      <c r="E54" s="34"/>
    </row>
    <row r="55" spans="2:5" ht="30" customHeight="1" x14ac:dyDescent="0.35">
      <c r="B55" s="37" t="s">
        <v>104</v>
      </c>
      <c r="C55" s="34"/>
      <c r="D55" s="34"/>
      <c r="E55" s="34"/>
    </row>
    <row r="56" spans="2:5" ht="57" customHeight="1" x14ac:dyDescent="0.35">
      <c r="B56" s="37" t="s">
        <v>105</v>
      </c>
      <c r="C56" s="34"/>
      <c r="D56" s="34"/>
      <c r="E56" s="34"/>
    </row>
    <row r="58" spans="2:5" ht="18" customHeight="1" x14ac:dyDescent="0.35">
      <c r="B58" s="1" t="s">
        <v>106</v>
      </c>
      <c r="C58" s="1"/>
      <c r="D58" s="1"/>
      <c r="E58" s="1"/>
    </row>
    <row r="59" spans="2:5" ht="18" customHeight="1" x14ac:dyDescent="0.35">
      <c r="B59" s="5" t="s">
        <v>107</v>
      </c>
      <c r="C59" s="5" t="s">
        <v>108</v>
      </c>
      <c r="D59" s="5" t="s">
        <v>109</v>
      </c>
      <c r="E59" s="5" t="s">
        <v>110</v>
      </c>
    </row>
    <row r="60" spans="2:5" ht="30" customHeight="1" x14ac:dyDescent="0.35">
      <c r="B60" s="6" t="s">
        <v>111</v>
      </c>
      <c r="C60" s="7" t="s">
        <v>112</v>
      </c>
      <c r="D60" s="7" t="s">
        <v>113</v>
      </c>
      <c r="E60" s="7" t="s">
        <v>114</v>
      </c>
    </row>
    <row r="61" spans="2:5" ht="30" customHeight="1" x14ac:dyDescent="0.35">
      <c r="B61" s="6" t="s">
        <v>115</v>
      </c>
      <c r="C61" s="7" t="s">
        <v>116</v>
      </c>
      <c r="D61" s="7" t="s">
        <v>117</v>
      </c>
      <c r="E61" s="7" t="s">
        <v>118</v>
      </c>
    </row>
    <row r="62" spans="2:5" ht="43.5" customHeight="1" x14ac:dyDescent="0.35">
      <c r="B62" s="6" t="s">
        <v>119</v>
      </c>
      <c r="C62" s="7" t="s">
        <v>120</v>
      </c>
      <c r="D62" s="7" t="s">
        <v>121</v>
      </c>
      <c r="E62" s="7" t="s">
        <v>122</v>
      </c>
    </row>
    <row r="63" spans="2:5" ht="43.5" customHeight="1" x14ac:dyDescent="0.35">
      <c r="B63" s="6" t="s">
        <v>123</v>
      </c>
      <c r="C63" s="7" t="s">
        <v>124</v>
      </c>
      <c r="D63" s="7" t="s">
        <v>125</v>
      </c>
      <c r="E63" s="7" t="s">
        <v>126</v>
      </c>
    </row>
    <row r="64" spans="2:5" ht="30" customHeight="1" x14ac:dyDescent="0.35">
      <c r="B64" s="6" t="s">
        <v>127</v>
      </c>
      <c r="C64" s="7" t="s">
        <v>128</v>
      </c>
      <c r="D64" s="7" t="s">
        <v>129</v>
      </c>
      <c r="E64" s="7" t="s">
        <v>130</v>
      </c>
    </row>
    <row r="65" spans="2:5" ht="43.5" customHeight="1" x14ac:dyDescent="0.35">
      <c r="B65" s="6" t="s">
        <v>131</v>
      </c>
      <c r="C65" s="7" t="s">
        <v>132</v>
      </c>
      <c r="D65" s="7" t="s">
        <v>133</v>
      </c>
      <c r="E65" s="7" t="s">
        <v>134</v>
      </c>
    </row>
    <row r="67" spans="2:5" ht="18" customHeight="1" x14ac:dyDescent="0.35">
      <c r="B67" s="1" t="s">
        <v>135</v>
      </c>
      <c r="C67" s="1"/>
      <c r="D67" s="1"/>
      <c r="E67" s="1"/>
    </row>
    <row r="68" spans="2:5" ht="43.5" customHeight="1" x14ac:dyDescent="0.35">
      <c r="B68" s="37" t="s">
        <v>136</v>
      </c>
      <c r="C68" s="34"/>
      <c r="D68" s="34"/>
      <c r="E68" s="34"/>
    </row>
    <row r="69" spans="2:5" ht="18" customHeight="1" x14ac:dyDescent="0.35">
      <c r="B69" s="5" t="s">
        <v>137</v>
      </c>
      <c r="C69" s="5" t="s">
        <v>138</v>
      </c>
      <c r="D69" s="5" t="s">
        <v>139</v>
      </c>
      <c r="E69" s="5" t="s">
        <v>140</v>
      </c>
    </row>
    <row r="70" spans="2:5" ht="16.5" customHeight="1" x14ac:dyDescent="0.35">
      <c r="B70" s="6" t="s">
        <v>141</v>
      </c>
      <c r="C70" s="7" t="s">
        <v>142</v>
      </c>
      <c r="D70" s="7" t="s">
        <v>143</v>
      </c>
      <c r="E70" s="7" t="s">
        <v>144</v>
      </c>
    </row>
    <row r="71" spans="2:5" ht="30" customHeight="1" x14ac:dyDescent="0.35">
      <c r="B71" s="6" t="s">
        <v>145</v>
      </c>
      <c r="C71" s="7" t="s">
        <v>146</v>
      </c>
      <c r="D71" s="7" t="s">
        <v>147</v>
      </c>
      <c r="E71" s="7" t="s">
        <v>148</v>
      </c>
    </row>
    <row r="72" spans="2:5" ht="43.5" customHeight="1" x14ac:dyDescent="0.35">
      <c r="B72" s="6" t="s">
        <v>149</v>
      </c>
      <c r="C72" s="7" t="s">
        <v>150</v>
      </c>
      <c r="D72" s="7" t="s">
        <v>151</v>
      </c>
      <c r="E72" s="7" t="s">
        <v>152</v>
      </c>
    </row>
    <row r="73" spans="2:5" ht="43.5" customHeight="1" x14ac:dyDescent="0.35">
      <c r="B73" s="6" t="s">
        <v>153</v>
      </c>
      <c r="C73" s="7" t="s">
        <v>154</v>
      </c>
      <c r="D73" s="7" t="s">
        <v>155</v>
      </c>
      <c r="E73" s="7" t="s">
        <v>156</v>
      </c>
    </row>
    <row r="74" spans="2:5" ht="43.5" customHeight="1" x14ac:dyDescent="0.35">
      <c r="B74" s="6" t="s">
        <v>157</v>
      </c>
      <c r="C74" s="7" t="s">
        <v>158</v>
      </c>
      <c r="D74" s="7" t="s">
        <v>159</v>
      </c>
      <c r="E74" s="7" t="s">
        <v>160</v>
      </c>
    </row>
    <row r="75" spans="2:5" ht="16.5" customHeight="1" x14ac:dyDescent="0.35">
      <c r="B75" s="6" t="s">
        <v>161</v>
      </c>
      <c r="C75" s="7" t="s">
        <v>162</v>
      </c>
      <c r="D75" s="7" t="s">
        <v>163</v>
      </c>
      <c r="E75" s="7" t="s">
        <v>164</v>
      </c>
    </row>
    <row r="76" spans="2:5" ht="16.5" customHeight="1" x14ac:dyDescent="0.35">
      <c r="B76" s="6" t="s">
        <v>165</v>
      </c>
      <c r="C76" s="7" t="s">
        <v>166</v>
      </c>
      <c r="D76" s="7" t="s">
        <v>167</v>
      </c>
      <c r="E76" s="7" t="s">
        <v>168</v>
      </c>
    </row>
    <row r="77" spans="2:5" ht="43.5" customHeight="1" x14ac:dyDescent="0.35">
      <c r="B77" s="6" t="s">
        <v>169</v>
      </c>
      <c r="C77" s="7" t="s">
        <v>170</v>
      </c>
      <c r="D77" s="7" t="s">
        <v>171</v>
      </c>
      <c r="E77" s="7" t="s">
        <v>172</v>
      </c>
    </row>
    <row r="78" spans="2:5" ht="30" customHeight="1" x14ac:dyDescent="0.35">
      <c r="B78" s="6" t="s">
        <v>173</v>
      </c>
      <c r="C78" s="7" t="s">
        <v>174</v>
      </c>
      <c r="D78" s="7" t="s">
        <v>175</v>
      </c>
      <c r="E78" s="7" t="s">
        <v>176</v>
      </c>
    </row>
    <row r="79" spans="2:5" ht="30" customHeight="1" x14ac:dyDescent="0.35">
      <c r="B79" s="6" t="s">
        <v>177</v>
      </c>
      <c r="C79" s="7" t="s">
        <v>178</v>
      </c>
      <c r="D79" s="7" t="s">
        <v>179</v>
      </c>
      <c r="E79" s="7" t="s">
        <v>180</v>
      </c>
    </row>
    <row r="80" spans="2:5" ht="97.5" customHeight="1" x14ac:dyDescent="0.35">
      <c r="B80" s="6" t="s">
        <v>181</v>
      </c>
      <c r="C80" s="7" t="s">
        <v>182</v>
      </c>
      <c r="D80" s="7" t="s">
        <v>183</v>
      </c>
      <c r="E80" s="7" t="s">
        <v>184</v>
      </c>
    </row>
    <row r="82" spans="2:5" ht="18" customHeight="1" x14ac:dyDescent="0.35">
      <c r="B82" s="1" t="s">
        <v>185</v>
      </c>
      <c r="C82" s="1"/>
      <c r="D82" s="1"/>
      <c r="E82" s="1"/>
    </row>
    <row r="83" spans="2:5" ht="18" customHeight="1" x14ac:dyDescent="0.35">
      <c r="B83" s="5" t="s">
        <v>186</v>
      </c>
      <c r="C83" s="38" t="s">
        <v>42</v>
      </c>
      <c r="D83" s="34"/>
      <c r="E83" s="34"/>
    </row>
    <row r="84" spans="2:5" ht="43.5" customHeight="1" x14ac:dyDescent="0.35">
      <c r="B84" s="6" t="s">
        <v>187</v>
      </c>
      <c r="C84" s="35" t="s">
        <v>188</v>
      </c>
      <c r="D84" s="36"/>
      <c r="E84" s="36"/>
    </row>
    <row r="85" spans="2:5" ht="30" customHeight="1" x14ac:dyDescent="0.35">
      <c r="B85" s="6" t="s">
        <v>189</v>
      </c>
      <c r="C85" s="35" t="s">
        <v>190</v>
      </c>
      <c r="D85" s="36"/>
      <c r="E85" s="36"/>
    </row>
    <row r="86" spans="2:5" ht="43.5" customHeight="1" x14ac:dyDescent="0.35">
      <c r="B86" s="6" t="s">
        <v>191</v>
      </c>
      <c r="C86" s="35" t="s">
        <v>192</v>
      </c>
      <c r="D86" s="36"/>
      <c r="E86" s="36"/>
    </row>
    <row r="88" spans="2:5" ht="18" customHeight="1" x14ac:dyDescent="0.35">
      <c r="B88" s="1" t="s">
        <v>193</v>
      </c>
      <c r="C88" s="1"/>
      <c r="D88" s="1"/>
      <c r="E88" s="1"/>
    </row>
    <row r="89" spans="2:5" ht="18" customHeight="1" x14ac:dyDescent="0.35">
      <c r="B89" s="5" t="s">
        <v>194</v>
      </c>
      <c r="C89" s="38" t="s">
        <v>195</v>
      </c>
      <c r="D89" s="34"/>
      <c r="E89" s="34"/>
    </row>
    <row r="90" spans="2:5" ht="30" customHeight="1" x14ac:dyDescent="0.35">
      <c r="B90" s="6" t="s">
        <v>196</v>
      </c>
      <c r="C90" s="35" t="s">
        <v>197</v>
      </c>
      <c r="D90" s="36"/>
      <c r="E90" s="36"/>
    </row>
    <row r="91" spans="2:5" ht="30" customHeight="1" x14ac:dyDescent="0.35">
      <c r="B91" s="6" t="s">
        <v>198</v>
      </c>
      <c r="C91" s="35" t="s">
        <v>199</v>
      </c>
      <c r="D91" s="36"/>
      <c r="E91" s="36"/>
    </row>
    <row r="92" spans="2:5" ht="30" customHeight="1" x14ac:dyDescent="0.35">
      <c r="B92" s="6" t="s">
        <v>200</v>
      </c>
      <c r="C92" s="35" t="s">
        <v>201</v>
      </c>
      <c r="D92" s="36"/>
      <c r="E92" s="36"/>
    </row>
    <row r="93" spans="2:5" ht="43.5" customHeight="1" x14ac:dyDescent="0.35">
      <c r="B93" s="6" t="s">
        <v>202</v>
      </c>
      <c r="C93" s="35" t="s">
        <v>203</v>
      </c>
      <c r="D93" s="36"/>
      <c r="E93" s="36"/>
    </row>
    <row r="94" spans="2:5" ht="16.5" customHeight="1" x14ac:dyDescent="0.35">
      <c r="B94" s="6" t="s">
        <v>204</v>
      </c>
      <c r="C94" s="35" t="s">
        <v>205</v>
      </c>
      <c r="D94" s="36"/>
      <c r="E94" s="36"/>
    </row>
    <row r="95" spans="2:5" ht="43.5" customHeight="1" x14ac:dyDescent="0.35">
      <c r="B95" s="6" t="s">
        <v>206</v>
      </c>
      <c r="C95" s="35" t="s">
        <v>207</v>
      </c>
      <c r="D95" s="36"/>
      <c r="E95" s="36"/>
    </row>
    <row r="96" spans="2:5" ht="43.5" customHeight="1" x14ac:dyDescent="0.35">
      <c r="B96" s="6" t="s">
        <v>208</v>
      </c>
      <c r="C96" s="35" t="s">
        <v>209</v>
      </c>
      <c r="D96" s="36"/>
      <c r="E96" s="36"/>
    </row>
    <row r="97" spans="2:5" ht="30" customHeight="1" x14ac:dyDescent="0.35">
      <c r="B97" s="6" t="s">
        <v>210</v>
      </c>
      <c r="C97" s="35" t="s">
        <v>211</v>
      </c>
      <c r="D97" s="36"/>
      <c r="E97" s="36"/>
    </row>
    <row r="99" spans="2:5" ht="16.5" customHeight="1" x14ac:dyDescent="0.35">
      <c r="B99" s="39" t="s">
        <v>212</v>
      </c>
      <c r="C99" s="34"/>
      <c r="D99" s="34"/>
      <c r="E99" s="34"/>
    </row>
    <row r="101" spans="2:5" ht="36" customHeight="1" x14ac:dyDescent="0.35">
      <c r="B101" s="33" t="s">
        <v>213</v>
      </c>
      <c r="C101" s="34"/>
      <c r="D101" s="34"/>
      <c r="E101" s="34"/>
    </row>
  </sheetData>
  <sheetProtection sheet="1"/>
  <mergeCells count="47">
    <mergeCell ref="C12:E12"/>
    <mergeCell ref="B36:E36"/>
    <mergeCell ref="B7:E7"/>
    <mergeCell ref="D32:E32"/>
    <mergeCell ref="C91:E91"/>
    <mergeCell ref="B18:E18"/>
    <mergeCell ref="B56:E56"/>
    <mergeCell ref="C13:E13"/>
    <mergeCell ref="B52:E52"/>
    <mergeCell ref="C10:E10"/>
    <mergeCell ref="D21:E21"/>
    <mergeCell ref="C11:E11"/>
    <mergeCell ref="B50:E50"/>
    <mergeCell ref="B54:E54"/>
    <mergeCell ref="B9:E9"/>
    <mergeCell ref="D34:E34"/>
    <mergeCell ref="C84:E84"/>
    <mergeCell ref="B68:E68"/>
    <mergeCell ref="C96:E96"/>
    <mergeCell ref="C86:E86"/>
    <mergeCell ref="C92:E92"/>
    <mergeCell ref="C83:E83"/>
    <mergeCell ref="C15:E15"/>
    <mergeCell ref="C95:E95"/>
    <mergeCell ref="C94:E94"/>
    <mergeCell ref="C93:E93"/>
    <mergeCell ref="B55:E55"/>
    <mergeCell ref="D22:E22"/>
    <mergeCell ref="B51:E51"/>
    <mergeCell ref="C90:E90"/>
    <mergeCell ref="D31:E31"/>
    <mergeCell ref="B101:E101"/>
    <mergeCell ref="C85:E85"/>
    <mergeCell ref="D25:E25"/>
    <mergeCell ref="C14:E14"/>
    <mergeCell ref="B8:E8"/>
    <mergeCell ref="D24:E24"/>
    <mergeCell ref="D30:E30"/>
    <mergeCell ref="B53:E53"/>
    <mergeCell ref="C89:E89"/>
    <mergeCell ref="D33:E33"/>
    <mergeCell ref="D29:E29"/>
    <mergeCell ref="C97:E97"/>
    <mergeCell ref="D23:E23"/>
    <mergeCell ref="D26:E26"/>
    <mergeCell ref="B99:E99"/>
    <mergeCell ref="D35:E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D72"/>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6" customWidth="1"/>
    <col min="3" max="3" width="15" customWidth="1"/>
    <col min="4" max="4" width="100" customWidth="1"/>
  </cols>
  <sheetData>
    <row r="1" spans="2:4" ht="20" customHeight="1" x14ac:dyDescent="0.35">
      <c r="B1" s="1" t="s">
        <v>0</v>
      </c>
      <c r="C1" s="1"/>
      <c r="D1" s="1"/>
    </row>
    <row r="2" spans="2:4" ht="26" customHeight="1" x14ac:dyDescent="0.35">
      <c r="B2" s="2" t="s">
        <v>27</v>
      </c>
    </row>
    <row r="3" spans="2:4" x14ac:dyDescent="0.35">
      <c r="B3" s="3" t="s">
        <v>214</v>
      </c>
    </row>
    <row r="5" spans="2:4" x14ac:dyDescent="0.35">
      <c r="B5" s="9" t="s">
        <v>215</v>
      </c>
    </row>
    <row r="6" spans="2:4" ht="18" customHeight="1" x14ac:dyDescent="0.35">
      <c r="B6" s="1" t="s">
        <v>216</v>
      </c>
      <c r="C6" s="1"/>
      <c r="D6" s="1"/>
    </row>
    <row r="7" spans="2:4" x14ac:dyDescent="0.35">
      <c r="B7" s="10" t="s">
        <v>217</v>
      </c>
      <c r="C7" s="11">
        <v>2600</v>
      </c>
      <c r="D7" s="9" t="s">
        <v>218</v>
      </c>
    </row>
    <row r="8" spans="2:4" x14ac:dyDescent="0.35">
      <c r="B8" s="10" t="s">
        <v>219</v>
      </c>
      <c r="C8" s="11">
        <v>1900</v>
      </c>
      <c r="D8" s="9" t="s">
        <v>220</v>
      </c>
    </row>
    <row r="9" spans="2:4" x14ac:dyDescent="0.35">
      <c r="B9" s="10" t="s">
        <v>221</v>
      </c>
      <c r="C9" s="11">
        <v>200</v>
      </c>
      <c r="D9" s="9" t="str">
        <f>"Moyenne pluriannuelle si elles sont récurrentes. Retenues à "&amp;TEXT(ROUND(Paramètres!$C$29*100,0),"0")&amp;" %"&amp;" (Paramètres, pondération des primes)."</f>
        <v>Moyenne pluriannuelle si elles sont récurrentes. Retenues à 100 % (Paramètres, pondération des primes).</v>
      </c>
    </row>
    <row r="10" spans="2:4" x14ac:dyDescent="0.35">
      <c r="B10" s="10" t="s">
        <v>222</v>
      </c>
      <c r="C10" s="11">
        <v>700</v>
      </c>
      <c r="D10" s="9" t="str">
        <f>"Loyers hors charges encaissés aujourd'hui. Retenus à "&amp;TEXT(ROUND(Paramètres!$C$28*100,0),"0")&amp;" %"&amp;" plus bas (Paramètres) : ne les pondérez pas vous-même."</f>
        <v>Loyers hors charges encaissés aujourd'hui. Retenus à 70 % plus bas (Paramètres) : ne les pondérez pas vous-même.</v>
      </c>
    </row>
    <row r="11" spans="2:4" x14ac:dyDescent="0.35">
      <c r="B11" s="10" t="s">
        <v>223</v>
      </c>
      <c r="C11" s="11">
        <v>0</v>
      </c>
      <c r="D11" s="9" t="s">
        <v>224</v>
      </c>
    </row>
    <row r="12" spans="2:4" x14ac:dyDescent="0.35">
      <c r="B12" s="10" t="s">
        <v>225</v>
      </c>
      <c r="C12" s="12">
        <f>SUM($C$7:$C$11)</f>
        <v>5400</v>
      </c>
      <c r="D12" s="9" t="s">
        <v>226</v>
      </c>
    </row>
    <row r="14" spans="2:4" ht="18" customHeight="1" x14ac:dyDescent="0.35">
      <c r="B14" s="1" t="s">
        <v>227</v>
      </c>
      <c r="C14" s="1"/>
      <c r="D14" s="1"/>
    </row>
    <row r="15" spans="2:4" x14ac:dyDescent="0.35">
      <c r="B15" s="10" t="s">
        <v>228</v>
      </c>
      <c r="C15" s="11">
        <v>450</v>
      </c>
      <c r="D15" s="9" t="s">
        <v>229</v>
      </c>
    </row>
    <row r="16" spans="2:4" x14ac:dyDescent="0.35">
      <c r="B16" s="10" t="s">
        <v>230</v>
      </c>
      <c r="C16" s="11">
        <v>280</v>
      </c>
      <c r="D16" s="9" t="s">
        <v>231</v>
      </c>
    </row>
    <row r="17" spans="2:4" x14ac:dyDescent="0.35">
      <c r="B17" s="10" t="s">
        <v>232</v>
      </c>
      <c r="C17" s="11">
        <v>0</v>
      </c>
      <c r="D17" s="9" t="s">
        <v>233</v>
      </c>
    </row>
    <row r="18" spans="2:4" x14ac:dyDescent="0.35">
      <c r="B18" s="10" t="s">
        <v>234</v>
      </c>
      <c r="C18" s="11">
        <v>850</v>
      </c>
      <c r="D18" s="9" t="s">
        <v>235</v>
      </c>
    </row>
    <row r="19" spans="2:4" x14ac:dyDescent="0.35">
      <c r="B19" s="10" t="s">
        <v>236</v>
      </c>
      <c r="C19" s="12">
        <f>SUM($C$15:$C$16)</f>
        <v>730</v>
      </c>
      <c r="D19" s="9" t="s">
        <v>237</v>
      </c>
    </row>
    <row r="21" spans="2:4" ht="18" customHeight="1" x14ac:dyDescent="0.35">
      <c r="B21" s="1" t="s">
        <v>238</v>
      </c>
      <c r="C21" s="1"/>
      <c r="D21" s="1"/>
    </row>
    <row r="22" spans="2:4" x14ac:dyDescent="0.35">
      <c r="B22" s="10" t="s">
        <v>239</v>
      </c>
      <c r="C22" s="13">
        <v>2</v>
      </c>
      <c r="D22" s="9" t="s">
        <v>240</v>
      </c>
    </row>
    <row r="23" spans="2:4" x14ac:dyDescent="0.35">
      <c r="B23" s="10" t="s">
        <v>241</v>
      </c>
      <c r="C23" s="13">
        <v>1</v>
      </c>
      <c r="D23" s="9" t="s">
        <v>242</v>
      </c>
    </row>
    <row r="25" spans="2:4" ht="18" customHeight="1" x14ac:dyDescent="0.35">
      <c r="B25" s="1" t="s">
        <v>243</v>
      </c>
      <c r="C25" s="1"/>
      <c r="D25" s="1"/>
    </row>
    <row r="26" spans="2:4" x14ac:dyDescent="0.35">
      <c r="B26" s="10" t="s">
        <v>244</v>
      </c>
      <c r="C26" s="14" t="s">
        <v>245</v>
      </c>
      <c r="D26" s="9" t="s">
        <v>246</v>
      </c>
    </row>
    <row r="27" spans="2:4" x14ac:dyDescent="0.35">
      <c r="B27" s="10" t="s">
        <v>247</v>
      </c>
      <c r="C27" s="11">
        <v>0</v>
      </c>
      <c r="D27" s="9" t="str">
        <f>"Hors charges. Retenu à "&amp;TEXT(ROUND(Paramètres!$C$28*100,0),"0")&amp;" %"&amp;" seulement si l'objet est un investissement locatif, ignoré sinon. 0 pour une résidence principale."</f>
        <v>Hors charges. Retenu à 70 % seulement si l'objet est un investissement locatif, ignoré sinon. 0 pour une résidence principale.</v>
      </c>
    </row>
    <row r="28" spans="2:4" x14ac:dyDescent="0.35">
      <c r="B28" s="10" t="s">
        <v>248</v>
      </c>
      <c r="C28" s="11">
        <v>30000</v>
      </c>
      <c r="D28" s="9" t="s">
        <v>249</v>
      </c>
    </row>
    <row r="29" spans="2:4" x14ac:dyDescent="0.35">
      <c r="B29" s="10" t="s">
        <v>250</v>
      </c>
      <c r="C29" s="15">
        <v>3.3000000000000002E-2</v>
      </c>
      <c r="D29" s="9" t="str">
        <f>"Taux nominal annuel. Tapez 3,3 pour 3,30 %. Repère de Paramètres (Observatoire Crédit Logement, vérifié le "&amp;TEXT(DAY(Paramètres!$C$55),"00")&amp;"/"&amp;TEXT(MONTH(Paramètres!$C$55),"00")&amp;"/"&amp;YEAR(Paramètres!$C$55)&amp;") : "&amp;TEXT(INT(ROUND(Paramètres!$C$35*100,2)),"0")&amp;","&amp;TEXT((ROUND(Paramètres!$C$35*100,2)-INT(ROUND(Paramètres!$C$35*100,2)))*100,"00")&amp;" %"&amp;" sur 25 ans."</f>
        <v>Taux nominal annuel. Tapez 3,3 pour 3,30 %. Repère de Paramètres (Observatoire Crédit Logement, vérifié le 05/09/2026) : 3,35 % sur 25 ans.</v>
      </c>
    </row>
    <row r="30" spans="2:4" x14ac:dyDescent="0.35">
      <c r="B30" s="10" t="s">
        <v>251</v>
      </c>
      <c r="C30" s="16">
        <v>25</v>
      </c>
      <c r="D30" s="9" t="str">
        <f>"Années entières. "&amp;TEXT(Paramètres!$C$9,"0")&amp;" ans au plus (HCSF), "&amp;TEXT(Paramètres!$C$10,"0")&amp;" avec différé (ligne « Différé »). Au-delà : dossier dérogatoire, contrôle rouge."</f>
        <v>Années entières. 25 ans au plus (HCSF), 27 avec différé (ligne « Différé »). Au-delà : dossier dérogatoire, contrôle rouge.</v>
      </c>
    </row>
    <row r="31" spans="2:4" x14ac:dyDescent="0.35">
      <c r="B31" s="10" t="s">
        <v>252</v>
      </c>
      <c r="C31" s="15">
        <v>3.0000000000000001E-3</v>
      </c>
      <c r="D31" s="9" t="str">
        <f>"Taux global du foyer : avec deux emprunteurs couverts à 100 % chacun, additionnez les deux taux. Repères de Paramètres (vérifiés le "&amp;TEXT(DAY(Paramètres!$C$55),"00")&amp;"/"&amp;TEXT(MONTH(Paramètres!$C$55),"00")&amp;"/"&amp;YEAR(Paramètres!$C$55)&amp;") : "&amp;TEXT(INT(ROUND(Paramètres!$C$36*100,2)),"0")&amp;","&amp;TEXT((ROUND(Paramètres!$C$36*100,2)-INT(ROUND(Paramètres!$C$36*100,2)))*100,"00")&amp;" %"&amp;" en contrat groupe, "&amp;TEXT(INT(ROUND(Paramètres!$C$37*100,2)),"0")&amp;","&amp;TEXT((ROUND(Paramètres!$C$37*100,2)-INT(ROUND(Paramètres!$C$37*100,2)))*100,"00")&amp;" %"&amp;" en délégation, par tête."</f>
        <v>Taux global du foyer : avec deux emprunteurs couverts à 100 % chacun, additionnez les deux taux. Repères de Paramètres (vérifiés le 05/09/2026) : 0,36 % en contrat groupe, 0,17 % en délégation, par tête.</v>
      </c>
    </row>
    <row r="32" spans="2:4" x14ac:dyDescent="0.35">
      <c r="B32" s="10" t="s">
        <v>253</v>
      </c>
      <c r="C32" s="14" t="s">
        <v>254</v>
      </c>
      <c r="D32" s="9" t="str">
        <f>"Oui : taxe de publicité foncière réduite ("&amp;TEXT(INT(ROUND(Paramètres!$C$15*100,3)),"0")&amp;","&amp;TEXT((ROUND(Paramètres!$C$15*100,3)-INT(ROUND(Paramètres!$C$15*100,3)))*1000,"000")&amp;" %"&amp;") à la place des droits de mutation."</f>
        <v>Oui : taxe de publicité foncière réduite (0,715 %) à la place des droits de mutation.</v>
      </c>
    </row>
    <row r="33" spans="2:4" x14ac:dyDescent="0.35">
      <c r="B33" s="10" t="s">
        <v>255</v>
      </c>
      <c r="C33" s="14" t="s">
        <v>254</v>
      </c>
      <c r="D33" s="9" t="str">
        <f>"Oui si VEFA, construction, ou travaux d'au moins "&amp;TEXT(ROUND(Paramètres!$C$11*100,0),"0")&amp;" %"&amp;" du coût total : durée HCSF portée à "&amp;TEXT(Paramètres!$C$10,"0")&amp;" ans (différé de 2 ans au plus)."</f>
        <v>Oui si VEFA, construction, ou travaux d'au moins 10 % du coût total : durée HCSF portée à 27 ans (différé de 2 ans au plus).</v>
      </c>
    </row>
    <row r="34" spans="2:4" x14ac:dyDescent="0.35">
      <c r="B34" s="10" t="s">
        <v>256</v>
      </c>
      <c r="C34" s="14" t="s">
        <v>254</v>
      </c>
      <c r="D34" s="9" t="str">
        <f>"Oui dans la grande majorité des départements depuis le 01/04/2025 ("&amp;TEXT(INT(ROUND(Paramètres!$C$13*100,2)),"0")&amp;","&amp;TEXT((ROUND(Paramètres!$C$13*100,2)-INT(ROUND(Paramètres!$C$13*100,2)))*100,"00")&amp;" %"&amp;" de droits). Non si le département est resté au taux de base ("&amp;TEXT(INT(ROUND(Paramètres!$C$14*100,2)),"0")&amp;","&amp;TEXT((ROUND(Paramètres!$C$14*100,2)-INT(ROUND(Paramètres!$C$14*100,2)))*100,"00")&amp;" %"&amp;"), ou pour un primo-accédant achetant sa résidence principale."</f>
        <v>Oui dans la grande majorité des départements depuis le 01/04/2025 (6,32 % de droits). Non si le département est resté au taux de base (5,81 %), ou pour un primo-accédant achetant sa résidence principale.</v>
      </c>
    </row>
    <row r="35" spans="2:4" x14ac:dyDescent="0.35">
      <c r="B35" s="10" t="s">
        <v>257</v>
      </c>
      <c r="C35" s="17" t="str">
        <f>IF(AND(ISNUMBER(Paramètres!$C$48),OR(NOT(ISNUMBER($C$29)),$C$29&lt;=0,$C$29&gt;=Paramètres!$C$48),OR(NOT(ISNUMBER($C$31)),$C$31&lt;=0,$C$31&gt;=Paramètres!$C$48)),"OK","À CORRIGER")</f>
        <v>OK</v>
      </c>
      <c r="D35" s="9" t="str">
        <f>"À CORRIGER si le taux du prêt ou le taux d'assurance est strictement positif et inférieur au plancher de plausibilité de Paramètres ("&amp;TEXT(INT(ROUND(Paramètres!$C$48*100,2)),"0")&amp;","&amp;TEXT((ROUND(Paramètres!$C$48*100,2)-INT(ROUND(Paramètres!$C$48*100,2)))*100,"00")&amp;" %"&amp;") : vous avez sans doute tapé 0,033 au lieu de 3,3. Un prêt à taux zéro se saisit 0 exactement."</f>
        <v>À CORRIGER si le taux du prêt ou le taux d'assurance est strictement positif et inférieur au plancher de plausibilité de Paramètres (0,10 %) : vous avez sans doute tapé 0,033 au lieu de 3,3. Un prêt à taux zéro se saisit 0 exactement.</v>
      </c>
    </row>
    <row r="37" spans="2:4" ht="18" customHeight="1" x14ac:dyDescent="0.35">
      <c r="B37" s="1" t="s">
        <v>258</v>
      </c>
      <c r="C37" s="1"/>
      <c r="D37" s="1"/>
    </row>
    <row r="38" spans="2:4" x14ac:dyDescent="0.35">
      <c r="B38" s="10" t="s">
        <v>259</v>
      </c>
      <c r="C38" s="12">
        <f>(N($C$10)+IF($C$26=Paramètres!$C$53,N($C$27),0))*Paramètres!$C$28</f>
        <v>489.99999999999994</v>
      </c>
      <c r="D38" s="9" t="s">
        <v>260</v>
      </c>
    </row>
    <row r="39" spans="2:4" x14ac:dyDescent="0.35">
      <c r="B39" s="18" t="s">
        <v>261</v>
      </c>
      <c r="C39" s="19">
        <f>SUM($C$7,$C$8,$C$11)+N($C$9)*Paramètres!$C$29+$C$38</f>
        <v>5190</v>
      </c>
      <c r="D39" s="9" t="s">
        <v>262</v>
      </c>
    </row>
    <row r="40" spans="2:4" x14ac:dyDescent="0.35">
      <c r="B40" s="10" t="s">
        <v>263</v>
      </c>
      <c r="C40" s="12">
        <f>IF($C$26=Paramètres!$C$52,0,N($C$18))</f>
        <v>0</v>
      </c>
      <c r="D40" s="9" t="s">
        <v>264</v>
      </c>
    </row>
    <row r="41" spans="2:4" x14ac:dyDescent="0.35">
      <c r="B41" s="10" t="s">
        <v>265</v>
      </c>
      <c r="C41" s="12">
        <f>$C$19+N($C$17)+$C$40</f>
        <v>730</v>
      </c>
      <c r="D41" s="9" t="s">
        <v>266</v>
      </c>
    </row>
    <row r="42" spans="2:4" x14ac:dyDescent="0.35">
      <c r="B42" s="10" t="s">
        <v>267</v>
      </c>
      <c r="C42" s="20">
        <f>$C$39*Paramètres!$C$8-$C$41</f>
        <v>1086.4999999999998</v>
      </c>
      <c r="D42" s="9" t="str">
        <f>"Revenus retenus × taux d'effort HCSF ("&amp;TEXT(ROUND(Paramètres!$C$8*100,0),"0")&amp;" %"&amp;"), moins les charges retenues. Assurance comprise."</f>
        <v>Revenus retenus × taux d'effort HCSF (35 %), moins les charges retenues. Assurance comprise.</v>
      </c>
    </row>
    <row r="43" spans="2:4" x14ac:dyDescent="0.35">
      <c r="B43" s="10" t="s">
        <v>268</v>
      </c>
      <c r="C43" s="20">
        <f>N($C$22)*Paramètres!$C$30+N($C$23)*Paramètres!$C$31</f>
        <v>1900</v>
      </c>
      <c r="D43" s="9" t="s">
        <v>269</v>
      </c>
    </row>
    <row r="44" spans="2:4" x14ac:dyDescent="0.35">
      <c r="B44" s="10" t="s">
        <v>270</v>
      </c>
      <c r="C44" s="20">
        <f>$C$39-$C$41-$C$43</f>
        <v>2560</v>
      </c>
      <c r="D44" s="9" t="s">
        <v>271</v>
      </c>
    </row>
    <row r="45" spans="2:4" ht="21" customHeight="1" x14ac:dyDescent="0.35">
      <c r="B45" s="18" t="s">
        <v>272</v>
      </c>
      <c r="C45" s="21">
        <f>MAX(0,MIN($C$42,$C$44))</f>
        <v>1086.4999999999998</v>
      </c>
      <c r="D45" s="9" t="s">
        <v>273</v>
      </c>
    </row>
    <row r="46" spans="2:4" x14ac:dyDescent="0.35">
      <c r="B46" s="10" t="s">
        <v>274</v>
      </c>
      <c r="C46" s="20">
        <f>$C$39-$C$41-$C$45</f>
        <v>3373.5</v>
      </c>
      <c r="D46" s="9" t="s">
        <v>275</v>
      </c>
    </row>
    <row r="47" spans="2:4" x14ac:dyDescent="0.35">
      <c r="B47" s="10" t="s">
        <v>276</v>
      </c>
      <c r="C47" s="22" t="str">
        <f>IF($C$45=0,"Aucune marge",IF($C$42&lt;=$C$44,"Taux d'effort","Reste à vivre"))</f>
        <v>Taux d'effort</v>
      </c>
      <c r="D47" s="9" t="s">
        <v>277</v>
      </c>
    </row>
    <row r="48" spans="2:4" x14ac:dyDescent="0.35">
      <c r="B48" s="10" t="s">
        <v>278</v>
      </c>
      <c r="C48" s="23">
        <f>IF($C$39&gt;0,($C$19+$C$45)/$C$39,"")</f>
        <v>0.35</v>
      </c>
      <c r="D48" s="9" t="s">
        <v>279</v>
      </c>
    </row>
    <row r="49" spans="2:4" x14ac:dyDescent="0.35">
      <c r="B49" s="10" t="s">
        <v>280</v>
      </c>
      <c r="C49" s="23">
        <f>IF($C$39&gt;0,($C$41+$C$45)/$C$39,"")</f>
        <v>0.35</v>
      </c>
      <c r="D49" s="9" t="str">
        <f>"(Charges retenues + mensualité) / revenus retenus : le ratio que le modèle plafonne à "&amp;TEXT(ROUND(Paramètres!$C$8*100,0),"0")&amp;" %"&amp;"."</f>
        <v>(Charges retenues + mensualité) / revenus retenus : le ratio que le modèle plafonne à 35 %.</v>
      </c>
    </row>
    <row r="50" spans="2:4" x14ac:dyDescent="0.35">
      <c r="B50" s="10" t="s">
        <v>281</v>
      </c>
      <c r="C50" s="17" t="str">
        <f>IF(IF($C$39&gt;0,AND($C$45&gt;0,ROUND($C$49,6)&lt;=Paramètres!$C$8,ROUND($C$46,2)&gt;=$C$43),FALSE),"OK","À CORRIGER")</f>
        <v>OK</v>
      </c>
      <c r="D50" s="9" t="str">
        <f>"À CORRIGER siles charges actuelles ne laissent aucune mensualité possible. Au-delà de "&amp;TEXT(ROUND(Paramètres!$C$8*100,0),"0")&amp;" %"&amp;" : marge de flexibilité de "&amp;TEXT(ROUND(Paramètres!$C$12*100,0),"0")&amp;" %"&amp;" de la production (Paramètres)."</f>
        <v>À CORRIGER siles charges actuelles ne laissent aucune mensualité possible. Au-delà de 35 % : marge de flexibilité de 20 % de la production (Paramètres).</v>
      </c>
    </row>
    <row r="52" spans="2:4" ht="18" customHeight="1" x14ac:dyDescent="0.35">
      <c r="B52" s="1" t="s">
        <v>282</v>
      </c>
      <c r="C52" s="1"/>
      <c r="D52" s="1"/>
    </row>
    <row r="53" spans="2:4" x14ac:dyDescent="0.35">
      <c r="B53" s="18" t="s">
        <v>123</v>
      </c>
      <c r="C53" s="19">
        <f>IF(AND(ISNUMBER($C$29),ISNUMBER($C$30),$C$30&gt;0,ISNUMBER($C$31)),PV($C$29/12,$C$30*12,-$C$45)/(1+PV($C$29/12,$C$30*12,-1)*$C$31/12),"")</f>
        <v>210986.61929352459</v>
      </c>
      <c r="D53" s="9" t="s">
        <v>283</v>
      </c>
    </row>
    <row r="54" spans="2:4" x14ac:dyDescent="0.35">
      <c r="B54" s="10" t="s">
        <v>284</v>
      </c>
      <c r="C54" s="12">
        <f>IF($C$53="","",$C$53*Paramètres!$C$33)</f>
        <v>2531.8394315222949</v>
      </c>
      <c r="D54" s="9" t="str">
        <f>"Capital × "&amp;TEXT(INT(ROUND(Paramètres!$C$33*100,2)),"0")&amp;","&amp;TEXT((ROUND(Paramètres!$C$33*100,2)-INT(ROUND(Paramètres!$C$33*100,2)))*100,"00")&amp;" %"&amp;" (Paramètres). À avancer à la signature, même si une caution en restitue une partie à la fin."</f>
        <v>Capital × 1,20 % (Paramètres). À avancer à la signature, même si une caution en restitue une partie à la fin.</v>
      </c>
    </row>
    <row r="55" spans="2:4" x14ac:dyDescent="0.35">
      <c r="B55" s="10" t="s">
        <v>285</v>
      </c>
      <c r="C55" s="12">
        <f>IF($C$53="","",IF($C$53&gt;0,Paramètres!$C$34,0))</f>
        <v>2000</v>
      </c>
      <c r="D55" s="9" t="s">
        <v>286</v>
      </c>
    </row>
    <row r="56" spans="2:4" x14ac:dyDescent="0.35">
      <c r="B56" s="10" t="s">
        <v>287</v>
      </c>
      <c r="C56" s="12">
        <f>IF($C$53="","",$C$53+N($C$28))</f>
        <v>240986.61929352459</v>
      </c>
      <c r="D56" s="9" t="s">
        <v>288</v>
      </c>
    </row>
    <row r="57" spans="2:4" x14ac:dyDescent="0.35">
      <c r="B57" s="10" t="s">
        <v>289</v>
      </c>
      <c r="C57" s="24">
        <f>IF($C$33=Paramètres!$B$52,Paramètres!$C$10,Paramètres!$C$9)</f>
        <v>25</v>
      </c>
      <c r="D57" s="9" t="str">
        <f>TEXT(Paramètres!$C$9,"0")&amp;" ans, ou "&amp;TEXT(Paramètres!$C$10,"0")&amp;" ans avec différé (Paramètres)."</f>
        <v>25 ans, ou 27 ans avec différé (Paramètres).</v>
      </c>
    </row>
    <row r="58" spans="2:4" x14ac:dyDescent="0.35">
      <c r="B58" s="10" t="s">
        <v>290</v>
      </c>
      <c r="C58" s="17" t="str">
        <f>IF(AND(ISNUMBER($C$30),$C$30&gt;=1,$C$30&lt;=$C$57),"OK","À CORRIGER")</f>
        <v>OK</v>
      </c>
      <c r="D58" s="9" t="s">
        <v>291</v>
      </c>
    </row>
    <row r="59" spans="2:4" x14ac:dyDescent="0.35">
      <c r="B59" s="10" t="s">
        <v>292</v>
      </c>
      <c r="C59" s="23">
        <f>IF(AND(ISNUMBER($C$30),$C$30&gt;0),IF($C$30&lt;Paramètres!$C$23,Paramètres!$C$20,IF($C$30&lt;Paramètres!$C$24,Paramètres!$C$21,Paramètres!$C$22)),"")</f>
        <v>5.2900000000000003E-2</v>
      </c>
      <c r="D59" s="9" t="str">
        <f>"Tranche choisie automatiquement selon la durée : "&amp;TEXT(INT(ROUND(Paramètres!$C$20*100,2)),"0")&amp;","&amp;TEXT((ROUND(Paramètres!$C$20*100,2)-INT(ROUND(Paramètres!$C$20*100,2)))*100,"00")&amp;" %"&amp;" sous "&amp;TEXT(Paramètres!$C$23,"0")&amp;" ans, "&amp;TEXT(INT(ROUND(Paramètres!$C$21*100,2)),"0")&amp;","&amp;TEXT((ROUND(Paramètres!$C$21*100,2)-INT(ROUND(Paramètres!$C$21*100,2)))*100,"00")&amp;" %"&amp;" de "&amp;TEXT(Paramètres!$C$23,"0")&amp;" à moins de "&amp;TEXT(Paramètres!$C$24,"0")&amp;" ans, "&amp;TEXT(INT(ROUND(Paramètres!$C$22*100,2)),"0")&amp;","&amp;TEXT((ROUND(Paramètres!$C$22*100,2)-INT(ROUND(Paramètres!$C$22*100,2)))*100,"00")&amp;" %"&amp;" à "&amp;TEXT(Paramètres!$C$24,"0")&amp;" ans et plus (Paramètres, Banque de France)."</f>
        <v>Tranche choisie automatiquement selon la durée : 4,07 % sous 10 ans, 4,57 % de 10 à moins de 20 ans, 5,29 % à 20 ans et plus (Paramètres, Banque de France).</v>
      </c>
    </row>
    <row r="60" spans="2:4" x14ac:dyDescent="0.35">
      <c r="B60" s="10" t="s">
        <v>293</v>
      </c>
      <c r="C60" s="17" t="str">
        <f>IF(AND($C$70="OK",ISNUMBER($C$59)),IF(ROUND(N($C$29)+N($C$31),6)&lt;=$C$59,"OK","À CORRIGER"),"")</f>
        <v>OK</v>
      </c>
      <c r="D60" s="9" t="s">
        <v>294</v>
      </c>
    </row>
    <row r="61" spans="2:4" x14ac:dyDescent="0.35">
      <c r="B61" s="10" t="s">
        <v>295</v>
      </c>
      <c r="C61" s="23">
        <f>IF($C$32=Paramètres!$B$52,Paramètres!$C$15,IF($C$34=Paramètres!$B$52,Paramètres!$C$13,Paramètres!$C$14))+Paramètres!$C$16+Paramètres!$C$17*(1+Paramètres!$C$19)</f>
        <v>6.8687999999999999E-2</v>
      </c>
      <c r="D61" s="9" t="s">
        <v>296</v>
      </c>
    </row>
    <row r="62" spans="2:4" x14ac:dyDescent="0.35">
      <c r="B62" s="10" t="s">
        <v>297</v>
      </c>
      <c r="C62" s="12">
        <f>Paramètres!$C$18*(1+Paramètres!$C$19)+Paramètres!$C$32</f>
        <v>1476.7</v>
      </c>
      <c r="D62" s="9" t="s">
        <v>298</v>
      </c>
    </row>
    <row r="63" spans="2:4" ht="21" customHeight="1" x14ac:dyDescent="0.35">
      <c r="B63" s="18" t="s">
        <v>299</v>
      </c>
      <c r="C63" s="25">
        <f>IF($C$56="","",MAX(0,($C$56-$C$54-$C$55-$C$62)/(1+$C$61)))</f>
        <v>219875.28620327191</v>
      </c>
      <c r="D63" s="9" t="s">
        <v>300</v>
      </c>
    </row>
    <row r="64" spans="2:4" x14ac:dyDescent="0.35">
      <c r="B64" s="10" t="s">
        <v>301</v>
      </c>
      <c r="C64" s="12">
        <f>IF($C$63="","",IF($C$63&gt;0,$C$63*$C$61+$C$62,0))</f>
        <v>16579.493658730342</v>
      </c>
      <c r="D64" s="9" t="s">
        <v>302</v>
      </c>
    </row>
    <row r="65" spans="2:4" x14ac:dyDescent="0.35">
      <c r="B65" s="10" t="s">
        <v>303</v>
      </c>
      <c r="C65" s="23">
        <f>IF($C$63="","",IF($C$63&gt;0,$C$64/$C$63,""))</f>
        <v>7.5404079944677418E-2</v>
      </c>
      <c r="D65" s="9" t="str">
        <f>"Ordres de grandeur de Paramètres (vérifiés le "&amp;TEXT(DAY(Paramètres!$C$55),"00")&amp;"/"&amp;TEXT(MONTH(Paramètres!$C$55),"00")&amp;"/"&amp;YEAR(Paramètres!$C$55)&amp;") : "&amp;TEXT(INT(ROUND(Paramètres!$C$38*100,1)),"0")&amp;","&amp;TEXT((ROUND(Paramètres!$C$38*100,1)-INT(ROUND(Paramètres!$C$38*100,1)))*10,"0")&amp;" %"&amp;" dans l'ancien, "&amp;TEXT(INT(ROUND(Paramètres!$C$39*100,1)),"0")&amp;","&amp;TEXT((ROUND(Paramètres!$C$39*100,1)-INT(ROUND(Paramètres!$C$39*100,1)))*10,"0")&amp;" %"&amp;" dans le neuf. Plus élevé sur un petit prix."</f>
        <v>Ordres de grandeur de Paramètres (vérifiés le 05/09/2026) : 8,0 % dans l'ancien, 2,5 % dans le neuf. Plus élevé sur un petit prix.</v>
      </c>
    </row>
    <row r="66" spans="2:4" x14ac:dyDescent="0.35">
      <c r="B66" s="10" t="s">
        <v>304</v>
      </c>
      <c r="C66" s="12">
        <f>IF($C$63="","",$C$64+$C$54+$C$55)</f>
        <v>21111.333090252636</v>
      </c>
      <c r="D66" s="9" t="s">
        <v>305</v>
      </c>
    </row>
    <row r="67" spans="2:4" x14ac:dyDescent="0.35">
      <c r="B67" s="10" t="s">
        <v>306</v>
      </c>
      <c r="C67" s="17" t="str">
        <f>IF(IF($C$66&lt;&gt;"",N($C$28)&gt;=ROUND($C$66,2),FALSE),"OK","À CORRIGER")</f>
        <v>OK</v>
      </c>
      <c r="D67" s="9" t="s">
        <v>307</v>
      </c>
    </row>
    <row r="68" spans="2:4" x14ac:dyDescent="0.35">
      <c r="B68" s="10" t="s">
        <v>308</v>
      </c>
      <c r="C68" s="20">
        <f>IF($C$26=Paramètres!$C$52,$C$45-N($C$18),"")</f>
        <v>236.49999999999977</v>
      </c>
      <c r="D68" s="9" t="s">
        <v>309</v>
      </c>
    </row>
    <row r="69" spans="2:4" x14ac:dyDescent="0.35">
      <c r="B69" s="10" t="s">
        <v>310</v>
      </c>
      <c r="C69" s="12">
        <f>IF($C$53="","",$C$45*12*$C$30-$C$53)</f>
        <v>114963.38070647529</v>
      </c>
      <c r="D69" s="9" t="s">
        <v>311</v>
      </c>
    </row>
    <row r="70" spans="2:4" x14ac:dyDescent="0.35">
      <c r="B70" s="10" t="s">
        <v>312</v>
      </c>
      <c r="C70" s="17" t="str">
        <f>IF(AND(COUNT($C$7:$C$11)=5,MIN($C$7:$C$11)&gt;=0,COUNT($C$15:$C$18)=4,MIN($C$15:$C$18)&gt;=0,COUNT($C$22:$C$23)=2,$C$22&gt;=1,$C$22&lt;=Paramètres!$C$46,$C$23&gt;=0,$C$23&lt;=Paramètres!$C$47,INT(N($C$22))=N($C$22),INT(N($C$23))=N($C$23),COUNT($C$27:$C$31)=5,MIN($C$27:$C$28)&gt;=0,$C$29&gt;=0,$C$29&lt;=Paramètres!$C$43,$C$30&gt;=1,$C$30&lt;=Paramètres!$C$45,INT(N($C$30))=N($C$30),$C$31&gt;=0,$C$31&lt;=Paramètres!$C$44,NOT(ISNA(MATCH($C$26,Paramètres!$C$52:$C$53,0))),NOT(ISNA(MATCH($C$32,Paramètres!$B$52:$B$53,0))),NOT(ISNA(MATCH($C$33,Paramètres!$B$52:$B$53,0))),NOT(ISNA(MATCH($C$34,Paramètres!$B$52:$B$53,0))),$C$39&gt;0,$C$35="OK",COUNT(Paramètres!$C$8:$C$24)=17,COUNT(Paramètres!$C$28:$C$39)=12,COUNT(Paramètres!$C$43:$C$48)=6),"OK","À CORRIGER")</f>
        <v>OK</v>
      </c>
      <c r="D70" s="9" t="s">
        <v>313</v>
      </c>
    </row>
    <row r="72" spans="2:4" ht="36" customHeight="1" x14ac:dyDescent="0.35">
      <c r="B72" s="33" t="s">
        <v>213</v>
      </c>
      <c r="C72" s="34"/>
      <c r="D72" s="34"/>
    </row>
  </sheetData>
  <sheetProtection sheet="1" formatColumns="0" formatRows="0"/>
  <mergeCells count="1">
    <mergeCell ref="B72:D72"/>
  </mergeCells>
  <conditionalFormatting sqref="C35">
    <cfRule type="cellIs" dxfId="13" priority="1" operator="equal">
      <formula>"OK"</formula>
    </cfRule>
    <cfRule type="cellIs" dxfId="12" priority="2" operator="equal">
      <formula>"À CORRIGER"</formula>
    </cfRule>
  </conditionalFormatting>
  <conditionalFormatting sqref="C50">
    <cfRule type="cellIs" dxfId="11" priority="3" operator="equal">
      <formula>"OK"</formula>
    </cfRule>
    <cfRule type="cellIs" dxfId="10" priority="4" operator="equal">
      <formula>"À CORRIGER"</formula>
    </cfRule>
  </conditionalFormatting>
  <conditionalFormatting sqref="C58">
    <cfRule type="cellIs" dxfId="9" priority="5" operator="equal">
      <formula>"OK"</formula>
    </cfRule>
    <cfRule type="cellIs" dxfId="8" priority="6" operator="equal">
      <formula>"À CORRIGER"</formula>
    </cfRule>
  </conditionalFormatting>
  <conditionalFormatting sqref="C60">
    <cfRule type="cellIs" dxfId="7" priority="7" operator="equal">
      <formula>"OK"</formula>
    </cfRule>
    <cfRule type="cellIs" dxfId="6" priority="8" operator="equal">
      <formula>"À CORRIGER"</formula>
    </cfRule>
  </conditionalFormatting>
  <conditionalFormatting sqref="C67">
    <cfRule type="cellIs" dxfId="5" priority="9" operator="equal">
      <formula>"OK"</formula>
    </cfRule>
    <cfRule type="cellIs" dxfId="4" priority="10" operator="equal">
      <formula>"À CORRIGER"</formula>
    </cfRule>
  </conditionalFormatting>
  <conditionalFormatting sqref="C70">
    <cfRule type="cellIs" dxfId="3" priority="11" operator="equal">
      <formula>"OK"</formula>
    </cfRule>
    <cfRule type="cellIs" dxfId="2" priority="12" operator="equal">
      <formula>"À CORRIGER"</formula>
    </cfRule>
  </conditionalFormatting>
  <dataValidations count="1">
    <dataValidation type="decimal" operator="greaterThanOrEqual" allowBlank="1" showErrorMessage="1" errorTitle="Saisie" error="Valeur hors des bornes admises." sqref="C27:C28 C15:C18 C7:C11" xr:uid="{00000000-0002-0000-0100-000004000000}">
      <formula1>0</formula1>
    </dataValidation>
  </dataValidations>
  <pageMargins left="0.75" right="0.75" top="1" bottom="1" header="0.5" footer="0.5"/>
  <pageSetup orientation="landscape"/>
  <extLst>
    <ext xmlns:x14="http://schemas.microsoft.com/office/spreadsheetml/2009/9/main" uri="{CCE6A557-97BC-4b89-ADB6-D9C93CAAB3DF}">
      <x14:dataValidations xmlns:xm="http://schemas.microsoft.com/office/excel/2006/main" count="7">
        <x14:dataValidation type="list" allowBlank="1" showErrorMessage="1" errorTitle="Choisir dans la liste" error="Choisissez l'objet dans la liste (onglet Paramètres)." xr:uid="{00000000-0002-0000-0100-000000000000}">
          <x14:formula1>
            <xm:f>Paramètres!$C$52:$C$53</xm:f>
          </x14:formula1>
          <xm:sqref>C26</xm:sqref>
        </x14:dataValidation>
        <x14:dataValidation type="list" allowBlank="1" showErrorMessage="1" errorTitle="Choisir dans la liste" error="Choisissez Oui ou Non." xr:uid="{00000000-0002-0000-0100-000001000000}">
          <x14:formula1>
            <xm:f>Paramètres!$B$52:$B$53</xm:f>
          </x14:formula1>
          <xm:sqref>C32:C34</xm:sqref>
        </x14:dataValidation>
        <x14:dataValidation type="whole" allowBlank="1" showErrorMessage="1" errorTitle="Saisie" error="Nombre d'adultes entier, au moins 1, au plus la borne de Paramètres." xr:uid="{00000000-0002-0000-0100-00000F000000}">
          <x14:formula1>
            <xm:f>1</xm:f>
          </x14:formula1>
          <x14:formula2>
            <xm:f>Paramètres!$C$46</xm:f>
          </x14:formula2>
          <xm:sqref>C22</xm:sqref>
        </x14:dataValidation>
        <x14:dataValidation type="whole" allowBlank="1" showErrorMessage="1" errorTitle="Saisie" error="Nombre d'enfants entier, au plus la borne de Paramètres." xr:uid="{00000000-0002-0000-0100-000010000000}">
          <x14:formula1>
            <xm:f>0</xm:f>
          </x14:formula1>
          <x14:formula2>
            <xm:f>Paramètres!$C$47</xm:f>
          </x14:formula2>
          <xm:sqref>C23</xm:sqref>
        </x14:dataValidation>
        <x14:dataValidation type="decimal" allowBlank="1" showErrorMessage="1" errorTitle="Saisie" error="Taux du prêt entre 0 % et la borne de Paramètres. Tapez 3,3 pour 3,30 %." xr:uid="{00000000-0002-0000-0100-000011000000}">
          <x14:formula1>
            <xm:f>0</xm:f>
          </x14:formula1>
          <x14:formula2>
            <xm:f>Paramètres!$C$43</xm:f>
          </x14:formula2>
          <xm:sqref>C29</xm:sqref>
        </x14:dataValidation>
        <x14:dataValidation type="whole" allowBlank="1" showErrorMessage="1" errorTitle="Saisie" error="Durée en années entières, au plus la borne de Paramètres. Le HCSF limite à 25 ans (27 avec différé)." xr:uid="{00000000-0002-0000-0100-000012000000}">
          <x14:formula1>
            <xm:f>1</xm:f>
          </x14:formula1>
          <x14:formula2>
            <xm:f>Paramètres!$C$45</xm:f>
          </x14:formula2>
          <xm:sqref>C30</xm:sqref>
        </x14:dataValidation>
        <x14:dataValidation type="decimal" allowBlank="1" showErrorMessage="1" errorTitle="Saisie" error="Taux d'assurance entre 0 % et la borne de Paramètres. Tapez 0,3 pour 0,30 %." xr:uid="{00000000-0002-0000-0100-000013000000}">
          <x14:formula1>
            <xm:f>0</xm:f>
          </x14:formula1>
          <x14:formula2>
            <xm:f>Paramètres!$C$44</xm:f>
          </x14:formula2>
          <xm:sqref>C31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8578"/>
  </sheetPr>
  <dimension ref="B1:D58"/>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6" customWidth="1"/>
    <col min="3" max="3" width="15" customWidth="1"/>
    <col min="4" max="4" width="100" customWidth="1"/>
  </cols>
  <sheetData>
    <row r="1" spans="2:4" ht="20" customHeight="1" x14ac:dyDescent="0.35">
      <c r="B1" s="1" t="s">
        <v>0</v>
      </c>
      <c r="C1" s="1"/>
      <c r="D1" s="1"/>
    </row>
    <row r="2" spans="2:4" ht="26" customHeight="1" x14ac:dyDescent="0.35">
      <c r="B2" s="2" t="s">
        <v>30</v>
      </c>
    </row>
    <row r="3" spans="2:4" x14ac:dyDescent="0.35">
      <c r="B3" s="3" t="s">
        <v>314</v>
      </c>
    </row>
    <row r="5" spans="2:4" x14ac:dyDescent="0.35">
      <c r="B5" s="9" t="s">
        <v>215</v>
      </c>
    </row>
    <row r="6" spans="2:4" ht="18" customHeight="1" x14ac:dyDescent="0.35">
      <c r="B6" s="1" t="s">
        <v>315</v>
      </c>
      <c r="C6" s="1"/>
      <c r="D6" s="1"/>
    </row>
    <row r="7" spans="2:4" x14ac:dyDescent="0.35">
      <c r="B7" s="10" t="s">
        <v>245</v>
      </c>
      <c r="C7" s="11">
        <v>0</v>
      </c>
      <c r="D7" s="9" t="s">
        <v>316</v>
      </c>
    </row>
    <row r="8" spans="2:4" x14ac:dyDescent="0.35">
      <c r="B8" s="10" t="s">
        <v>317</v>
      </c>
      <c r="C8" s="11">
        <v>140000</v>
      </c>
      <c r="D8" s="9" t="s">
        <v>318</v>
      </c>
    </row>
    <row r="9" spans="2:4" x14ac:dyDescent="0.35">
      <c r="B9" s="10" t="s">
        <v>319</v>
      </c>
      <c r="C9" s="11">
        <v>0</v>
      </c>
      <c r="D9" s="9" t="s">
        <v>320</v>
      </c>
    </row>
    <row r="10" spans="2:4" x14ac:dyDescent="0.35">
      <c r="B10" s="18" t="s">
        <v>321</v>
      </c>
      <c r="C10" s="19">
        <f>SUM($C$7:$C$9)</f>
        <v>140000</v>
      </c>
      <c r="D10" s="9" t="s">
        <v>322</v>
      </c>
    </row>
    <row r="12" spans="2:4" ht="18" customHeight="1" x14ac:dyDescent="0.35">
      <c r="B12" s="1" t="s">
        <v>323</v>
      </c>
      <c r="C12" s="1"/>
      <c r="D12" s="1"/>
    </row>
    <row r="13" spans="2:4" x14ac:dyDescent="0.35">
      <c r="B13" s="10" t="s">
        <v>324</v>
      </c>
      <c r="C13" s="11">
        <v>18000</v>
      </c>
      <c r="D13" s="9" t="s">
        <v>325</v>
      </c>
    </row>
    <row r="14" spans="2:4" x14ac:dyDescent="0.35">
      <c r="B14" s="10" t="s">
        <v>326</v>
      </c>
      <c r="C14" s="11">
        <v>25000</v>
      </c>
      <c r="D14" s="9" t="s">
        <v>327</v>
      </c>
    </row>
    <row r="15" spans="2:4" x14ac:dyDescent="0.35">
      <c r="B15" s="10" t="s">
        <v>328</v>
      </c>
      <c r="C15" s="11">
        <v>12000</v>
      </c>
      <c r="D15" s="9" t="s">
        <v>329</v>
      </c>
    </row>
    <row r="16" spans="2:4" x14ac:dyDescent="0.35">
      <c r="B16" s="10" t="s">
        <v>330</v>
      </c>
      <c r="C16" s="11">
        <v>8000</v>
      </c>
      <c r="D16" s="9" t="s">
        <v>331</v>
      </c>
    </row>
    <row r="17" spans="2:4" x14ac:dyDescent="0.35">
      <c r="B17" s="10" t="s">
        <v>332</v>
      </c>
      <c r="C17" s="11">
        <v>0</v>
      </c>
      <c r="D17" s="9" t="s">
        <v>333</v>
      </c>
    </row>
    <row r="18" spans="2:4" x14ac:dyDescent="0.35">
      <c r="B18" s="10" t="s">
        <v>334</v>
      </c>
      <c r="C18" s="11">
        <v>0</v>
      </c>
      <c r="D18" s="9" t="s">
        <v>335</v>
      </c>
    </row>
    <row r="19" spans="2:4" x14ac:dyDescent="0.35">
      <c r="B19" s="18" t="s">
        <v>336</v>
      </c>
      <c r="C19" s="19">
        <f>SUM($C$13:$C$18)</f>
        <v>63000</v>
      </c>
      <c r="D19" s="9" t="s">
        <v>337</v>
      </c>
    </row>
    <row r="20" spans="2:4" x14ac:dyDescent="0.35">
      <c r="B20" s="10" t="s">
        <v>338</v>
      </c>
      <c r="C20" s="12">
        <f>SUM($C$13:$C$15)</f>
        <v>55000</v>
      </c>
      <c r="D20" s="9" t="s">
        <v>339</v>
      </c>
    </row>
    <row r="22" spans="2:4" ht="18" customHeight="1" x14ac:dyDescent="0.35">
      <c r="B22" s="1" t="s">
        <v>340</v>
      </c>
      <c r="C22" s="1"/>
      <c r="D22" s="1"/>
    </row>
    <row r="23" spans="2:4" x14ac:dyDescent="0.35">
      <c r="B23" s="10" t="s">
        <v>341</v>
      </c>
      <c r="C23" s="11">
        <v>0</v>
      </c>
      <c r="D23" s="9" t="s">
        <v>342</v>
      </c>
    </row>
    <row r="24" spans="2:4" x14ac:dyDescent="0.35">
      <c r="B24" s="10" t="s">
        <v>343</v>
      </c>
      <c r="C24" s="11">
        <v>60000</v>
      </c>
      <c r="D24" s="9" t="s">
        <v>344</v>
      </c>
    </row>
    <row r="25" spans="2:4" x14ac:dyDescent="0.35">
      <c r="B25" s="10" t="s">
        <v>345</v>
      </c>
      <c r="C25" s="11">
        <v>6500</v>
      </c>
      <c r="D25" s="9" t="s">
        <v>346</v>
      </c>
    </row>
    <row r="26" spans="2:4" x14ac:dyDescent="0.35">
      <c r="B26" s="10" t="s">
        <v>347</v>
      </c>
      <c r="C26" s="11">
        <v>0</v>
      </c>
      <c r="D26" s="9" t="s">
        <v>348</v>
      </c>
    </row>
    <row r="27" spans="2:4" x14ac:dyDescent="0.35">
      <c r="B27" s="10" t="s">
        <v>349</v>
      </c>
      <c r="C27" s="11">
        <v>0</v>
      </c>
      <c r="D27" s="9" t="s">
        <v>350</v>
      </c>
    </row>
    <row r="28" spans="2:4" x14ac:dyDescent="0.35">
      <c r="B28" s="10" t="s">
        <v>351</v>
      </c>
      <c r="C28" s="11">
        <v>0</v>
      </c>
      <c r="D28" s="9" t="s">
        <v>352</v>
      </c>
    </row>
    <row r="29" spans="2:4" x14ac:dyDescent="0.35">
      <c r="B29" s="10" t="s">
        <v>353</v>
      </c>
      <c r="C29" s="12">
        <f>SUM($C$23:$C$24)</f>
        <v>60000</v>
      </c>
      <c r="D29" s="9" t="s">
        <v>354</v>
      </c>
    </row>
    <row r="30" spans="2:4" x14ac:dyDescent="0.35">
      <c r="B30" s="18" t="s">
        <v>355</v>
      </c>
      <c r="C30" s="19">
        <f>SUM($C$23:$C$28)</f>
        <v>66500</v>
      </c>
      <c r="D30" s="9" t="s">
        <v>356</v>
      </c>
    </row>
    <row r="32" spans="2:4" ht="18" customHeight="1" x14ac:dyDescent="0.35">
      <c r="B32" s="1" t="s">
        <v>357</v>
      </c>
      <c r="C32" s="1"/>
      <c r="D32" s="1"/>
    </row>
    <row r="33" spans="2:4" x14ac:dyDescent="0.35">
      <c r="B33" s="18" t="s">
        <v>358</v>
      </c>
      <c r="C33" s="19">
        <f>$C$10+$C$19</f>
        <v>203000</v>
      </c>
      <c r="D33" s="9" t="s">
        <v>359</v>
      </c>
    </row>
    <row r="34" spans="2:4" ht="21" customHeight="1" x14ac:dyDescent="0.35">
      <c r="B34" s="18" t="s">
        <v>360</v>
      </c>
      <c r="C34" s="25">
        <f>$C$33-$C$30</f>
        <v>136500</v>
      </c>
      <c r="D34" s="9" t="s">
        <v>361</v>
      </c>
    </row>
    <row r="35" spans="2:4" x14ac:dyDescent="0.35">
      <c r="B35" s="10" t="s">
        <v>362</v>
      </c>
      <c r="C35" s="12">
        <f>$C$10-$C$29</f>
        <v>80000</v>
      </c>
      <c r="D35" s="9" t="s">
        <v>363</v>
      </c>
    </row>
    <row r="36" spans="2:4" x14ac:dyDescent="0.35">
      <c r="B36" s="10" t="s">
        <v>364</v>
      </c>
      <c r="C36" s="23">
        <f>IF($C$10&gt;0,$C$29/$C$10,"")</f>
        <v>0.42857142857142855</v>
      </c>
      <c r="D36" s="9" t="s">
        <v>365</v>
      </c>
    </row>
    <row r="37" spans="2:4" x14ac:dyDescent="0.35">
      <c r="B37" s="10" t="s">
        <v>366</v>
      </c>
      <c r="C37" s="23">
        <f>IF($C$33&gt;0,$C$30/$C$33,"")</f>
        <v>0.32758620689655171</v>
      </c>
      <c r="D37" s="9" t="s">
        <v>367</v>
      </c>
    </row>
    <row r="38" spans="2:4" x14ac:dyDescent="0.35">
      <c r="B38" s="10" t="s">
        <v>368</v>
      </c>
      <c r="C38" s="26">
        <f>IF('Capacité d''emprunt'!$C$39&gt;0,$C$30/('Capacité d''emprunt'!$C$39*12),"")</f>
        <v>1.0677585099550417</v>
      </c>
      <c r="D38" s="9" t="s">
        <v>369</v>
      </c>
    </row>
    <row r="40" spans="2:4" ht="18" customHeight="1" x14ac:dyDescent="0.35">
      <c r="B40" s="1" t="s">
        <v>370</v>
      </c>
      <c r="C40" s="1"/>
      <c r="D40" s="1"/>
    </row>
    <row r="41" spans="2:4" x14ac:dyDescent="0.35">
      <c r="B41" s="10" t="s">
        <v>371</v>
      </c>
      <c r="C41" s="12">
        <f>N('Capacité d''emprunt'!$C$28)</f>
        <v>30000</v>
      </c>
      <c r="D41" s="9" t="s">
        <v>372</v>
      </c>
    </row>
    <row r="42" spans="2:4" x14ac:dyDescent="0.35">
      <c r="B42" s="10" t="s">
        <v>373</v>
      </c>
      <c r="C42" s="12">
        <f>$C$20-$C$41</f>
        <v>25000</v>
      </c>
      <c r="D42" s="9" t="s">
        <v>374</v>
      </c>
    </row>
    <row r="43" spans="2:4" x14ac:dyDescent="0.35">
      <c r="B43" s="10" t="s">
        <v>375</v>
      </c>
      <c r="C43" s="27">
        <f>IF('Capacité d''emprunt'!$C$45&gt;0,$C$42/'Capacité d''emprunt'!$C$45,"")</f>
        <v>23.009664058904743</v>
      </c>
      <c r="D43" s="9" t="s">
        <v>376</v>
      </c>
    </row>
    <row r="44" spans="2:4" x14ac:dyDescent="0.35">
      <c r="B44" s="10" t="s">
        <v>377</v>
      </c>
      <c r="C44" s="17" t="str">
        <f>IF($C$41&lt;=$C$20,"OK","À CORRIGER")</f>
        <v>OK</v>
      </c>
      <c r="D44" s="9" t="s">
        <v>378</v>
      </c>
    </row>
    <row r="45" spans="2:4" x14ac:dyDescent="0.35">
      <c r="B45" s="10" t="s">
        <v>379</v>
      </c>
      <c r="C45" s="17" t="str">
        <f>IF(AND(COUNT($C$7:$C$9)=3,COUNT($C$13:$C$18)=6,COUNT($C$23:$C$28)=6,MIN($C$7:$C$9)&gt;=0,MIN($C$13:$C$18)&gt;=0,MIN($C$23:$C$28)&gt;=0),"OK","À CORRIGER")</f>
        <v>OK</v>
      </c>
      <c r="D45" s="9" t="s">
        <v>380</v>
      </c>
    </row>
    <row r="47" spans="2:4" ht="18" customHeight="1" x14ac:dyDescent="0.35">
      <c r="B47" s="1" t="s">
        <v>381</v>
      </c>
      <c r="C47" s="1"/>
      <c r="D47" s="1"/>
    </row>
    <row r="48" spans="2:4" x14ac:dyDescent="0.35">
      <c r="B48" s="10" t="s">
        <v>382</v>
      </c>
      <c r="C48" s="12">
        <f>IF('Capacité d''emprunt'!$C$53="","",'Capacité d''emprunt'!$C$63)</f>
        <v>219875.28620327191</v>
      </c>
      <c r="D48" s="9" t="s">
        <v>383</v>
      </c>
    </row>
    <row r="49" spans="2:4" x14ac:dyDescent="0.35">
      <c r="B49" s="10" t="s">
        <v>384</v>
      </c>
      <c r="C49" s="12">
        <f>IF('Capacité d''emprunt'!$C$53="","",'Capacité d''emprunt'!$C$66)</f>
        <v>21111.333090252636</v>
      </c>
      <c r="D49" s="9" t="s">
        <v>385</v>
      </c>
    </row>
    <row r="50" spans="2:4" x14ac:dyDescent="0.35">
      <c r="B50" s="10" t="s">
        <v>386</v>
      </c>
      <c r="C50" s="12">
        <f>IF('Capacité d''emprunt'!$C$53="","",'Capacité d''emprunt'!$C$53)</f>
        <v>210986.61929352459</v>
      </c>
      <c r="D50" s="9" t="s">
        <v>387</v>
      </c>
    </row>
    <row r="51" spans="2:4" x14ac:dyDescent="0.35">
      <c r="B51" s="10" t="s">
        <v>388</v>
      </c>
      <c r="C51" s="12">
        <f>IF('Capacité d''emprunt'!$C$53="","",$C$33-$C$41+$C$48)</f>
        <v>392875.28620327194</v>
      </c>
      <c r="D51" s="9" t="s">
        <v>389</v>
      </c>
    </row>
    <row r="52" spans="2:4" x14ac:dyDescent="0.35">
      <c r="B52" s="10" t="s">
        <v>390</v>
      </c>
      <c r="C52" s="12">
        <f>IF('Capacité d''emprunt'!$C$53="","",$C$30+$C$50)</f>
        <v>277486.61929352459</v>
      </c>
      <c r="D52" s="9" t="s">
        <v>391</v>
      </c>
    </row>
    <row r="53" spans="2:4" ht="21" customHeight="1" x14ac:dyDescent="0.35">
      <c r="B53" s="18" t="s">
        <v>392</v>
      </c>
      <c r="C53" s="25">
        <f>IF('Capacité d''emprunt'!$C$53="","",$C$51-$C$52)</f>
        <v>115388.66690974735</v>
      </c>
      <c r="D53" s="9" t="s">
        <v>393</v>
      </c>
    </row>
    <row r="54" spans="2:4" x14ac:dyDescent="0.35">
      <c r="B54" s="10" t="s">
        <v>394</v>
      </c>
      <c r="C54" s="12">
        <f>IF('Capacité d''emprunt'!$C$53="","",$C$53-$C$34)</f>
        <v>-21111.33309025265</v>
      </c>
      <c r="D54" s="9" t="s">
        <v>395</v>
      </c>
    </row>
    <row r="55" spans="2:4" x14ac:dyDescent="0.35">
      <c r="B55" s="10" t="s">
        <v>396</v>
      </c>
      <c r="C55" s="23">
        <f>IF('Capacité d''emprunt'!$C$53="","",IF($C$10+$C$48&gt;0,($C$29+$C$50)/($C$10+$C$48),""))</f>
        <v>0.75300146934919154</v>
      </c>
      <c r="D55" s="9" t="s">
        <v>397</v>
      </c>
    </row>
    <row r="56" spans="2:4" x14ac:dyDescent="0.35">
      <c r="B56" s="10" t="s">
        <v>398</v>
      </c>
      <c r="C56" s="23">
        <f>IF('Capacité d''emprunt'!$C$53="","",IF($C$51&gt;0,$C$52/$C$51,""))</f>
        <v>0.7062969574267246</v>
      </c>
      <c r="D56" s="9" t="s">
        <v>399</v>
      </c>
    </row>
    <row r="58" spans="2:4" ht="36" customHeight="1" x14ac:dyDescent="0.35">
      <c r="B58" s="33" t="s">
        <v>213</v>
      </c>
      <c r="C58" s="34"/>
      <c r="D58" s="34"/>
    </row>
  </sheetData>
  <sheetProtection sheet="1" formatColumns="0" formatRows="0"/>
  <mergeCells count="1">
    <mergeCell ref="B58:D58"/>
  </mergeCells>
  <conditionalFormatting sqref="C44:C45">
    <cfRule type="cellIs" dxfId="1" priority="1" operator="equal">
      <formula>"OK"</formula>
    </cfRule>
    <cfRule type="cellIs" dxfId="0" priority="2" operator="equal">
      <formula>"À CORRIGER"</formula>
    </cfRule>
  </conditionalFormatting>
  <dataValidations count="1">
    <dataValidation type="decimal" operator="greaterThanOrEqual" allowBlank="1" showErrorMessage="1" errorTitle="Saisie" error="Valeur hors des bornes admises." sqref="C23:C28 C13:C18 C7:C9" xr:uid="{00000000-0002-0000-0200-000000000000}">
      <formula1>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08C4E"/>
  </sheetPr>
  <dimension ref="B1:F61"/>
  <sheetViews>
    <sheetView showGridLines="0" workbookViewId="0">
      <selection activeCell="B1" sqref="B1"/>
    </sheetView>
  </sheetViews>
  <sheetFormatPr baseColWidth="10" defaultColWidth="8.7265625" defaultRowHeight="14.5" x14ac:dyDescent="0.35"/>
  <cols>
    <col min="1" max="1" width="2" customWidth="1"/>
    <col min="2" max="2" width="58" customWidth="1"/>
    <col min="3" max="3" width="13" customWidth="1"/>
    <col min="4" max="4" width="64" customWidth="1"/>
    <col min="5" max="5" width="24" customWidth="1"/>
    <col min="6" max="6" width="60" customWidth="1"/>
  </cols>
  <sheetData>
    <row r="1" spans="2:6" ht="20" customHeight="1" x14ac:dyDescent="0.35">
      <c r="B1" s="1" t="s">
        <v>0</v>
      </c>
      <c r="C1" s="1"/>
      <c r="D1" s="1"/>
      <c r="E1" s="1"/>
      <c r="F1" s="1"/>
    </row>
    <row r="2" spans="2:6" ht="26" customHeight="1" x14ac:dyDescent="0.35">
      <c r="B2" s="2" t="s">
        <v>33</v>
      </c>
    </row>
    <row r="3" spans="2:6" x14ac:dyDescent="0.35">
      <c r="B3" s="3" t="s">
        <v>400</v>
      </c>
    </row>
    <row r="5" spans="2:6" x14ac:dyDescent="0.35">
      <c r="B5" s="9" t="s">
        <v>215</v>
      </c>
    </row>
    <row r="6" spans="2:6" ht="18" customHeight="1" x14ac:dyDescent="0.35">
      <c r="B6" s="1" t="s">
        <v>401</v>
      </c>
      <c r="C6" s="1"/>
      <c r="D6" s="1"/>
      <c r="E6" s="1"/>
      <c r="F6" s="1"/>
    </row>
    <row r="7" spans="2:6" ht="30" customHeight="1" x14ac:dyDescent="0.35">
      <c r="B7" s="28" t="s">
        <v>137</v>
      </c>
      <c r="C7" s="28" t="s">
        <v>402</v>
      </c>
      <c r="D7" s="28" t="s">
        <v>403</v>
      </c>
      <c r="E7" s="28" t="s">
        <v>404</v>
      </c>
      <c r="F7" s="28" t="s">
        <v>405</v>
      </c>
    </row>
    <row r="8" spans="2:6" ht="43.5" customHeight="1" x14ac:dyDescent="0.35">
      <c r="B8" s="29" t="s">
        <v>406</v>
      </c>
      <c r="C8" s="15">
        <v>0.35</v>
      </c>
      <c r="D8" s="30" t="str">
        <f>"HCSF, décision D-HCSF-2021-7 du 29/09/2021, confirmée par la décision D-HCSF-2023-2 du 29/06/2023. economie.gouv.fr/hcsf, vérifié le "&amp;TEXT(DAY(Paramètres!$C$55),"00")&amp;"/"&amp;TEXT(MONTH(Paramètres!$C$55),"00")&amp;"/"&amp;YEAR(Paramètres!$C$55)&amp;"."</f>
        <v>HCSF, décision D-HCSF-2021-7 du 29/09/2021, confirmée par la décision D-HCSF-2023-2 du 29/06/2023. economie.gouv.fr/hcsf, vérifié le 05/09/2026.</v>
      </c>
      <c r="E8" s="30" t="s">
        <v>407</v>
      </c>
      <c r="F8" s="30" t="s">
        <v>408</v>
      </c>
    </row>
    <row r="9" spans="2:6" ht="16.5" customHeight="1" x14ac:dyDescent="0.35">
      <c r="B9" s="29" t="s">
        <v>409</v>
      </c>
      <c r="C9" s="16">
        <v>25</v>
      </c>
      <c r="D9" s="30" t="str">
        <f>"HCSF, décision D-HCSF-2021-7 du 29/09/2021. Vérifié le "&amp;TEXT(DAY(Paramètres!$C$55),"00")&amp;"/"&amp;TEXT(MONTH(Paramètres!$C$55),"00")&amp;"/"&amp;YEAR(Paramètres!$C$55)&amp;"."</f>
        <v>HCSF, décision D-HCSF-2021-7 du 29/09/2021. Vérifié le 05/09/2026.</v>
      </c>
      <c r="E9" s="30" t="s">
        <v>410</v>
      </c>
      <c r="F9" s="30" t="s">
        <v>411</v>
      </c>
    </row>
    <row r="10" spans="2:6" ht="43.5" customHeight="1" x14ac:dyDescent="0.35">
      <c r="B10" s="29" t="s">
        <v>412</v>
      </c>
      <c r="C10" s="16">
        <v>27</v>
      </c>
      <c r="D10" s="30" t="str">
        <f>"HCSF, décisions du 29/09/2021 (différé de 2 ans au plus) et du 29/06/2023 (seuil de travaux abaissé de 25 % à 10 % du coût total). Vérifié le "&amp;TEXT(DAY(Paramètres!$C$55),"00")&amp;"/"&amp;TEXT(MONTH(Paramètres!$C$55),"00")&amp;"/"&amp;YEAR(Paramètres!$C$55)&amp;"."</f>
        <v>HCSF, décisions du 29/09/2021 (différé de 2 ans au plus) et du 29/06/2023 (seuil de travaux abaissé de 25 % à 10 % du coût total). Vérifié le 05/09/2026.</v>
      </c>
      <c r="E10" s="30" t="s">
        <v>410</v>
      </c>
      <c r="F10" s="30" t="s">
        <v>413</v>
      </c>
    </row>
    <row r="11" spans="2:6" ht="30" customHeight="1" x14ac:dyDescent="0.35">
      <c r="B11" s="29" t="s">
        <v>414</v>
      </c>
      <c r="C11" s="15">
        <v>0.1</v>
      </c>
      <c r="D11" s="30" t="str">
        <f>"HCSF, décision D-HCSF-2023-2 du 29/06/2023 (auparavant 25 %). Vérifié le "&amp;TEXT(DAY(Paramètres!$C$55),"00")&amp;"/"&amp;TEXT(MONTH(Paramètres!$C$55),"00")&amp;"/"&amp;YEAR(Paramètres!$C$55)&amp;"."</f>
        <v>HCSF, décision D-HCSF-2023-2 du 29/06/2023 (auparavant 25 %). Vérifié le 05/09/2026.</v>
      </c>
      <c r="E11" s="30" t="s">
        <v>410</v>
      </c>
      <c r="F11" s="30" t="s">
        <v>415</v>
      </c>
    </row>
    <row r="12" spans="2:6" ht="57" customHeight="1" x14ac:dyDescent="0.35">
      <c r="B12" s="29" t="s">
        <v>416</v>
      </c>
      <c r="C12" s="15">
        <v>0.2</v>
      </c>
      <c r="D12" s="30" t="str">
        <f>"HCSF, décision D-HCSF-2023-2 du 29/06/2023 : 20 % de la production, dont au moins 70 % pour la résidence principale et au moins 30 % pour les primo-accédants. Utilisée à 17,5 % au 1er trimestre 2026 (Meilleurtaux, 11/06/2026). Vérifié le "&amp;TEXT(DAY(Paramètres!$C$55),"00")&amp;"/"&amp;TEXT(MONTH(Paramètres!$C$55),"00")&amp;"/"&amp;YEAR(Paramètres!$C$55)&amp;"."</f>
        <v>HCSF, décision D-HCSF-2023-2 du 29/06/2023 : 20 % de la production, dont au moins 70 % pour la résidence principale et au moins 30 % pour les primo-accédants. Utilisée à 17,5 % au 1er trimestre 2026 (Meilleurtaux, 11/06/2026). Vérifié le 05/09/2026.</v>
      </c>
      <c r="E12" s="30" t="s">
        <v>410</v>
      </c>
      <c r="F12" s="30" t="s">
        <v>417</v>
      </c>
    </row>
    <row r="13" spans="2:6" ht="57" customHeight="1" x14ac:dyDescent="0.35">
      <c r="B13" s="29" t="s">
        <v>418</v>
      </c>
      <c r="C13" s="15">
        <v>6.3200000000000006E-2</v>
      </c>
      <c r="D13" s="30" t="str">
        <f>"LF 2025 (loi n° 2025-127 du 14/02/2025) art. 116 : droit départemental porté de 4,50 % à 5 % (CGI art. 1594 D) du 01/04/2025 au 31/03/2028 ; taxe communale 1,20 % (art. 1584) ; frais d'assiette 2,37 % du droit départemental (art. 1647 V). taximmo.fr,"&amp;" vérifié le "&amp;TEXT(DAY(Paramètres!$C$55),"00")&amp;"/"&amp;TEXT(MONTH(Paramètres!$C$55),"00")&amp;"/"&amp;YEAR(Paramètres!$C$55)&amp;"."</f>
        <v>LF 2025 (loi n° 2025-127 du 14/02/2025) art. 116 : droit départemental porté de 4,50 % à 5 % (CGI art. 1594 D) du 01/04/2025 au 31/03/2028 ; taxe communale 1,20 % (art. 1584) ; frais d'assiette 2,37 % du droit départemental (art. 1647 V). taximmo.fr, vérifié le 05/09/2026.</v>
      </c>
      <c r="E13" s="30" t="s">
        <v>419</v>
      </c>
      <c r="F13" s="30" t="s">
        <v>420</v>
      </c>
    </row>
    <row r="14" spans="2:6" ht="57" customHeight="1" x14ac:dyDescent="0.35">
      <c r="B14" s="29" t="s">
        <v>421</v>
      </c>
      <c r="C14" s="15">
        <v>5.8099999999999999E-2</v>
      </c>
      <c r="D14" s="30" t="str">
        <f>"CGI art. 1594 D (4,50 %), 1584 (1,20 %), 1647 V (2,37 %). Maintenu dans les départements qui n'ont pas voté la hausse et pour les primo-accédants achetant leur résidence principale (LF 2025 art. 116, II). taximmo.fr, vérifié le "&amp;TEXT(DAY(Paramètres!$C$55),"00")&amp;"/"&amp;TEXT(MONTH(Paramètres!$C$55),"00")&amp;"/"&amp;YEAR(Paramètres!$C$55)&amp;"."</f>
        <v>CGI art. 1594 D (4,50 %), 1584 (1,20 %), 1647 V (2,37 %). Maintenu dans les départements qui n'ont pas voté la hausse et pour les primo-accédants achetant leur résidence principale (LF 2025 art. 116, II). taximmo.fr, vérifié le 05/09/2026.</v>
      </c>
      <c r="E14" s="30" t="s">
        <v>422</v>
      </c>
      <c r="F14" s="30" t="s">
        <v>423</v>
      </c>
    </row>
    <row r="15" spans="2:6" ht="30" customHeight="1" x14ac:dyDescent="0.35">
      <c r="B15" s="29" t="s">
        <v>424</v>
      </c>
      <c r="C15" s="15">
        <v>7.1500000000000001E-3</v>
      </c>
      <c r="D15" s="30" t="str">
        <f>"CGI art. 1594 F quinquies A (taux réduit 0,70 %) et 1647 V (frais d'assiette 2,14 %). Vérifié le "&amp;TEXT(DAY(Paramètres!$C$55),"00")&amp;"/"&amp;TEXT(MONTH(Paramètres!$C$55),"00")&amp;"/"&amp;YEAR(Paramètres!$C$55)&amp;"."</f>
        <v>CGI art. 1594 F quinquies A (taux réduit 0,70 %) et 1647 V (frais d'assiette 2,14 %). Vérifié le 05/09/2026.</v>
      </c>
      <c r="E15" s="30" t="s">
        <v>422</v>
      </c>
      <c r="F15" s="30" t="s">
        <v>425</v>
      </c>
    </row>
    <row r="16" spans="2:6" ht="16.5" customHeight="1" x14ac:dyDescent="0.35">
      <c r="B16" s="29" t="s">
        <v>426</v>
      </c>
      <c r="C16" s="15">
        <v>1E-3</v>
      </c>
      <c r="D16" s="30" t="str">
        <f>"CGI art. 879 : 0,10 % du prix, ancien comme neuf. Vérifié le "&amp;TEXT(DAY(Paramètres!$C$55),"00")&amp;"/"&amp;TEXT(MONTH(Paramètres!$C$55),"00")&amp;"/"&amp;YEAR(Paramètres!$C$55)&amp;"."</f>
        <v>CGI art. 879 : 0,10 % du prix, ancien comme neuf. Vérifié le 05/09/2026.</v>
      </c>
      <c r="E16" s="30" t="s">
        <v>422</v>
      </c>
      <c r="F16" s="30" t="s">
        <v>427</v>
      </c>
    </row>
    <row r="17" spans="2:6" ht="57" customHeight="1" x14ac:dyDescent="0.35">
      <c r="B17" s="29" t="s">
        <v>428</v>
      </c>
      <c r="C17" s="15">
        <v>7.9900000000000006E-3</v>
      </c>
      <c r="D17" s="30" t="str">
        <f>"Code de commerce art. A444-91, arrêté du 25/02/2026 (en vigueur du 01/03/2026 au 29/02/2028) : 3,870 % jusqu'à 6 500 €, 1,596 % de 6 500 à 17 000 €, 1,064 % de 17 000 à 60 000 €, 0,799 % au-delà. pretto.fr, vérifié le "&amp;TEXT(DAY(Paramètres!$C$55),"00")&amp;"/"&amp;TEXT(MONTH(Paramètres!$C$55),"00")&amp;"/"&amp;YEAR(Paramètres!$C$55)&amp;"."</f>
        <v>Code de commerce art. A444-91, arrêté du 25/02/2026 (en vigueur du 01/03/2026 au 29/02/2028) : 3,870 % jusqu'à 6 500 €, 1,596 % de 6 500 à 17 000 €, 1,064 % de 17 000 à 60 000 €, 0,799 % au-delà. pretto.fr, vérifié le 05/09/2026.</v>
      </c>
      <c r="E17" s="30" t="s">
        <v>429</v>
      </c>
      <c r="F17" s="30" t="s">
        <v>430</v>
      </c>
    </row>
    <row r="18" spans="2:6" ht="30" customHeight="1" x14ac:dyDescent="0.35">
      <c r="B18" s="29" t="s">
        <v>431</v>
      </c>
      <c r="C18" s="31">
        <v>397.25</v>
      </c>
      <c r="D18" s="30" t="s">
        <v>432</v>
      </c>
      <c r="E18" s="30" t="s">
        <v>433</v>
      </c>
      <c r="F18" s="30" t="s">
        <v>434</v>
      </c>
    </row>
    <row r="19" spans="2:6" ht="30" customHeight="1" x14ac:dyDescent="0.35">
      <c r="B19" s="29" t="s">
        <v>435</v>
      </c>
      <c r="C19" s="15">
        <v>0.2</v>
      </c>
      <c r="D19" s="30" t="str">
        <f>"CGI art. 278 : taux normal 20 %. Vérifié le "&amp;TEXT(DAY(Paramètres!$C$55),"00")&amp;"/"&amp;TEXT(MONTH(Paramètres!$C$55),"00")&amp;"/"&amp;YEAR(Paramètres!$C$55)&amp;"."</f>
        <v>CGI art. 278 : taux normal 20 %. Vérifié le 05/09/2026.</v>
      </c>
      <c r="E19" s="30" t="s">
        <v>422</v>
      </c>
      <c r="F19" s="30" t="s">
        <v>436</v>
      </c>
    </row>
    <row r="20" spans="2:6" ht="43.5" customHeight="1" x14ac:dyDescent="0.35">
      <c r="B20" s="29" t="s">
        <v>437</v>
      </c>
      <c r="C20" s="15">
        <v>4.07E-2</v>
      </c>
      <c r="D20"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0" s="30" t="s">
        <v>438</v>
      </c>
      <c r="F20" s="30" t="s">
        <v>439</v>
      </c>
    </row>
    <row r="21" spans="2:6" ht="43.5" customHeight="1" x14ac:dyDescent="0.35">
      <c r="B21" s="29" t="s">
        <v>440</v>
      </c>
      <c r="C21" s="15">
        <v>4.5699999999999998E-2</v>
      </c>
      <c r="D21"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1" s="30" t="s">
        <v>441</v>
      </c>
      <c r="F21" s="30"/>
    </row>
    <row r="22" spans="2:6" ht="43.5" customHeight="1" x14ac:dyDescent="0.35">
      <c r="B22" s="29" t="s">
        <v>442</v>
      </c>
      <c r="C22" s="15">
        <v>5.2900000000000003E-2</v>
      </c>
      <c r="D22"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2" s="30" t="s">
        <v>441</v>
      </c>
      <c r="F22" s="30" t="s">
        <v>443</v>
      </c>
    </row>
    <row r="23" spans="2:6" ht="43.5" customHeight="1" x14ac:dyDescent="0.35">
      <c r="B23" s="29" t="s">
        <v>444</v>
      </c>
      <c r="C23" s="16">
        <v>10</v>
      </c>
      <c r="D23"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3" s="30" t="s">
        <v>445</v>
      </c>
      <c r="F23" s="30" t="s">
        <v>446</v>
      </c>
    </row>
    <row r="24" spans="2:6" ht="43.5" customHeight="1" x14ac:dyDescent="0.35">
      <c r="B24" s="29" t="s">
        <v>447</v>
      </c>
      <c r="C24" s="16">
        <v>20</v>
      </c>
      <c r="D24"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c r="E24" s="30" t="s">
        <v>445</v>
      </c>
      <c r="F24" s="30" t="s">
        <v>448</v>
      </c>
    </row>
    <row r="26" spans="2:6" ht="18" customHeight="1" x14ac:dyDescent="0.35">
      <c r="B26" s="1" t="s">
        <v>449</v>
      </c>
      <c r="C26" s="1"/>
      <c r="D26" s="1"/>
      <c r="E26" s="1"/>
      <c r="F26" s="1"/>
    </row>
    <row r="27" spans="2:6" ht="30" customHeight="1" x14ac:dyDescent="0.35">
      <c r="B27" s="28" t="s">
        <v>137</v>
      </c>
      <c r="C27" s="28" t="s">
        <v>402</v>
      </c>
      <c r="D27" s="28" t="s">
        <v>403</v>
      </c>
      <c r="E27" s="28" t="s">
        <v>404</v>
      </c>
      <c r="F27" s="28" t="s">
        <v>405</v>
      </c>
    </row>
    <row r="28" spans="2:6" ht="43.5" customHeight="1" x14ac:dyDescent="0.35">
      <c r="B28" s="29" t="s">
        <v>450</v>
      </c>
      <c r="C28" s="15">
        <v>0.7</v>
      </c>
      <c r="D28" s="30" t="str">
        <f>"Usage bancaire : 70 % chez la plupart des banques, 80 à 90 % chez quelques-unes sur dossiers de qualité. empruntis.com, quelcredit.com, vérifié le "&amp;TEXT(DAY(Paramètres!$C$55),"00")&amp;"/"&amp;TEXT(MONTH(Paramètres!$C$55),"00")&amp;"/"&amp;YEAR(Paramètres!$C$55)&amp;"."</f>
        <v>Usage bancaire : 70 % chez la plupart des banques, 80 à 90 % chez quelques-unes sur dossiers de qualité. empruntis.com, quelcredit.com, vérifié le 05/09/2026.</v>
      </c>
      <c r="E28" s="30" t="s">
        <v>451</v>
      </c>
      <c r="F28" s="30" t="s">
        <v>452</v>
      </c>
    </row>
    <row r="29" spans="2:6" ht="30" customHeight="1" x14ac:dyDescent="0.35">
      <c r="B29" s="29" t="s">
        <v>453</v>
      </c>
      <c r="C29" s="15">
        <v>1</v>
      </c>
      <c r="D29" s="30" t="str">
        <f>"Usage bancaire : 100 % si récurrentes sur 2 à 3 ans, 75 % dans certains établissements. prettymo.fr, vérifié le "&amp;TEXT(DAY(Paramètres!$C$55),"00")&amp;"/"&amp;TEXT(MONTH(Paramètres!$C$55),"00")&amp;"/"&amp;YEAR(Paramètres!$C$55)&amp;"."</f>
        <v>Usage bancaire : 100 % si récurrentes sur 2 à 3 ans, 75 % dans certains établissements. prettymo.fr, vérifié le 05/09/2026.</v>
      </c>
      <c r="E29" s="30" t="s">
        <v>451</v>
      </c>
      <c r="F29" s="30" t="s">
        <v>454</v>
      </c>
    </row>
    <row r="30" spans="2:6" ht="43.5" customHeight="1" x14ac:dyDescent="0.35">
      <c r="B30" s="29" t="s">
        <v>455</v>
      </c>
      <c r="C30" s="11">
        <v>800</v>
      </c>
      <c r="D30" s="30" t="str">
        <f>"Usage bancaire : 700 à 1 000 € par adulte, davantage en Île-de-France ; aucun minimum légal. reassurez-moi.fr (2026), selectra.info, vérifié le "&amp;TEXT(DAY(Paramètres!$C$55),"00")&amp;"/"&amp;TEXT(MONTH(Paramètres!$C$55),"00")&amp;"/"&amp;YEAR(Paramètres!$C$55)&amp;"."</f>
        <v>Usage bancaire : 700 à 1 000 € par adulte, davantage en Île-de-France ; aucun minimum légal. reassurez-moi.fr (2026), selectra.info, vérifié le 05/09/2026.</v>
      </c>
      <c r="E30" s="30" t="s">
        <v>451</v>
      </c>
      <c r="F30" s="30" t="s">
        <v>456</v>
      </c>
    </row>
    <row r="31" spans="2:6" ht="30" customHeight="1" x14ac:dyDescent="0.35">
      <c r="B31" s="29" t="s">
        <v>457</v>
      </c>
      <c r="C31" s="11">
        <v>300</v>
      </c>
      <c r="D31" s="30" t="str">
        <f>"Usage bancaire : 300 à 500 € par enfant. Mêmes sources, vérifié le "&amp;TEXT(DAY(Paramètres!$C$55),"00")&amp;"/"&amp;TEXT(MONTH(Paramètres!$C$55),"00")&amp;"/"&amp;YEAR(Paramètres!$C$55)&amp;"."</f>
        <v>Usage bancaire : 300 à 500 € par enfant. Mêmes sources, vérifié le 05/09/2026.</v>
      </c>
      <c r="E31" s="30" t="s">
        <v>451</v>
      </c>
      <c r="F31" s="30" t="s">
        <v>458</v>
      </c>
    </row>
    <row r="32" spans="2:6" ht="43.5" customHeight="1" x14ac:dyDescent="0.35">
      <c r="B32" s="29" t="s">
        <v>459</v>
      </c>
      <c r="C32" s="11">
        <v>1000</v>
      </c>
      <c r="D32" s="30" t="str">
        <f>"frais-de-notaire.fr (CSI et débours 1 100 € pour 300 000 €, dont CSI 300 €) et pretto.fr (environ 0,4 % du prix) : 800 à 1 200 € pour un logement. Vérifié le "&amp;TEXT(DAY(Paramètres!$C$55),"00")&amp;"/"&amp;TEXT(MONTH(Paramètres!$C$55),"00")&amp;"/"&amp;YEAR(Paramètres!$C$55)&amp;"."</f>
        <v>frais-de-notaire.fr (CSI et débours 1 100 € pour 300 000 €, dont CSI 300 €) et pretto.fr (environ 0,4 % du prix) : 800 à 1 200 € pour un logement. Vérifié le 05/09/2026.</v>
      </c>
      <c r="E32" s="30" t="s">
        <v>460</v>
      </c>
      <c r="F32" s="30" t="s">
        <v>461</v>
      </c>
    </row>
    <row r="33" spans="2:6" ht="70.5" customHeight="1" x14ac:dyDescent="0.35">
      <c r="B33" s="29" t="s">
        <v>462</v>
      </c>
      <c r="C33" s="15">
        <v>1.2E-2</v>
      </c>
      <c r="D33" s="30" t="str">
        <f>"Convention prudente du classeur : Crédit Logement ne publie pas son barème et les relevés de place vont de 0,85 % + 200 € (optimhome.com, 2026) à 1,5 à 1,75 % du capital (perlib.fr, 2026). Vérifié le "&amp;TEXT(DAY(Paramètres!$C$55),"00")&amp;"/"&amp;TEXT(MONTH(Paramètres!$C$55),"00")&amp;"/"&amp;YEAR(Paramètres!$C$55)&amp;"."</f>
        <v>Convention prudente du classeur : Crédit Logement ne publie pas son barème et les relevés de place vont de 0,85 % + 200 € (optimhome.com, 2026) à 1,5 à 1,75 % du capital (perlib.fr, 2026). Vérifié le 05/09/2026.</v>
      </c>
      <c r="E33" s="30" t="s">
        <v>463</v>
      </c>
      <c r="F33" s="30" t="s">
        <v>464</v>
      </c>
    </row>
    <row r="34" spans="2:6" ht="43.5" customHeight="1" x14ac:dyDescent="0.35">
      <c r="B34" s="29" t="s">
        <v>465</v>
      </c>
      <c r="C34" s="11">
        <v>2000</v>
      </c>
      <c r="D34" s="30" t="str">
        <f>"Meilleurtaux, relevé de 119 banques au 01/03/2026 : moyenne 1 899,68 € pour 200 000 €, 92 établissements entre 0,50 % et 1,40 % du capital, de 0 € à 2 500 € selon les banques. Vérifié le "&amp;TEXT(DAY(Paramètres!$C$55),"00")&amp;"/"&amp;TEXT(MONTH(Paramètres!$C$55),"00")&amp;"/"&amp;YEAR(Paramètres!$C$55)&amp;"."</f>
        <v>Meilleurtaux, relevé de 119 banques au 01/03/2026 : moyenne 1 899,68 € pour 200 000 €, 92 établissements entre 0,50 % et 1,40 % du capital, de 0 € à 2 500 € selon les banques. Vérifié le 05/09/2026.</v>
      </c>
      <c r="E34" s="30" t="s">
        <v>460</v>
      </c>
      <c r="F34" s="30" t="s">
        <v>466</v>
      </c>
    </row>
    <row r="35" spans="2:6" ht="57" customHeight="1" x14ac:dyDescent="0.35">
      <c r="B35" s="29" t="s">
        <v>467</v>
      </c>
      <c r="C35" s="15">
        <v>3.3500000000000002E-2</v>
      </c>
      <c r="D35" s="30" t="str">
        <f>"Observatoire Crédit Logement / CSA, analyse du marché du mois d'août 2026 (publiée en septembre 2026) : 3,35 % sur 25 ans, 3,14 % sur 15 ans, en hausse de 15 centièmes de point depuis décembre 2025. lobservatoire.creditlogement.fr. Vérifié le "&amp;TEXT(DAY(Paramètres!$C$55),"00")&amp;"/"&amp;TEXT(MONTH(Paramètres!$C$55),"00")&amp;"/"&amp;YEAR(Paramètres!$C$55)&amp;"."</f>
        <v>Observatoire Crédit Logement / CSA, analyse du marché du mois d'août 2026 (publiée en septembre 2026) : 3,35 % sur 25 ans, 3,14 % sur 15 ans, en hausse de 15 centièmes de point depuis décembre 2025. lobservatoire.creditlogement.fr. Vérifié le 05/09/2026.</v>
      </c>
      <c r="E35" s="30" t="s">
        <v>468</v>
      </c>
      <c r="F35" s="30" t="s">
        <v>469</v>
      </c>
    </row>
    <row r="36" spans="2:6" ht="30" customHeight="1" x14ac:dyDescent="0.35">
      <c r="B36" s="29" t="s">
        <v>470</v>
      </c>
      <c r="C36" s="15">
        <v>3.5999999999999999E-3</v>
      </c>
      <c r="D36" s="30" t="str">
        <f>"Baromètres 2026 (pretclair.fr, covelia.fr) : environ 0,36 % du capital initial, 35 ans non fumeur. Vérifié le "&amp;TEXT(DAY(Paramètres!$C$55),"00")&amp;"/"&amp;TEXT(MONTH(Paramètres!$C$55),"00")&amp;"/"&amp;YEAR(Paramètres!$C$55)&amp;"."</f>
        <v>Baromètres 2026 (pretclair.fr, covelia.fr) : environ 0,36 % du capital initial, 35 ans non fumeur. Vérifié le 05/09/2026.</v>
      </c>
      <c r="E36" s="30" t="s">
        <v>460</v>
      </c>
      <c r="F36" s="30" t="s">
        <v>471</v>
      </c>
    </row>
    <row r="37" spans="2:6" ht="30" customHeight="1" x14ac:dyDescent="0.35">
      <c r="B37" s="29" t="s">
        <v>472</v>
      </c>
      <c r="C37" s="15">
        <v>1.6999999999999999E-3</v>
      </c>
      <c r="D37" s="30" t="str">
        <f>"Baromètres 2026 (pretclair.fr, covelia.fr) : environ 0,17 % du capital initial, 35 ans non fumeur. Vérifié le "&amp;TEXT(DAY(Paramètres!$C$55),"00")&amp;"/"&amp;TEXT(MONTH(Paramètres!$C$55),"00")&amp;"/"&amp;YEAR(Paramètres!$C$55)&amp;"."</f>
        <v>Baromètres 2026 (pretclair.fr, covelia.fr) : environ 0,17 % du capital initial, 35 ans non fumeur. Vérifié le 05/09/2026.</v>
      </c>
      <c r="E37" s="30" t="s">
        <v>460</v>
      </c>
      <c r="F37" s="30" t="s">
        <v>473</v>
      </c>
    </row>
    <row r="38" spans="2:6" ht="30" customHeight="1" x14ac:dyDescent="0.35">
      <c r="B38" s="29" t="s">
        <v>474</v>
      </c>
      <c r="C38" s="15">
        <v>0.08</v>
      </c>
      <c r="D38" s="30" t="str">
        <f>"frais-de-notaire.fr, achat ancien 2026 : 7,8 % pour 300 000 €, de 7 à 8,5 % selon le prix. Vérifié le "&amp;TEXT(DAY(Paramètres!$C$55),"00")&amp;"/"&amp;TEXT(MONTH(Paramètres!$C$55),"00")&amp;"/"&amp;YEAR(Paramètres!$C$55)&amp;"."</f>
        <v>frais-de-notaire.fr, achat ancien 2026 : 7,8 % pour 300 000 €, de 7 à 8,5 % selon le prix. Vérifié le 05/09/2026.</v>
      </c>
      <c r="E38" s="30" t="s">
        <v>460</v>
      </c>
      <c r="F38" s="30" t="s">
        <v>475</v>
      </c>
    </row>
    <row r="39" spans="2:6" ht="30" customHeight="1" x14ac:dyDescent="0.35">
      <c r="B39" s="29" t="s">
        <v>476</v>
      </c>
      <c r="C39" s="15">
        <v>2.5000000000000001E-2</v>
      </c>
      <c r="D39" s="30" t="str">
        <f>"meilleurescpi.com, frais de notaire 2026 : 2 à 3 % dans le neuf. Vérifié le "&amp;TEXT(DAY(Paramètres!$C$55),"00")&amp;"/"&amp;TEXT(MONTH(Paramètres!$C$55),"00")&amp;"/"&amp;YEAR(Paramètres!$C$55)&amp;"."</f>
        <v>meilleurescpi.com, frais de notaire 2026 : 2 à 3 % dans le neuf. Vérifié le 05/09/2026.</v>
      </c>
      <c r="E39" s="30" t="s">
        <v>460</v>
      </c>
      <c r="F39" s="30" t="s">
        <v>477</v>
      </c>
    </row>
    <row r="41" spans="2:6" ht="18" customHeight="1" x14ac:dyDescent="0.35">
      <c r="B41" s="1" t="s">
        <v>478</v>
      </c>
      <c r="C41" s="1"/>
      <c r="D41" s="1"/>
      <c r="E41" s="1"/>
      <c r="F41" s="1"/>
    </row>
    <row r="42" spans="2:6" ht="30" customHeight="1" x14ac:dyDescent="0.35">
      <c r="B42" s="28" t="s">
        <v>137</v>
      </c>
      <c r="C42" s="28" t="s">
        <v>402</v>
      </c>
      <c r="D42" s="28" t="s">
        <v>403</v>
      </c>
      <c r="E42" s="28" t="s">
        <v>404</v>
      </c>
      <c r="F42" s="28" t="s">
        <v>405</v>
      </c>
    </row>
    <row r="43" spans="2:6" ht="16.5" customHeight="1" x14ac:dyDescent="0.35">
      <c r="B43" s="29" t="s">
        <v>479</v>
      </c>
      <c r="C43" s="15">
        <v>0.2</v>
      </c>
      <c r="D43" s="30" t="s">
        <v>480</v>
      </c>
      <c r="E43" s="30" t="s">
        <v>481</v>
      </c>
      <c r="F43" s="30" t="s">
        <v>482</v>
      </c>
    </row>
    <row r="44" spans="2:6" ht="16.5" customHeight="1" x14ac:dyDescent="0.35">
      <c r="B44" s="29" t="s">
        <v>483</v>
      </c>
      <c r="C44" s="15">
        <v>0.05</v>
      </c>
      <c r="D44" s="30" t="s">
        <v>484</v>
      </c>
      <c r="E44" s="30" t="s">
        <v>481</v>
      </c>
      <c r="F44" s="30" t="s">
        <v>485</v>
      </c>
    </row>
    <row r="45" spans="2:6" ht="43.5" customHeight="1" x14ac:dyDescent="0.35">
      <c r="B45" s="29" t="s">
        <v>486</v>
      </c>
      <c r="C45" s="16">
        <v>30</v>
      </c>
      <c r="D45" s="30" t="s">
        <v>487</v>
      </c>
      <c r="E45" s="30" t="s">
        <v>481</v>
      </c>
      <c r="F45" s="30"/>
    </row>
    <row r="46" spans="2:6" ht="16.5" customHeight="1" x14ac:dyDescent="0.35">
      <c r="B46" s="29" t="s">
        <v>488</v>
      </c>
      <c r="C46" s="13">
        <v>6</v>
      </c>
      <c r="D46" s="30" t="s">
        <v>484</v>
      </c>
      <c r="E46" s="30" t="s">
        <v>481</v>
      </c>
      <c r="F46" s="30" t="s">
        <v>489</v>
      </c>
    </row>
    <row r="47" spans="2:6" ht="16.5" customHeight="1" x14ac:dyDescent="0.35">
      <c r="B47" s="29" t="s">
        <v>490</v>
      </c>
      <c r="C47" s="13">
        <v>15</v>
      </c>
      <c r="D47" s="30" t="s">
        <v>484</v>
      </c>
      <c r="E47" s="30" t="s">
        <v>481</v>
      </c>
      <c r="F47" s="30"/>
    </row>
    <row r="48" spans="2:6" ht="57" customHeight="1" x14ac:dyDescent="0.35">
      <c r="B48" s="29" t="s">
        <v>491</v>
      </c>
      <c r="C48" s="15">
        <v>1E-3</v>
      </c>
      <c r="D48" s="30" t="s">
        <v>492</v>
      </c>
      <c r="E48" s="30" t="s">
        <v>445</v>
      </c>
      <c r="F48" s="30" t="s">
        <v>493</v>
      </c>
    </row>
    <row r="50" spans="2:6" ht="18" customHeight="1" x14ac:dyDescent="0.35">
      <c r="B50" s="1" t="s">
        <v>494</v>
      </c>
      <c r="C50" s="1"/>
      <c r="D50" s="1"/>
      <c r="E50" s="1"/>
      <c r="F50" s="1"/>
    </row>
    <row r="51" spans="2:6" x14ac:dyDescent="0.35">
      <c r="B51" s="1" t="s">
        <v>495</v>
      </c>
      <c r="C51" s="1" t="s">
        <v>244</v>
      </c>
    </row>
    <row r="52" spans="2:6" x14ac:dyDescent="0.35">
      <c r="B52" s="10" t="s">
        <v>496</v>
      </c>
      <c r="C52" s="10" t="s">
        <v>245</v>
      </c>
      <c r="D52" s="9" t="s">
        <v>497</v>
      </c>
    </row>
    <row r="53" spans="2:6" x14ac:dyDescent="0.35">
      <c r="B53" s="10" t="s">
        <v>254</v>
      </c>
      <c r="C53" s="10" t="s">
        <v>498</v>
      </c>
    </row>
    <row r="55" spans="2:6" x14ac:dyDescent="0.35">
      <c r="B55" s="18" t="s">
        <v>499</v>
      </c>
      <c r="C55" s="32">
        <v>46270</v>
      </c>
      <c r="D55" s="9" t="s">
        <v>500</v>
      </c>
    </row>
    <row r="57" spans="2:6" x14ac:dyDescent="0.35">
      <c r="B57" s="9" t="s">
        <v>501</v>
      </c>
    </row>
    <row r="58" spans="2:6" x14ac:dyDescent="0.35">
      <c r="B58" s="9" t="s">
        <v>502</v>
      </c>
    </row>
    <row r="61" spans="2:6" ht="36" customHeight="1" x14ac:dyDescent="0.35">
      <c r="B61" s="33" t="s">
        <v>213</v>
      </c>
      <c r="C61" s="34"/>
      <c r="D61" s="34"/>
      <c r="E61" s="34"/>
      <c r="F61" s="34"/>
    </row>
  </sheetData>
  <sheetProtection sheet="1" formatColumns="0" formatRows="0"/>
  <mergeCells count="1">
    <mergeCell ref="B61:F6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A6B8C"/>
  </sheetPr>
  <dimension ref="B1:C62"/>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503</v>
      </c>
    </row>
    <row r="3" spans="2:3" x14ac:dyDescent="0.35">
      <c r="B3" s="3" t="s">
        <v>504</v>
      </c>
    </row>
    <row r="5" spans="2:3" ht="18" customHeight="1" x14ac:dyDescent="0.35">
      <c r="B5" s="1" t="s">
        <v>505</v>
      </c>
      <c r="C5" s="1"/>
    </row>
    <row r="6" spans="2:3" ht="84" customHeight="1" x14ac:dyDescent="0.35">
      <c r="B6" s="8" t="s">
        <v>506</v>
      </c>
      <c r="C6" s="4" t="s">
        <v>507</v>
      </c>
    </row>
    <row r="7" spans="2:3" ht="57" customHeight="1" x14ac:dyDescent="0.35">
      <c r="B7" s="8" t="s">
        <v>508</v>
      </c>
      <c r="C7" s="4" t="s">
        <v>509</v>
      </c>
    </row>
    <row r="8" spans="2:3" ht="70.5" customHeight="1" x14ac:dyDescent="0.35">
      <c r="B8" s="8" t="s">
        <v>510</v>
      </c>
      <c r="C8" s="4" t="s">
        <v>511</v>
      </c>
    </row>
    <row r="9" spans="2:3" ht="43.5" customHeight="1" x14ac:dyDescent="0.35">
      <c r="B9" s="8" t="s">
        <v>512</v>
      </c>
      <c r="C9" s="4" t="s">
        <v>513</v>
      </c>
    </row>
    <row r="10" spans="2:3" ht="70.5" customHeight="1" x14ac:dyDescent="0.35">
      <c r="B10" s="8" t="s">
        <v>123</v>
      </c>
      <c r="C10" s="4" t="s">
        <v>514</v>
      </c>
    </row>
    <row r="11" spans="2:3" ht="84" customHeight="1" x14ac:dyDescent="0.35">
      <c r="B11" s="8" t="s">
        <v>515</v>
      </c>
      <c r="C11" s="4" t="s">
        <v>516</v>
      </c>
    </row>
    <row r="12" spans="2:3" ht="57" customHeight="1" x14ac:dyDescent="0.35">
      <c r="B12" s="8" t="s">
        <v>127</v>
      </c>
      <c r="C12" s="4" t="s">
        <v>517</v>
      </c>
    </row>
    <row r="13" spans="2:3" ht="43.5" customHeight="1" x14ac:dyDescent="0.35">
      <c r="B13" s="8" t="s">
        <v>518</v>
      </c>
      <c r="C13" s="4" t="s">
        <v>519</v>
      </c>
    </row>
    <row r="14" spans="2:3" ht="57" customHeight="1" x14ac:dyDescent="0.35">
      <c r="B14" s="8" t="s">
        <v>520</v>
      </c>
      <c r="C14" s="4" t="s">
        <v>521</v>
      </c>
    </row>
    <row r="15" spans="2:3" ht="97.5" customHeight="1" x14ac:dyDescent="0.35">
      <c r="B15" s="8" t="s">
        <v>30</v>
      </c>
      <c r="C15" s="4" t="s">
        <v>522</v>
      </c>
    </row>
    <row r="16" spans="2:3" ht="84" customHeight="1" x14ac:dyDescent="0.35">
      <c r="B16" s="8" t="s">
        <v>523</v>
      </c>
      <c r="C16" s="4" t="s">
        <v>524</v>
      </c>
    </row>
    <row r="17" spans="2:3" ht="30" customHeight="1" x14ac:dyDescent="0.35">
      <c r="B17" s="8" t="s">
        <v>525</v>
      </c>
      <c r="C17" s="4" t="s">
        <v>526</v>
      </c>
    </row>
    <row r="19" spans="2:3" ht="18" customHeight="1" x14ac:dyDescent="0.35">
      <c r="B19" s="1" t="s">
        <v>527</v>
      </c>
      <c r="C19" s="1"/>
    </row>
    <row r="20" spans="2:3" ht="16.5" customHeight="1" x14ac:dyDescent="0.35">
      <c r="B20" s="37" t="s">
        <v>528</v>
      </c>
      <c r="C20" s="34"/>
    </row>
    <row r="21" spans="2:3" ht="16.5" customHeight="1" x14ac:dyDescent="0.35">
      <c r="B21" s="37" t="s">
        <v>529</v>
      </c>
      <c r="C21" s="34"/>
    </row>
    <row r="22" spans="2:3" ht="30" customHeight="1" x14ac:dyDescent="0.35">
      <c r="B22" s="37" t="s">
        <v>530</v>
      </c>
      <c r="C22" s="34"/>
    </row>
    <row r="23" spans="2:3" ht="43.5" customHeight="1" x14ac:dyDescent="0.35">
      <c r="B23" s="37" t="s">
        <v>531</v>
      </c>
      <c r="C23" s="34"/>
    </row>
    <row r="24" spans="2:3" ht="30" customHeight="1" x14ac:dyDescent="0.35">
      <c r="B24" s="37" t="s">
        <v>532</v>
      </c>
      <c r="C24" s="34"/>
    </row>
    <row r="25" spans="2:3" ht="16.5" customHeight="1" x14ac:dyDescent="0.35">
      <c r="B25" s="37" t="s">
        <v>533</v>
      </c>
      <c r="C25" s="34"/>
    </row>
    <row r="26" spans="2:3" ht="16.5" customHeight="1" x14ac:dyDescent="0.35">
      <c r="B26" s="37" t="s">
        <v>534</v>
      </c>
      <c r="C26" s="34"/>
    </row>
    <row r="27" spans="2:3" ht="16.5" customHeight="1" x14ac:dyDescent="0.35">
      <c r="B27" s="37" t="s">
        <v>535</v>
      </c>
      <c r="C27" s="34"/>
    </row>
    <row r="29" spans="2:3" ht="18" customHeight="1" x14ac:dyDescent="0.35">
      <c r="B29" s="1" t="s">
        <v>536</v>
      </c>
      <c r="C29" s="1"/>
    </row>
    <row r="30" spans="2:3" ht="30" customHeight="1" x14ac:dyDescent="0.35">
      <c r="B30" s="8" t="s">
        <v>406</v>
      </c>
      <c r="C30" s="30" t="str">
        <f>"HCSF, décision D-HCSF-2021-7 du 29/09/2021, confirmée par la décision D-HCSF-2023-2 du 29/06/2023. economie.gouv.fr/hcsf, vérifié le "&amp;TEXT(DAY(Paramètres!$C$55),"00")&amp;"/"&amp;TEXT(MONTH(Paramètres!$C$55),"00")&amp;"/"&amp;YEAR(Paramètres!$C$55)&amp;"."</f>
        <v>HCSF, décision D-HCSF-2021-7 du 29/09/2021, confirmée par la décision D-HCSF-2023-2 du 29/06/2023. economie.gouv.fr/hcsf, vérifié le 05/09/2026.</v>
      </c>
    </row>
    <row r="31" spans="2:3" ht="16.5" customHeight="1" x14ac:dyDescent="0.35">
      <c r="B31" s="8" t="s">
        <v>409</v>
      </c>
      <c r="C31" s="30" t="str">
        <f>"HCSF, décision D-HCSF-2021-7 du 29/09/2021. Vérifié le "&amp;TEXT(DAY(Paramètres!$C$55),"00")&amp;"/"&amp;TEXT(MONTH(Paramètres!$C$55),"00")&amp;"/"&amp;YEAR(Paramètres!$C$55)&amp;"."</f>
        <v>HCSF, décision D-HCSF-2021-7 du 29/09/2021. Vérifié le 05/09/2026.</v>
      </c>
    </row>
    <row r="32" spans="2:3" ht="30" customHeight="1" x14ac:dyDescent="0.35">
      <c r="B32" s="8" t="s">
        <v>412</v>
      </c>
      <c r="C32" s="30" t="str">
        <f>"HCSF, décisions du 29/09/2021 (différé de 2 ans au plus) et du 29/06/2023 (seuil de travaux abaissé de 25 % à 10 % du coût total). Vérifié le "&amp;TEXT(DAY(Paramètres!$C$55),"00")&amp;"/"&amp;TEXT(MONTH(Paramètres!$C$55),"00")&amp;"/"&amp;YEAR(Paramètres!$C$55)&amp;"."</f>
        <v>HCSF, décisions du 29/09/2021 (différé de 2 ans au plus) et du 29/06/2023 (seuil de travaux abaissé de 25 % à 10 % du coût total). Vérifié le 05/09/2026.</v>
      </c>
    </row>
    <row r="33" spans="2:3" ht="16.5" customHeight="1" x14ac:dyDescent="0.35">
      <c r="B33" s="8" t="s">
        <v>414</v>
      </c>
      <c r="C33" s="30" t="str">
        <f>"HCSF, décision D-HCSF-2023-2 du 29/06/2023 (auparavant 25 %). Vérifié le "&amp;TEXT(DAY(Paramètres!$C$55),"00")&amp;"/"&amp;TEXT(MONTH(Paramètres!$C$55),"00")&amp;"/"&amp;YEAR(Paramètres!$C$55)&amp;"."</f>
        <v>HCSF, décision D-HCSF-2023-2 du 29/06/2023 (auparavant 25 %). Vérifié le 05/09/2026.</v>
      </c>
    </row>
    <row r="34" spans="2:3" ht="30" customHeight="1" x14ac:dyDescent="0.35">
      <c r="B34" s="8" t="s">
        <v>416</v>
      </c>
      <c r="C34" s="30" t="str">
        <f>"HCSF, décision D-HCSF-2023-2 du 29/06/2023 : 20 % de la production, dont au moins 70 % pour la résidence principale et au moins 30 % pour les primo-accédants. Utilisée à 17,5 % au 1er trimestre 2026 (Meilleurtaux, 11/06/2026). Vérifié le "&amp;TEXT(DAY(Paramètres!$C$55),"00")&amp;"/"&amp;TEXT(MONTH(Paramètres!$C$55),"00")&amp;"/"&amp;YEAR(Paramètres!$C$55)&amp;"."</f>
        <v>HCSF, décision D-HCSF-2023-2 du 29/06/2023 : 20 % de la production, dont au moins 70 % pour la résidence principale et au moins 30 % pour les primo-accédants. Utilisée à 17,5 % au 1er trimestre 2026 (Meilleurtaux, 11/06/2026). Vérifié le 05/09/2026.</v>
      </c>
    </row>
    <row r="35" spans="2:3" ht="43.5" customHeight="1" x14ac:dyDescent="0.35">
      <c r="B35" s="8" t="s">
        <v>418</v>
      </c>
      <c r="C35" s="30" t="str">
        <f>"LF 2025 (loi n° 2025-127 du 14/02/2025) art. 116 : droit départemental porté de 4,50 % à 5 % (CGI art. 1594 D) du 01/04/2025 au 31/03/2028 ; taxe communale 1,20 % (art. 1584) ; frais d'assiette 2,37 % du droit départemental (art. 1647 V). taximmo.fr,"&amp;" vérifié le "&amp;TEXT(DAY(Paramètres!$C$55),"00")&amp;"/"&amp;TEXT(MONTH(Paramètres!$C$55),"00")&amp;"/"&amp;YEAR(Paramètres!$C$55)&amp;"."</f>
        <v>LF 2025 (loi n° 2025-127 du 14/02/2025) art. 116 : droit départemental porté de 4,50 % à 5 % (CGI art. 1594 D) du 01/04/2025 au 31/03/2028 ; taxe communale 1,20 % (art. 1584) ; frais d'assiette 2,37 % du droit départemental (art. 1647 V). taximmo.fr, vérifié le 05/09/2026.</v>
      </c>
    </row>
    <row r="36" spans="2:3" ht="30" customHeight="1" x14ac:dyDescent="0.35">
      <c r="B36" s="8" t="s">
        <v>421</v>
      </c>
      <c r="C36" s="30" t="str">
        <f>"CGI art. 1594 D (4,50 %), 1584 (1,20 %), 1647 V (2,37 %). Maintenu dans les départements qui n'ont pas voté la hausse et pour les primo-accédants achetant leur résidence principale (LF 2025 art. 116, II). taximmo.fr, vérifié le "&amp;TEXT(DAY(Paramètres!$C$55),"00")&amp;"/"&amp;TEXT(MONTH(Paramètres!$C$55),"00")&amp;"/"&amp;YEAR(Paramètres!$C$55)&amp;"."</f>
        <v>CGI art. 1594 D (4,50 %), 1584 (1,20 %), 1647 V (2,37 %). Maintenu dans les départements qui n'ont pas voté la hausse et pour les primo-accédants achetant leur résidence principale (LF 2025 art. 116, II). taximmo.fr, vérifié le 05/09/2026.</v>
      </c>
    </row>
    <row r="37" spans="2:3" ht="16.5" customHeight="1" x14ac:dyDescent="0.35">
      <c r="B37" s="8" t="s">
        <v>424</v>
      </c>
      <c r="C37" s="30" t="str">
        <f>"CGI art. 1594 F quinquies A (taux réduit 0,70 %) et 1647 V (frais d'assiette 2,14 %). Vérifié le "&amp;TEXT(DAY(Paramètres!$C$55),"00")&amp;"/"&amp;TEXT(MONTH(Paramètres!$C$55),"00")&amp;"/"&amp;YEAR(Paramètres!$C$55)&amp;"."</f>
        <v>CGI art. 1594 F quinquies A (taux réduit 0,70 %) et 1647 V (frais d'assiette 2,14 %). Vérifié le 05/09/2026.</v>
      </c>
    </row>
    <row r="38" spans="2:3" ht="16.5" customHeight="1" x14ac:dyDescent="0.35">
      <c r="B38" s="8" t="s">
        <v>426</v>
      </c>
      <c r="C38" s="30" t="str">
        <f>"CGI art. 879 : 0,10 % du prix, ancien comme neuf. Vérifié le "&amp;TEXT(DAY(Paramètres!$C$55),"00")&amp;"/"&amp;TEXT(MONTH(Paramètres!$C$55),"00")&amp;"/"&amp;YEAR(Paramètres!$C$55)&amp;"."</f>
        <v>CGI art. 879 : 0,10 % du prix, ancien comme neuf. Vérifié le 05/09/2026.</v>
      </c>
    </row>
    <row r="39" spans="2:3" ht="30" customHeight="1" x14ac:dyDescent="0.35">
      <c r="B39" s="8" t="s">
        <v>428</v>
      </c>
      <c r="C39" s="30" t="str">
        <f>"Code de commerce art. A444-91, arrêté du 25/02/2026 (en vigueur du 01/03/2026 au 29/02/2028) : 3,870 % jusqu'à 6 500 €, 1,596 % de 6 500 à 17 000 €, 1,064 % de 17 000 à 60 000 €, 0,799 % au-delà. pretto.fr, vérifié le "&amp;TEXT(DAY(Paramètres!$C$55),"00")&amp;"/"&amp;TEXT(MONTH(Paramètres!$C$55),"00")&amp;"/"&amp;YEAR(Paramètres!$C$55)&amp;"."</f>
        <v>Code de commerce art. A444-91, arrêté du 25/02/2026 (en vigueur du 01/03/2026 au 29/02/2028) : 3,870 % jusqu'à 6 500 €, 1,596 % de 6 500 à 17 000 €, 1,064 % de 17 000 à 60 000 €, 0,799 % au-delà. pretto.fr, vérifié le 05/09/2026.</v>
      </c>
    </row>
    <row r="40" spans="2:3" ht="30" customHeight="1" x14ac:dyDescent="0.35">
      <c r="B40" s="8" t="s">
        <v>431</v>
      </c>
      <c r="C40" s="30" t="s">
        <v>432</v>
      </c>
    </row>
    <row r="41" spans="2:3" ht="16.5" customHeight="1" x14ac:dyDescent="0.35">
      <c r="B41" s="8" t="s">
        <v>435</v>
      </c>
      <c r="C41" s="30" t="str">
        <f>"CGI art. 278 : taux normal 20 %. Vérifié le "&amp;TEXT(DAY(Paramètres!$C$55),"00")&amp;"/"&amp;TEXT(MONTH(Paramètres!$C$55),"00")&amp;"/"&amp;YEAR(Paramètres!$C$55)&amp;"."</f>
        <v>CGI art. 278 : taux normal 20 %. Vérifié le 05/09/2026.</v>
      </c>
    </row>
    <row r="42" spans="2:3" ht="30" customHeight="1" x14ac:dyDescent="0.35">
      <c r="B42" s="8" t="s">
        <v>437</v>
      </c>
      <c r="C42"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3" spans="2:3" ht="30" customHeight="1" x14ac:dyDescent="0.35">
      <c r="B43" s="8" t="s">
        <v>440</v>
      </c>
      <c r="C43"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4" spans="2:3" ht="30" customHeight="1" x14ac:dyDescent="0.35">
      <c r="B44" s="8" t="s">
        <v>442</v>
      </c>
      <c r="C44"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5" spans="2:3" ht="30" customHeight="1" x14ac:dyDescent="0.35">
      <c r="B45" s="8" t="s">
        <v>444</v>
      </c>
      <c r="C45"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6" spans="2:3" ht="30" customHeight="1" x14ac:dyDescent="0.35">
      <c r="B46" s="8" t="s">
        <v>447</v>
      </c>
      <c r="C46" s="30" t="str">
        <f>"Banque de France, taux d'usure applicables au 3e trimestre 2026, avis publié le 29/06/2026 et applicable depuis le 01/07/2026. banque-france.fr, rubrique Taux d'usure. Vérifié le "&amp;TEXT(DAY(Paramètres!$C$55),"00")&amp;"/"&amp;TEXT(MONTH(Paramètres!$C$55),"00")&amp;"/"&amp;YEAR(Paramètres!$C$55)&amp;"."</f>
        <v>Banque de France, taux d'usure applicables au 3e trimestre 2026, avis publié le 29/06/2026 et applicable depuis le 01/07/2026. banque-france.fr, rubrique Taux d'usure. Vérifié le 05/09/2026.</v>
      </c>
    </row>
    <row r="47" spans="2:3" ht="30" customHeight="1" x14ac:dyDescent="0.35">
      <c r="B47" s="8" t="s">
        <v>450</v>
      </c>
      <c r="C47" s="30" t="str">
        <f>"Usage bancaire : 70 % chez la plupart des banques, 80 à 90 % chez quelques-unes sur dossiers de qualité. empruntis.com, quelcredit.com, vérifié le "&amp;TEXT(DAY(Paramètres!$C$55),"00")&amp;"/"&amp;TEXT(MONTH(Paramètres!$C$55),"00")&amp;"/"&amp;YEAR(Paramètres!$C$55)&amp;"."</f>
        <v>Usage bancaire : 70 % chez la plupart des banques, 80 à 90 % chez quelques-unes sur dossiers de qualité. empruntis.com, quelcredit.com, vérifié le 05/09/2026.</v>
      </c>
    </row>
    <row r="48" spans="2:3" ht="16.5" customHeight="1" x14ac:dyDescent="0.35">
      <c r="B48" s="8" t="s">
        <v>453</v>
      </c>
      <c r="C48" s="30" t="str">
        <f>"Usage bancaire : 100 % si récurrentes sur 2 à 3 ans, 75 % dans certains établissements. prettymo.fr, vérifié le "&amp;TEXT(DAY(Paramètres!$C$55),"00")&amp;"/"&amp;TEXT(MONTH(Paramètres!$C$55),"00")&amp;"/"&amp;YEAR(Paramètres!$C$55)&amp;"."</f>
        <v>Usage bancaire : 100 % si récurrentes sur 2 à 3 ans, 75 % dans certains établissements. prettymo.fr, vérifié le 05/09/2026.</v>
      </c>
    </row>
    <row r="49" spans="2:3" ht="30" customHeight="1" x14ac:dyDescent="0.35">
      <c r="B49" s="8" t="s">
        <v>455</v>
      </c>
      <c r="C49" s="30" t="str">
        <f>"Usage bancaire : 700 à 1 000 € par adulte, davantage en Île-de-France ; aucun minimum légal. reassurez-moi.fr (2026), selectra.info, vérifié le "&amp;TEXT(DAY(Paramètres!$C$55),"00")&amp;"/"&amp;TEXT(MONTH(Paramètres!$C$55),"00")&amp;"/"&amp;YEAR(Paramètres!$C$55)&amp;"."</f>
        <v>Usage bancaire : 700 à 1 000 € par adulte, davantage en Île-de-France ; aucun minimum légal. reassurez-moi.fr (2026), selectra.info, vérifié le 05/09/2026.</v>
      </c>
    </row>
    <row r="50" spans="2:3" ht="16.5" customHeight="1" x14ac:dyDescent="0.35">
      <c r="B50" s="8" t="s">
        <v>457</v>
      </c>
      <c r="C50" s="30" t="str">
        <f>"Usage bancaire : 300 à 500 € par enfant. Mêmes sources, vérifié le "&amp;TEXT(DAY(Paramètres!$C$55),"00")&amp;"/"&amp;TEXT(MONTH(Paramètres!$C$55),"00")&amp;"/"&amp;YEAR(Paramètres!$C$55)&amp;"."</f>
        <v>Usage bancaire : 300 à 500 € par enfant. Mêmes sources, vérifié le 05/09/2026.</v>
      </c>
    </row>
    <row r="51" spans="2:3" ht="30" customHeight="1" x14ac:dyDescent="0.35">
      <c r="B51" s="8" t="s">
        <v>459</v>
      </c>
      <c r="C51" s="30" t="str">
        <f>"frais-de-notaire.fr (CSI et débours 1 100 € pour 300 000 €, dont CSI 300 €) et pretto.fr (environ 0,4 % du prix) : 800 à 1 200 € pour un logement. Vérifié le "&amp;TEXT(DAY(Paramètres!$C$55),"00")&amp;"/"&amp;TEXT(MONTH(Paramètres!$C$55),"00")&amp;"/"&amp;YEAR(Paramètres!$C$55)&amp;"."</f>
        <v>frais-de-notaire.fr (CSI et débours 1 100 € pour 300 000 €, dont CSI 300 €) et pretto.fr (environ 0,4 % du prix) : 800 à 1 200 € pour un logement. Vérifié le 05/09/2026.</v>
      </c>
    </row>
    <row r="52" spans="2:3" ht="30" customHeight="1" x14ac:dyDescent="0.35">
      <c r="B52" s="8" t="s">
        <v>462</v>
      </c>
      <c r="C52" s="30" t="str">
        <f>"Convention prudente du classeur : Crédit Logement ne publie pas son barème et les relevés de place vont de 0,85 % + 200 € (optimhome.com, 2026) à 1,5 à 1,75 % du capital (perlib.fr, 2026). Vérifié le "&amp;TEXT(DAY(Paramètres!$C$55),"00")&amp;"/"&amp;TEXT(MONTH(Paramètres!$C$55),"00")&amp;"/"&amp;YEAR(Paramètres!$C$55)&amp;"."</f>
        <v>Convention prudente du classeur : Crédit Logement ne publie pas son barème et les relevés de place vont de 0,85 % + 200 € (optimhome.com, 2026) à 1,5 à 1,75 % du capital (perlib.fr, 2026). Vérifié le 05/09/2026.</v>
      </c>
    </row>
    <row r="53" spans="2:3" ht="30" customHeight="1" x14ac:dyDescent="0.35">
      <c r="B53" s="8" t="s">
        <v>465</v>
      </c>
      <c r="C53" s="30" t="str">
        <f>"Meilleurtaux, relevé de 119 banques au 01/03/2026 : moyenne 1 899,68 € pour 200 000 €, 92 établissements entre 0,50 % et 1,40 % du capital, de 0 € à 2 500 € selon les banques. Vérifié le "&amp;TEXT(DAY(Paramètres!$C$55),"00")&amp;"/"&amp;TEXT(MONTH(Paramètres!$C$55),"00")&amp;"/"&amp;YEAR(Paramètres!$C$55)&amp;"."</f>
        <v>Meilleurtaux, relevé de 119 banques au 01/03/2026 : moyenne 1 899,68 € pour 200 000 €, 92 établissements entre 0,50 % et 1,40 % du capital, de 0 € à 2 500 € selon les banques. Vérifié le 05/09/2026.</v>
      </c>
    </row>
    <row r="54" spans="2:3" ht="30" customHeight="1" x14ac:dyDescent="0.35">
      <c r="B54" s="8" t="s">
        <v>467</v>
      </c>
      <c r="C54" s="30" t="str">
        <f>"Observatoire Crédit Logement / CSA, analyse du marché du mois d'août 2026 (publiée en septembre 2026) : 3,35 % sur 25 ans, 3,14 % sur 15 ans, en hausse de 15 centièmes de point depuis décembre 2025. lobservatoire.creditlogement.fr. Vérifié le "&amp;TEXT(DAY(Paramètres!$C$55),"00")&amp;"/"&amp;TEXT(MONTH(Paramètres!$C$55),"00")&amp;"/"&amp;YEAR(Paramètres!$C$55)&amp;"."</f>
        <v>Observatoire Crédit Logement / CSA, analyse du marché du mois d'août 2026 (publiée en septembre 2026) : 3,35 % sur 25 ans, 3,14 % sur 15 ans, en hausse de 15 centièmes de point depuis décembre 2025. lobservatoire.creditlogement.fr. Vérifié le 05/09/2026.</v>
      </c>
    </row>
    <row r="55" spans="2:3" ht="16.5" customHeight="1" x14ac:dyDescent="0.35">
      <c r="B55" s="8" t="s">
        <v>470</v>
      </c>
      <c r="C55" s="30" t="str">
        <f>"Baromètres 2026 (pretclair.fr, covelia.fr) : environ 0,36 % du capital initial, 35 ans non fumeur. Vérifié le "&amp;TEXT(DAY(Paramètres!$C$55),"00")&amp;"/"&amp;TEXT(MONTH(Paramètres!$C$55),"00")&amp;"/"&amp;YEAR(Paramètres!$C$55)&amp;"."</f>
        <v>Baromètres 2026 (pretclair.fr, covelia.fr) : environ 0,36 % du capital initial, 35 ans non fumeur. Vérifié le 05/09/2026.</v>
      </c>
    </row>
    <row r="56" spans="2:3" ht="16.5" customHeight="1" x14ac:dyDescent="0.35">
      <c r="B56" s="8" t="s">
        <v>472</v>
      </c>
      <c r="C56" s="30" t="str">
        <f>"Baromètres 2026 (pretclair.fr, covelia.fr) : environ 0,17 % du capital initial, 35 ans non fumeur. Vérifié le "&amp;TEXT(DAY(Paramètres!$C$55),"00")&amp;"/"&amp;TEXT(MONTH(Paramètres!$C$55),"00")&amp;"/"&amp;YEAR(Paramètres!$C$55)&amp;"."</f>
        <v>Baromètres 2026 (pretclair.fr, covelia.fr) : environ 0,17 % du capital initial, 35 ans non fumeur. Vérifié le 05/09/2026.</v>
      </c>
    </row>
    <row r="57" spans="2:3" ht="16.5" customHeight="1" x14ac:dyDescent="0.35">
      <c r="B57" s="8" t="s">
        <v>474</v>
      </c>
      <c r="C57" s="30" t="str">
        <f>"frais-de-notaire.fr, achat ancien 2026 : 7,8 % pour 300 000 €, de 7 à 8,5 % selon le prix. Vérifié le "&amp;TEXT(DAY(Paramètres!$C$55),"00")&amp;"/"&amp;TEXT(MONTH(Paramètres!$C$55),"00")&amp;"/"&amp;YEAR(Paramètres!$C$55)&amp;"."</f>
        <v>frais-de-notaire.fr, achat ancien 2026 : 7,8 % pour 300 000 €, de 7 à 8,5 % selon le prix. Vérifié le 05/09/2026.</v>
      </c>
    </row>
    <row r="58" spans="2:3" ht="16.5" customHeight="1" x14ac:dyDescent="0.35">
      <c r="B58" s="8" t="s">
        <v>476</v>
      </c>
      <c r="C58" s="30" t="str">
        <f>"meilleurescpi.com, frais de notaire 2026 : 2 à 3 % dans le neuf. Vérifié le "&amp;TEXT(DAY(Paramètres!$C$55),"00")&amp;"/"&amp;TEXT(MONTH(Paramètres!$C$55),"00")&amp;"/"&amp;YEAR(Paramètres!$C$55)&amp;"."</f>
        <v>meilleurescpi.com, frais de notaire 2026 : 2 à 3 % dans le neuf. Vérifié le 05/09/2026.</v>
      </c>
    </row>
    <row r="59" spans="2:3" ht="30" customHeight="1" x14ac:dyDescent="0.35">
      <c r="B59" s="8" t="s">
        <v>537</v>
      </c>
      <c r="C59" s="30" t="str">
        <f>"HCSF, décision du 04/12/2023 : les intérêts d'un prêt relais sont exclus du calcul du taux d'effort. economie.gouv.fr/hcsf, vérifié le "&amp;TEXT(DAY(Paramètres!$C$55),"00")&amp;"/"&amp;TEXT(MONTH(Paramètres!$C$55),"00")&amp;"/"&amp;YEAR(Paramètres!$C$55)&amp;"."</f>
        <v>HCSF, décision du 04/12/2023 : les intérêts d'un prêt relais sont exclus du calcul du taux d'effort. economie.gouv.fr/hcsf, vérifié le 05/09/2026.</v>
      </c>
    </row>
    <row r="60" spans="2:3" ht="16.5" customHeight="1" x14ac:dyDescent="0.35">
      <c r="B60" s="8" t="s">
        <v>538</v>
      </c>
      <c r="C60" s="30" t="str">
        <f>"frais-de-notaire.fr (achat ancien 2026 : 7,8 % pour 300 000 €), plan-immobilier.fr, koliving.fr, vérifié le "&amp;TEXT(DAY(Paramètres!$C$55),"00")&amp;"/"&amp;TEXT(MONTH(Paramètres!$C$55),"00")&amp;"/"&amp;YEAR(Paramètres!$C$55)&amp;"."</f>
        <v>frais-de-notaire.fr (achat ancien 2026 : 7,8 % pour 300 000 €), plan-immobilier.fr, koliving.fr, vérifié le 05/09/2026.</v>
      </c>
    </row>
    <row r="62" spans="2:3" ht="36" customHeight="1" x14ac:dyDescent="0.35">
      <c r="B62" s="33" t="s">
        <v>213</v>
      </c>
      <c r="C62" s="34"/>
    </row>
  </sheetData>
  <sheetProtection sheet="1" formatColumns="0" formatRows="0"/>
  <mergeCells count="9">
    <mergeCell ref="B21:C21"/>
    <mergeCell ref="B24:C24"/>
    <mergeCell ref="B62:C62"/>
    <mergeCell ref="B25:C25"/>
    <mergeCell ref="B20:C20"/>
    <mergeCell ref="B23:C23"/>
    <mergeCell ref="B22:C22"/>
    <mergeCell ref="B26:C26"/>
    <mergeCell ref="B27:C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Capacité d'emprunt</vt:lpstr>
      <vt:lpstr>Bilan patrimonial</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Capacité d'emprunt et bilan patrimonial</dc:title>
  <dc:creator>CorpusImmo</dc:creator>
  <cp:lastModifiedBy>CorpusImmo</cp:lastModifiedBy>
  <dcterms:created xsi:type="dcterms:W3CDTF">2026-08-16T17:09:45Z</dcterms:created>
  <dcterms:modified xsi:type="dcterms:W3CDTF">2026-09-10T08:28:40Z</dcterms:modified>
</cp:coreProperties>
</file>