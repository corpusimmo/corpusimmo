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DCF" sheetId="1" state="visible" r:id="rId1"/>
    <sheet name="Métho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\ \€;\(#,##0\ \€\);&quot;-&quot;"/>
    <numFmt numFmtId="166" formatCode="#,##0\ &quot;m²&quot;"/>
    <numFmt numFmtId="167" formatCode="#,##0\ &quot;€/m²&quot;"/>
    <numFmt numFmtId="168" formatCode="0\ &quot;mois&quot;"/>
    <numFmt numFmtId="169" formatCode="0\ &quot;ans&quot;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i val="1"/>
      <color rgb="FF0000FF"/>
      <sz val="10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i val="1"/>
      <color rgb="FF000000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b val="1"/>
      <color rgb="FFFFFFFF"/>
      <sz val="14"/>
    </font>
    <font>
      <name val="Aptos Narrow"/>
      <i val="1"/>
      <color rgb="FF808080"/>
      <sz val="10"/>
    </font>
    <font>
      <name val="Aptos Narrow"/>
      <b val="1"/>
      <color rgb="FFFFFFFF"/>
      <sz val="11"/>
    </font>
    <font>
      <name val="Aptos Narrow"/>
      <b val="1"/>
      <color rgb="FF000000"/>
      <sz val="11"/>
    </font>
    <font>
      <name val="Aptos Narrow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44546A"/>
      </patternFill>
    </fill>
    <fill>
      <patternFill patternType="solid">
        <fgColor rgb="FF8497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1" fontId="1" fillId="3" borderId="0" applyAlignment="1" pivotButton="0" quotePrefix="0" xfId="0">
      <alignment horizontal="center"/>
    </xf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165" fontId="6" fillId="5" borderId="0" applyAlignment="1" pivotButton="0" quotePrefix="0" xfId="0">
      <alignment horizontal="center"/>
    </xf>
    <xf numFmtId="10" fontId="6" fillId="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6" fontId="6" fillId="5" borderId="0" applyAlignment="1" pivotButton="0" quotePrefix="0" xfId="0">
      <alignment horizontal="center"/>
    </xf>
    <xf numFmtId="167" fontId="7" fillId="6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" fontId="6" fillId="5" borderId="0" applyAlignment="1" pivotButton="0" quotePrefix="0" xfId="0">
      <alignment horizontal="center"/>
    </xf>
    <xf numFmtId="0" fontId="4" fillId="7" borderId="0" pivotButton="0" quotePrefix="0" xfId="0"/>
    <xf numFmtId="166" fontId="7" fillId="6" borderId="0" applyAlignment="1" pivotButton="0" quotePrefix="0" xfId="0">
      <alignment horizontal="center"/>
    </xf>
    <xf numFmtId="10" fontId="7" fillId="6" borderId="0" applyAlignment="1" pivotButton="0" quotePrefix="0" xfId="0">
      <alignment horizontal="center"/>
    </xf>
    <xf numFmtId="167" fontId="6" fillId="5" borderId="0" applyAlignment="1" pivotButton="0" quotePrefix="0" xfId="0">
      <alignment horizontal="center"/>
    </xf>
    <xf numFmtId="168" fontId="6" fillId="5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5" fontId="1" fillId="8" borderId="0" applyAlignment="1" pivotButton="0" quotePrefix="0" xfId="0">
      <alignment horizontal="center"/>
    </xf>
    <xf numFmtId="10" fontId="1" fillId="8" borderId="0" applyAlignment="1" pivotButton="0" quotePrefix="0" xfId="0">
      <alignment horizontal="center"/>
    </xf>
    <xf numFmtId="0" fontId="8" fillId="0" borderId="0" pivotButton="0" quotePrefix="0" xfId="0"/>
    <xf numFmtId="164" fontId="0" fillId="0" borderId="0" applyAlignment="1" pivotButton="0" quotePrefix="0" xfId="0">
      <alignment horizontal="center"/>
    </xf>
    <xf numFmtId="169" fontId="6" fillId="5" borderId="0" applyAlignment="1" pivotButton="0" quotePrefix="0" xfId="0">
      <alignment horizontal="center"/>
    </xf>
    <xf numFmtId="0" fontId="1" fillId="0" borderId="0" pivotButton="0" quotePrefix="0" xfId="0"/>
    <xf numFmtId="0" fontId="6" fillId="0" borderId="0" pivotButton="0" quotePrefix="0" xfId="0"/>
    <xf numFmtId="0" fontId="9" fillId="9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1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tabSelected="1" workbookViewId="0">
      <selection activeCell="E27" sqref="E27"/>
    </sheetView>
  </sheetViews>
  <sheetFormatPr baseColWidth="10" defaultRowHeight="14.5"/>
  <cols>
    <col width="47.26953125" customWidth="1" min="1" max="1"/>
    <col width="20" customWidth="1" min="2" max="2"/>
    <col width="3.6328125" customWidth="1" min="3" max="3"/>
    <col width="41.81640625" customWidth="1" min="4" max="4"/>
    <col width="17.26953125" customWidth="1" min="5" max="12"/>
  </cols>
  <sheetData>
    <row r="1" ht="18.5" customHeight="1">
      <c r="A1" s="1" t="inlineStr">
        <is>
          <t>MATRICE DCF IMMOBILIER — MODÈLE RÉUTILISABLE</t>
        </is>
      </c>
    </row>
    <row r="2">
      <c r="A2" s="2" t="inlineStr">
        <is>
          <t>Ne saisir que les cellules BLEUES. Tout le reste est calculé — ne rien écraser.</t>
        </is>
      </c>
      <c r="D2" s="3" t="inlineStr">
        <is>
          <t>Période</t>
        </is>
      </c>
      <c r="E2" s="4" t="n">
        <v>0</v>
      </c>
      <c r="F2" s="4" t="n">
        <v>1</v>
      </c>
      <c r="G2" s="4" t="n">
        <v>2</v>
      </c>
      <c r="H2" s="4" t="n">
        <v>3</v>
      </c>
      <c r="I2" s="4" t="n">
        <v>4</v>
      </c>
      <c r="J2" s="4" t="n">
        <v>5</v>
      </c>
      <c r="K2" s="4" t="n">
        <v>6</v>
      </c>
      <c r="L2" s="4" t="n">
        <v>7</v>
      </c>
    </row>
    <row r="3">
      <c r="D3" s="3" t="inlineStr">
        <is>
          <t>Année</t>
        </is>
      </c>
      <c r="E3" s="4">
        <f>$B$11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</row>
    <row r="4">
      <c r="A4" s="5" t="inlineStr">
        <is>
          <t>1. ACQUISITION</t>
        </is>
      </c>
      <c r="B4" s="6" t="n"/>
      <c r="D4" s="7" t="inlineStr">
        <is>
          <t>% de la surface vacante relouée</t>
        </is>
      </c>
      <c r="E4" s="8" t="n"/>
      <c r="F4" s="9" t="n">
        <v>0</v>
      </c>
      <c r="G4" s="9" t="n">
        <v>0.5</v>
      </c>
      <c r="H4" s="9" t="n">
        <v>0.3</v>
      </c>
      <c r="I4" s="9" t="n">
        <v>0.2</v>
      </c>
      <c r="J4" s="9" t="n">
        <v>0</v>
      </c>
      <c r="K4" s="9" t="n">
        <v>0</v>
      </c>
      <c r="L4" s="9" t="n">
        <v>0</v>
      </c>
    </row>
    <row r="5">
      <c r="A5" t="inlineStr">
        <is>
          <t>Prix d'acquisition AEM (acte en main)</t>
        </is>
      </c>
      <c r="B5" s="10" t="n">
        <v>10000000</v>
      </c>
      <c r="D5" s="7" t="inlineStr">
        <is>
          <t>% du capex engagé</t>
        </is>
      </c>
      <c r="E5" s="8" t="n"/>
      <c r="F5" s="9" t="n">
        <v>0.6</v>
      </c>
      <c r="G5" s="9" t="n">
        <v>0.4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</row>
    <row r="6">
      <c r="A6" t="inlineStr">
        <is>
          <t>Droits d'enregistrement (%)</t>
        </is>
      </c>
      <c r="B6" s="11" t="n">
        <v>0.074</v>
      </c>
      <c r="D6" s="7" t="inlineStr">
        <is>
          <t>Surface relouée dans la période (m²)</t>
        </is>
      </c>
      <c r="E6" s="12" t="n"/>
      <c r="F6" s="12">
        <f>F4*$B$16</f>
        <v/>
      </c>
      <c r="G6" s="12">
        <f>G4*$B$16</f>
        <v/>
      </c>
      <c r="H6" s="12">
        <f>H4*$B$16</f>
        <v/>
      </c>
      <c r="I6" s="12">
        <f>I4*$B$16</f>
        <v/>
      </c>
      <c r="J6" s="12">
        <f>J4*$B$16</f>
        <v/>
      </c>
      <c r="K6" s="12">
        <f>K4*$B$16</f>
        <v/>
      </c>
      <c r="L6" s="12">
        <f>L4*$B$16</f>
        <v/>
      </c>
    </row>
    <row r="7">
      <c r="A7" t="inlineStr">
        <is>
          <t>Prix d'acquisition HD</t>
        </is>
      </c>
      <c r="B7" s="13">
        <f>B5/(1+B6)</f>
        <v/>
      </c>
      <c r="D7" s="7" t="inlineStr">
        <is>
          <t>Surface relouée cumulée (m²)</t>
        </is>
      </c>
      <c r="E7" s="12" t="n">
        <v>0</v>
      </c>
      <c r="F7" s="12">
        <f>E7+F6</f>
        <v/>
      </c>
      <c r="G7" s="12">
        <f>F7+G6</f>
        <v/>
      </c>
      <c r="H7" s="12">
        <f>G7+H6</f>
        <v/>
      </c>
      <c r="I7" s="12">
        <f>H7+I6</f>
        <v/>
      </c>
      <c r="J7" s="12">
        <f>I7+J6</f>
        <v/>
      </c>
      <c r="K7" s="12">
        <f>J7+K6</f>
        <v/>
      </c>
      <c r="L7" s="12">
        <f>K7+L6</f>
        <v/>
      </c>
    </row>
    <row r="8">
      <c r="A8" t="inlineStr">
        <is>
          <t>Montant des droits</t>
        </is>
      </c>
      <c r="B8" s="13">
        <f>B5-B7</f>
        <v/>
      </c>
      <c r="D8" s="7" t="inlineStr">
        <is>
          <t>Surface vacante restante (m²)</t>
        </is>
      </c>
      <c r="E8" s="12">
        <f>$B$16</f>
        <v/>
      </c>
      <c r="F8" s="12">
        <f>$B$16-F7</f>
        <v/>
      </c>
      <c r="G8" s="12">
        <f>$B$16-G7</f>
        <v/>
      </c>
      <c r="H8" s="12">
        <f>$B$16-H7</f>
        <v/>
      </c>
      <c r="I8" s="12">
        <f>$B$16-I7</f>
        <v/>
      </c>
      <c r="J8" s="12">
        <f>$B$16-J7</f>
        <v/>
      </c>
      <c r="K8" s="12">
        <f>$B$16-K7</f>
        <v/>
      </c>
      <c r="L8" s="12">
        <f>$B$16-L7</f>
        <v/>
      </c>
    </row>
    <row r="9">
      <c r="A9" t="inlineStr">
        <is>
          <t>Surface totale (m²)</t>
        </is>
      </c>
      <c r="B9" s="14" t="n">
        <v>5000</v>
      </c>
      <c r="D9" s="7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t="inlineStr">
        <is>
          <t>Prix d'acquisition HD / m²</t>
        </is>
      </c>
      <c r="B10" s="15">
        <f>B7/B9</f>
        <v/>
      </c>
      <c r="D10" s="7" t="inlineStr">
        <is>
          <t>Rappel acquisition — Prix HD</t>
        </is>
      </c>
      <c r="E10" s="16">
        <f>$B$7</f>
        <v/>
      </c>
      <c r="F10" s="16" t="n"/>
      <c r="G10" s="16" t="n"/>
      <c r="H10" s="16" t="n"/>
      <c r="I10" s="16" t="n"/>
      <c r="J10" s="16" t="n"/>
      <c r="K10" s="16" t="n"/>
      <c r="L10" s="16" t="n"/>
    </row>
    <row r="11">
      <c r="A11" t="inlineStr">
        <is>
          <t>Année d'acquisition</t>
        </is>
      </c>
      <c r="B11" s="17" t="n">
        <v>2026</v>
      </c>
      <c r="D11" s="7" t="inlineStr">
        <is>
          <t>Rappel acquisition — Droits</t>
        </is>
      </c>
      <c r="E11" s="16">
        <f>$B$8</f>
        <v/>
      </c>
      <c r="F11" s="16" t="n"/>
      <c r="G11" s="16" t="n"/>
      <c r="H11" s="16" t="n"/>
      <c r="I11" s="16" t="n"/>
      <c r="J11" s="16" t="n"/>
      <c r="K11" s="16" t="n"/>
      <c r="L11" s="16" t="n"/>
    </row>
    <row r="12">
      <c r="D12" s="7" t="inlineStr">
        <is>
          <t>Rappel acquisition — Fonds propres (= flux période 0)</t>
        </is>
      </c>
      <c r="E12" s="16">
        <f>$B$38</f>
        <v/>
      </c>
      <c r="F12" s="16" t="n"/>
      <c r="G12" s="16" t="n"/>
      <c r="H12" s="16" t="n"/>
      <c r="I12" s="16" t="n"/>
      <c r="J12" s="16" t="n"/>
      <c r="K12" s="16" t="n"/>
      <c r="L12" s="16" t="n"/>
    </row>
    <row r="13">
      <c r="A13" s="5" t="inlineStr">
        <is>
          <t>2. SITUATION LOCATIVE</t>
        </is>
      </c>
      <c r="B13" s="6" t="n"/>
      <c r="D13" s="7" t="inlineStr">
        <is>
          <t>Loyer en place indexé</t>
        </is>
      </c>
      <c r="E13" s="16" t="n"/>
      <c r="F13" s="16">
        <f>$B$14*(1+$B$18)^F$2</f>
        <v/>
      </c>
      <c r="G13" s="16">
        <f>$B$14*(1+$B$18)^G$2</f>
        <v/>
      </c>
      <c r="H13" s="16">
        <f>$B$14*(1+$B$18)^H$2</f>
        <v/>
      </c>
      <c r="I13" s="16">
        <f>$B$14*(1+$B$18)^I$2</f>
        <v/>
      </c>
      <c r="J13" s="16">
        <f>$B$14*(1+$B$18)^J$2</f>
        <v/>
      </c>
      <c r="K13" s="16">
        <f>$B$14*(1+$B$18)^K$2</f>
        <v/>
      </c>
      <c r="L13" s="16">
        <f>$B$14*(1+$B$18)^L$2</f>
        <v/>
      </c>
    </row>
    <row r="14">
      <c r="A14" t="inlineStr">
        <is>
          <t>Loyer actuel HT HC / an</t>
        </is>
      </c>
      <c r="B14" s="10" t="n">
        <v>600000</v>
      </c>
      <c r="D14" s="7" t="inlineStr">
        <is>
          <t>Loyer des surfaces relouées</t>
        </is>
      </c>
      <c r="E14" s="16" t="n"/>
      <c r="F14" s="16">
        <f>F7*$B$19*(1+$B$18)^F$2</f>
        <v/>
      </c>
      <c r="G14" s="16">
        <f>G7*$B$19*(1+$B$18)^G$2</f>
        <v/>
      </c>
      <c r="H14" s="16">
        <f>H7*$B$19*(1+$B$18)^H$2</f>
        <v/>
      </c>
      <c r="I14" s="16">
        <f>I7*$B$19*(1+$B$18)^I$2</f>
        <v/>
      </c>
      <c r="J14" s="16">
        <f>J7*$B$19*(1+$B$18)^J$2</f>
        <v/>
      </c>
      <c r="K14" s="16">
        <f>K7*$B$19*(1+$B$18)^K$2</f>
        <v/>
      </c>
      <c r="L14" s="16">
        <f>L7*$B$19*(1+$B$18)^L$2</f>
        <v/>
      </c>
    </row>
    <row r="15">
      <c r="A15" t="inlineStr">
        <is>
          <t>Surface louée (m²)</t>
        </is>
      </c>
      <c r="B15" s="14" t="n">
        <v>4000</v>
      </c>
      <c r="D15" s="18" t="inlineStr">
        <is>
          <t>LOYERS</t>
        </is>
      </c>
      <c r="E15" s="16" t="n"/>
      <c r="F15" s="16">
        <f>F13+F14</f>
        <v/>
      </c>
      <c r="G15" s="16">
        <f>G13+G14</f>
        <v/>
      </c>
      <c r="H15" s="16">
        <f>H13+H14</f>
        <v/>
      </c>
      <c r="I15" s="16">
        <f>I13+I14</f>
        <v/>
      </c>
      <c r="J15" s="16">
        <f>J13+J14</f>
        <v/>
      </c>
      <c r="K15" s="16">
        <f>K13+K14</f>
        <v/>
      </c>
      <c r="L15" s="16">
        <f>L13+L14</f>
        <v/>
      </c>
    </row>
    <row r="16">
      <c r="A16" t="inlineStr">
        <is>
          <t>Surface vacante (m²)</t>
        </is>
      </c>
      <c r="B16" s="19">
        <f>B9-B15</f>
        <v/>
      </c>
      <c r="D16" s="7" t="inlineStr">
        <is>
          <t>Coût de la vacance</t>
        </is>
      </c>
      <c r="E16" s="16" t="n"/>
      <c r="F16" s="16">
        <f>F8*$B$20</f>
        <v/>
      </c>
      <c r="G16" s="16">
        <f>G8*$B$20</f>
        <v/>
      </c>
      <c r="H16" s="16">
        <f>H8*$B$20</f>
        <v/>
      </c>
      <c r="I16" s="16">
        <f>I8*$B$20</f>
        <v/>
      </c>
      <c r="J16" s="16">
        <f>J8*$B$20</f>
        <v/>
      </c>
      <c r="K16" s="16">
        <f>K8*$B$20</f>
        <v/>
      </c>
      <c r="L16" s="16">
        <f>L8*$B$20</f>
        <v/>
      </c>
    </row>
    <row r="17">
      <c r="A17" t="inlineStr">
        <is>
          <t>Taux d'occupation</t>
        </is>
      </c>
      <c r="B17" s="20">
        <f>B15/B9</f>
        <v/>
      </c>
      <c r="D17" s="7" t="inlineStr">
        <is>
          <t>Franchise accordée</t>
        </is>
      </c>
      <c r="E17" s="16" t="n"/>
      <c r="F17" s="16">
        <f>F6*$B$19*(1+$B$18)^F$2*($B$21/12)</f>
        <v/>
      </c>
      <c r="G17" s="16">
        <f>G6*$B$19*(1+$B$18)^G$2*($B$21/12)</f>
        <v/>
      </c>
      <c r="H17" s="16">
        <f>H6*$B$19*(1+$B$18)^H$2*($B$21/12)</f>
        <v/>
      </c>
      <c r="I17" s="16">
        <f>I6*$B$19*(1+$B$18)^I$2*($B$21/12)</f>
        <v/>
      </c>
      <c r="J17" s="16">
        <f>J6*$B$19*(1+$B$18)^J$2*($B$21/12)</f>
        <v/>
      </c>
      <c r="K17" s="16">
        <f>K6*$B$19*(1+$B$18)^K$2*($B$21/12)</f>
        <v/>
      </c>
      <c r="L17" s="16">
        <f>L6*$B$19*(1+$B$18)^L$2*($B$21/12)</f>
        <v/>
      </c>
    </row>
    <row r="18">
      <c r="A18" t="inlineStr">
        <is>
          <t>Indexation annuelle (%)</t>
        </is>
      </c>
      <c r="B18" s="11" t="n">
        <v>0.025</v>
      </c>
      <c r="D18" s="7" t="inlineStr">
        <is>
          <t>CAPEX Rénovation</t>
        </is>
      </c>
      <c r="E18" s="16" t="n"/>
      <c r="F18" s="16">
        <f>F5*$B$28</f>
        <v/>
      </c>
      <c r="G18" s="16">
        <f>G5*$B$28</f>
        <v/>
      </c>
      <c r="H18" s="16">
        <f>H5*$B$28</f>
        <v/>
      </c>
      <c r="I18" s="16">
        <f>I5*$B$28</f>
        <v/>
      </c>
      <c r="J18" s="16">
        <f>J5*$B$28</f>
        <v/>
      </c>
      <c r="K18" s="16">
        <f>K5*$B$28</f>
        <v/>
      </c>
      <c r="L18" s="16">
        <f>L5*$B$28</f>
        <v/>
      </c>
    </row>
    <row r="19">
      <c r="A19" t="inlineStr">
        <is>
          <t>VLM (€ HT HC / m² / an)</t>
        </is>
      </c>
      <c r="B19" s="21" t="n">
        <v>140</v>
      </c>
      <c r="D19" s="7" t="inlineStr">
        <is>
          <t>Broker fees location</t>
        </is>
      </c>
      <c r="E19" s="16" t="n"/>
      <c r="F19" s="16">
        <f>F6*$B$19*$B$22</f>
        <v/>
      </c>
      <c r="G19" s="16">
        <f>G6*$B$19*$B$22</f>
        <v/>
      </c>
      <c r="H19" s="16">
        <f>H6*$B$19*$B$22</f>
        <v/>
      </c>
      <c r="I19" s="16">
        <f>I6*$B$19*$B$22</f>
        <v/>
      </c>
      <c r="J19" s="16">
        <f>J6*$B$19*$B$22</f>
        <v/>
      </c>
      <c r="K19" s="16">
        <f>K6*$B$19*$B$22</f>
        <v/>
      </c>
      <c r="L19" s="16">
        <f>L6*$B$19*$B$22</f>
        <v/>
      </c>
    </row>
    <row r="20">
      <c r="A20" t="inlineStr">
        <is>
          <t>Charges + fiscalité sur vacant (€ / m² / an)</t>
        </is>
      </c>
      <c r="B20" s="21" t="n">
        <v>38</v>
      </c>
      <c r="D20" s="7" t="inlineStr">
        <is>
          <t>Intérêts</t>
        </is>
      </c>
      <c r="E20" s="16" t="n"/>
      <c r="F20" s="16">
        <f>IF(F$2&lt;=$B$31,$B$37*$B$39,0)</f>
        <v/>
      </c>
      <c r="G20" s="16">
        <f>IF(G$2&lt;=$B$31,$B$37*$B$39,0)</f>
        <v/>
      </c>
      <c r="H20" s="16">
        <f>IF(H$2&lt;=$B$31,$B$37*$B$39,0)</f>
        <v/>
      </c>
      <c r="I20" s="16">
        <f>IF(I$2&lt;=$B$31,$B$37*$B$39,0)</f>
        <v/>
      </c>
      <c r="J20" s="16">
        <f>IF(J$2&lt;=$B$31,$B$37*$B$39,0)</f>
        <v/>
      </c>
      <c r="K20" s="16">
        <f>IF(K$2&lt;=$B$31,$B$37*$B$39,0)</f>
        <v/>
      </c>
      <c r="L20" s="16">
        <f>IF(L$2&lt;=$B$31,$B$37*$B$39,0)</f>
        <v/>
      </c>
    </row>
    <row r="21">
      <c r="A21" t="inlineStr">
        <is>
          <t>Franchise accordée (mois)</t>
        </is>
      </c>
      <c r="B21" s="22" t="n">
        <v>4</v>
      </c>
      <c r="D21" s="7" t="inlineStr">
        <is>
          <t>Rmbt in fine</t>
        </is>
      </c>
      <c r="E21" s="16" t="n"/>
      <c r="F21" s="16">
        <f>IF(F$2=$B$31,$B$37,0)</f>
        <v/>
      </c>
      <c r="G21" s="16">
        <f>IF(G$2=$B$31,$B$37,0)</f>
        <v/>
      </c>
      <c r="H21" s="16">
        <f>IF(H$2=$B$31,$B$37,0)</f>
        <v/>
      </c>
      <c r="I21" s="16">
        <f>IF(I$2=$B$31,$B$37,0)</f>
        <v/>
      </c>
      <c r="J21" s="16">
        <f>IF(J$2=$B$31,$B$37,0)</f>
        <v/>
      </c>
      <c r="K21" s="16">
        <f>IF(K$2=$B$31,$B$37,0)</f>
        <v/>
      </c>
      <c r="L21" s="16">
        <f>IF(L$2=$B$31,$B$37,0)</f>
        <v/>
      </c>
    </row>
    <row r="22">
      <c r="A22" t="inlineStr">
        <is>
          <t>Broker fees location (% du loyer annuel)</t>
        </is>
      </c>
      <c r="B22" s="11" t="n">
        <v>0.2</v>
      </c>
      <c r="D22" s="7" t="inlineStr">
        <is>
          <t>Prix de cession Net Vendeur</t>
        </is>
      </c>
      <c r="E22" s="16" t="n"/>
      <c r="F22" s="16">
        <f>IF(F$2=$B$31,((F15/$B$32)/(1+$B$6))*(1-$B$33),0)</f>
        <v/>
      </c>
      <c r="G22" s="16">
        <f>IF(G$2=$B$31,((G15/$B$32)/(1+$B$6))*(1-$B$33),0)</f>
        <v/>
      </c>
      <c r="H22" s="16">
        <f>IF(H$2=$B$31,((H15/$B$32)/(1+$B$6))*(1-$B$33),0)</f>
        <v/>
      </c>
      <c r="I22" s="16">
        <f>IF(I$2=$B$31,((I15/$B$32)/(1+$B$6))*(1-$B$33),0)</f>
        <v/>
      </c>
      <c r="J22" s="16">
        <f>IF(J$2=$B$31,((J15/$B$32)/(1+$B$6))*(1-$B$33),0)</f>
        <v/>
      </c>
      <c r="K22" s="16">
        <f>IF(K$2=$B$31,((K15/$B$32)/(1+$B$6))*(1-$B$33),0)</f>
        <v/>
      </c>
      <c r="L22" s="16">
        <f>IF(L$2=$B$31,((L15/$B$32)/(1+$B$6))*(1-$B$33),0)</f>
        <v/>
      </c>
    </row>
    <row r="23">
      <c r="D23" s="18" t="inlineStr">
        <is>
          <t>CASH FLOW</t>
        </is>
      </c>
      <c r="E23" s="23">
        <f>-$B$38</f>
        <v/>
      </c>
      <c r="F23" s="23">
        <f>IF(F$2&lt;=$B$31,F15-F16-F17-F18-F19-F20-F21+F22,0)</f>
        <v/>
      </c>
      <c r="G23" s="23">
        <f>IF(G$2&lt;=$B$31,G15-G16-G17-G18-G19-G20-G21+G22,0)</f>
        <v/>
      </c>
      <c r="H23" s="23">
        <f>IF(H$2&lt;=$B$31,H15-H16-H17-H18-H19-H20-H21+H22,0)</f>
        <v/>
      </c>
      <c r="I23" s="23">
        <f>IF(I$2&lt;=$B$31,I15-I16-I17-I18-I19-I20-I21+I22,0)</f>
        <v/>
      </c>
      <c r="J23" s="23">
        <f>IF(J$2&lt;=$B$31,J15-J16-J17-J18-J19-J20-J21+J22,0)</f>
        <v/>
      </c>
      <c r="K23" s="23">
        <f>IF(K$2&lt;=$B$31,K15-K16-K17-K18-K19-K20-K21+K22,0)</f>
        <v/>
      </c>
      <c r="L23" s="23">
        <f>IF(L$2&lt;=$B$31,L15-L16-L17-L18-L19-L20-L21+L22,0)</f>
        <v/>
      </c>
    </row>
    <row r="24">
      <c r="A24" s="5" t="inlineStr">
        <is>
          <t>3. TRAVAUX</t>
        </is>
      </c>
      <c r="B24" s="6" t="n"/>
      <c r="D24" s="18" t="inlineStr">
        <is>
          <t>CF actualisés</t>
        </is>
      </c>
      <c r="E24" s="23">
        <f>E23/(1+$B$40)^E$2</f>
        <v/>
      </c>
      <c r="F24" s="23">
        <f>F23/(1+$B$40)^F$2</f>
        <v/>
      </c>
      <c r="G24" s="23">
        <f>G23/(1+$B$40)^G$2</f>
        <v/>
      </c>
      <c r="H24" s="23">
        <f>H23/(1+$B$40)^H$2</f>
        <v/>
      </c>
      <c r="I24" s="23">
        <f>I23/(1+$B$40)^I$2</f>
        <v/>
      </c>
      <c r="J24" s="23">
        <f>J23/(1+$B$40)^J$2</f>
        <v/>
      </c>
      <c r="K24" s="23">
        <f>K23/(1+$B$40)^K$2</f>
        <v/>
      </c>
      <c r="L24" s="23">
        <f>L23/(1+$B$40)^L$2</f>
        <v/>
      </c>
    </row>
    <row r="25">
      <c r="A25" t="inlineStr">
        <is>
          <t>Surface à rénover (m²)</t>
        </is>
      </c>
      <c r="B25" s="14" t="n">
        <v>1000</v>
      </c>
      <c r="D25" s="7" t="inlineStr">
        <is>
          <t>ICR (loyers / intérêts)</t>
        </is>
      </c>
      <c r="E25" s="24" t="n"/>
      <c r="F25" s="24">
        <f>IF(F20=0,"n.a.",F15/F20)</f>
        <v/>
      </c>
      <c r="G25" s="24">
        <f>IF(G20=0,"n.a.",G15/G20)</f>
        <v/>
      </c>
      <c r="H25" s="24">
        <f>IF(H20=0,"n.a.",H15/H20)</f>
        <v/>
      </c>
      <c r="I25" s="24">
        <f>IF(I20=0,"n.a.",I15/I20)</f>
        <v/>
      </c>
      <c r="J25" s="24">
        <f>IF(J20=0,"n.a.",J15/J20)</f>
        <v/>
      </c>
      <c r="K25" s="24">
        <f>IF(K20=0,"n.a.",K15/K20)</f>
        <v/>
      </c>
      <c r="L25" s="24">
        <f>IF(L20=0,"n.a.",L15/L20)</f>
        <v/>
      </c>
    </row>
    <row r="26">
      <c r="A26" t="inlineStr">
        <is>
          <t>Capex rénovation (€ / m²)</t>
        </is>
      </c>
      <c r="B26" s="21" t="n">
        <v>330</v>
      </c>
    </row>
    <row r="27">
      <c r="A27" t="inlineStr">
        <is>
          <t>Capex complémentaires (€ global)</t>
        </is>
      </c>
      <c r="B27" s="10" t="n">
        <v>250000</v>
      </c>
      <c r="D27" s="18" t="inlineStr">
        <is>
          <t>VAN (fonds propres)</t>
        </is>
      </c>
      <c r="E27" s="25">
        <f>SUM(E24:L24)</f>
        <v/>
      </c>
    </row>
    <row r="28">
      <c r="A28" t="inlineStr">
        <is>
          <t>Capex total du programme</t>
        </is>
      </c>
      <c r="B28" s="13">
        <f>B25*B26+B27</f>
        <v/>
      </c>
      <c r="D28" s="18" t="inlineStr">
        <is>
          <t>TRI (fonds propres)</t>
        </is>
      </c>
      <c r="E28" s="26">
        <f>IRR(E23:L23)</f>
        <v/>
      </c>
    </row>
    <row r="29">
      <c r="E29" s="8" t="n"/>
    </row>
    <row r="30">
      <c r="A30" s="5" t="inlineStr">
        <is>
          <t>4. SORTIE</t>
        </is>
      </c>
      <c r="B30" s="6" t="n"/>
      <c r="D30" s="27" t="inlineStr">
        <is>
          <t>Contrôle — % surface relouée (doit être ≤ 100%)</t>
        </is>
      </c>
      <c r="E30" s="28">
        <f>SUM(F4:L4)</f>
        <v/>
      </c>
    </row>
    <row r="31">
      <c r="A31" t="inlineStr">
        <is>
          <t>Horizon de détention (années, max 7)</t>
        </is>
      </c>
      <c r="B31" s="29" t="n">
        <v>7</v>
      </c>
      <c r="D31" s="27" t="inlineStr">
        <is>
          <t>Contrôle — % capex engagé (doit être = 100%)</t>
        </is>
      </c>
      <c r="E31" s="28">
        <f>SUM(F5:L5)</f>
        <v/>
      </c>
    </row>
    <row r="32">
      <c r="A32" t="inlineStr">
        <is>
          <t>Taux de sortie AEM (%)</t>
        </is>
      </c>
      <c r="B32" s="11" t="n">
        <v>0.07099999999999999</v>
      </c>
      <c r="D32" s="27" t="inlineStr">
        <is>
          <t>Contrôle — horizon de détention (doit être entre 1 et 7)</t>
        </is>
      </c>
      <c r="E32" s="8">
        <f>IF(OR($B$31&gt;7,$B$31&lt;1),"ERREUR","OK")</f>
        <v/>
      </c>
    </row>
    <row r="33">
      <c r="A33" t="inlineStr">
        <is>
          <t>Broker fees investissement (%)</t>
        </is>
      </c>
      <c r="B33" s="11" t="n">
        <v>0.025</v>
      </c>
      <c r="D33" s="30" t="inlineStr">
        <is>
          <t>LÉGENDE</t>
        </is>
      </c>
    </row>
    <row r="34">
      <c r="D34" s="31" t="inlineStr">
        <is>
          <t>Bleu = à saisir par l'utilisateur</t>
        </is>
      </c>
    </row>
    <row r="35">
      <c r="A35" s="5" t="inlineStr">
        <is>
          <t>5. FINANCEMENT &amp; ACTUALISATION</t>
        </is>
      </c>
      <c r="B35" s="6" t="n"/>
      <c r="D35" s="27" t="inlineStr">
        <is>
          <t>Noir italique = calculé, ne pas écraser</t>
        </is>
      </c>
    </row>
    <row r="36">
      <c r="A36" t="inlineStr">
        <is>
          <t>LTV (%)</t>
        </is>
      </c>
      <c r="B36" s="11" t="n">
        <v>0.5</v>
      </c>
    </row>
    <row r="37">
      <c r="A37" t="inlineStr">
        <is>
          <t>Dette (in fine)</t>
        </is>
      </c>
      <c r="B37" s="13">
        <f>(B7+B8)*B36</f>
        <v/>
      </c>
    </row>
    <row r="38">
      <c r="A38" t="inlineStr">
        <is>
          <t>Fonds propres investis</t>
        </is>
      </c>
      <c r="B38" s="13">
        <f>(B7+B8)-B37</f>
        <v/>
      </c>
    </row>
    <row r="39">
      <c r="A39" t="inlineStr">
        <is>
          <t>Taux d'intérêt financier (%)</t>
        </is>
      </c>
      <c r="B39" s="11" t="n">
        <v>0.045</v>
      </c>
    </row>
    <row r="40">
      <c r="A40" t="inlineStr">
        <is>
          <t>Taux d'actualisation des fonds propres (%)</t>
        </is>
      </c>
      <c r="B40" s="11" t="n">
        <v>0.08</v>
      </c>
    </row>
    <row r="42">
      <c r="A42" s="5" t="inlineStr">
        <is>
          <t>6. RENDEMENTS DE CONTRÔLE</t>
        </is>
      </c>
      <c r="B42" s="6" t="n"/>
    </row>
    <row r="43">
      <c r="A43" t="inlineStr">
        <is>
          <t>Rendement initial AEM sur loyer actuel</t>
        </is>
      </c>
      <c r="B43" s="20">
        <f>B14/(B7+B8)</f>
        <v/>
      </c>
    </row>
    <row r="44">
      <c r="A44" t="inlineStr">
        <is>
          <t>Rendement potentiel AEM sur VLM (100% loué)</t>
        </is>
      </c>
      <c r="B44" s="20">
        <f>(B9*B19)/(B7+B8)</f>
        <v/>
      </c>
    </row>
  </sheetData>
  <conditionalFormatting sqref="E30">
    <cfRule type="cellIs" priority="1" operator="greaterThan" dxfId="0">
      <formula>1</formula>
    </cfRule>
  </conditionalFormatting>
  <conditionalFormatting sqref="E31">
    <cfRule type="cellIs" priority="2" operator="notEqual" dxfId="0">
      <formula>1</formula>
    </cfRule>
  </conditionalFormatting>
  <dataValidations count="1">
    <dataValidation sqref="B31" showDropDown="0" showInputMessage="1" showErrorMessage="1" allowBlank="0" errorTitle="Horizon invalide" error="L'horizon doit être compris entre 1 et 7. Au-delà, aucune cession n'est simulée et la VAN devient fausse." promptTitle="Horizon de détention" prompt="Entre 1 et 7 années." type="whole" operator="between">
      <formula1>1</formula1>
      <formula2>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 ht="26" customHeight="1">
      <c r="A1" s="32" t="inlineStr">
        <is>
          <t>MATRICE DCF IMMOBILIER — MÉTHODE, CONVENTIONS ET LIMITES</t>
        </is>
      </c>
      <c r="B1" s="32" t="n"/>
    </row>
    <row r="2">
      <c r="A2" s="33" t="inlineStr">
        <is>
          <t>À lire avant d'utiliser le modèle ou d'en discuter les résultats.</t>
        </is>
      </c>
    </row>
    <row r="4" ht="20" customHeight="1">
      <c r="A4" s="34" t="inlineStr">
        <is>
          <t xml:space="preserve">  1. CE QUE LE MODÈLE CALCULE</t>
        </is>
      </c>
      <c r="B4" s="34" t="n"/>
    </row>
    <row r="5" ht="58" customHeight="1">
      <c r="A5" s="35" t="inlineStr">
        <is>
          <t>Flux de fonds propres</t>
        </is>
      </c>
      <c r="B5" s="36" t="inlineStr">
        <is>
          <t>Le tableau produit les flux revenant à l'investisseur, nets d'intérêts et de remboursement de dette. Le flux de la période 0 est donc l'apport en fonds propres, pas le prix d'acquisition. Les trois lignes « Rappel acquisition » affichées dans cette colonne ne sont pas des flux : elles rappellent la décomposition du prix.</t>
        </is>
      </c>
    </row>
    <row r="6" ht="58" customHeight="1">
      <c r="A6" s="35" t="inlineStr">
        <is>
          <t>Taux d'actualisation</t>
        </is>
      </c>
      <c r="B6" s="36" t="inlineStr">
        <is>
          <t>Il porte sur des flux de fonds propres et doit rester nettement supérieur au taux de la dette. La valeur par défaut est de 8 %. L'aligner sur le taux d'intérêt reviendrait à rémunérer les fonds propres comme de la dette : la VAN serait mécaniquement gonflée, d'un facteur 2 à 3 dans un cas courant.</t>
        </is>
      </c>
    </row>
    <row r="7" ht="42" customHeight="1">
      <c r="A7" s="35" t="inlineStr">
        <is>
          <t>Prix de cession</t>
        </is>
      </c>
      <c r="B7" s="36" t="inlineStr">
        <is>
          <t>Le loyer de sortie est capitalisé au taux AEM, converti en prix hors droits, puis net des honoraires d'investissement. C'est bien un net vendeur.</t>
        </is>
      </c>
    </row>
    <row r="9" ht="20" customHeight="1">
      <c r="A9" s="34" t="inlineStr">
        <is>
          <t xml:space="preserve">  2. CONVENTIONS RETENUES, ET CE QU'ELLES COÛTENT</t>
        </is>
      </c>
      <c r="B9" s="34" t="n"/>
    </row>
    <row r="10" ht="58" customHeight="1">
      <c r="A10" s="35" t="inlineStr">
        <is>
          <t>Loyer capitalisé à la sortie</t>
        </is>
      </c>
      <c r="B10" s="36" t="inlineStr">
        <is>
          <t>Le prix de cession capitalise le loyer de la dernière année de détention, et non celui de l'année suivante. Convention volontairement prudente : elle minore la valeur de sortie d'environ une année d'indexation, soit de l'ordre de 2,5 % sur un horizon de 7 ans.</t>
        </is>
      </c>
    </row>
    <row r="11" ht="58" customHeight="1">
      <c r="A11" s="35" t="inlineStr">
        <is>
          <t>Relocation des surfaces</t>
        </is>
      </c>
      <c r="B11" s="36" t="inlineStr">
        <is>
          <t>Les surfaces sont supposées relouées au premier jour de la période. Sur une période donnée, chaque m² est donc soit producteur de loyer, soit porteur d'un coût de vacance, jamais les deux et jamais aucun des deux. La convention est cohérente, mais optimiste : une relocation étalée dans l'année produirait un flux inférieur.</t>
        </is>
      </c>
    </row>
    <row r="12" ht="42" customHeight="1">
      <c r="A12" s="35" t="inlineStr">
        <is>
          <t>Franchise</t>
        </is>
      </c>
      <c r="B12" s="36" t="inlineStr">
        <is>
          <t>Calculée sur le loyer de marché indexé de la période de relocation, cohérente avec le loyer qu'elle vient réduire.</t>
        </is>
      </c>
    </row>
    <row r="13" ht="58" customHeight="1">
      <c r="A13" s="35" t="inlineStr">
        <is>
          <t>ICR</t>
        </is>
      </c>
      <c r="B13" s="36" t="inlineStr">
        <is>
          <t>Le ratio affiché rapporte les loyers bruts aux intérêts. Une banque raisonne sur un revenu net de vacance, de franchise et d'honoraires de commercialisation : le ratio affiché ici est donc supérieur à celui d'un dossier bancaire, d'environ 0,2 à 0,3 point.</t>
        </is>
      </c>
    </row>
    <row r="14" ht="42" customHeight="1">
      <c r="A14" s="35" t="inlineStr">
        <is>
          <t>Dette</t>
        </is>
      </c>
      <c r="B14" s="36" t="inlineStr">
        <is>
          <t>In fine. Intérêts constants sur toute la durée de détention, capital remboursé en une fois l'année de la cession.</t>
        </is>
      </c>
    </row>
    <row r="16" ht="20" customHeight="1">
      <c r="A16" s="34" t="inlineStr">
        <is>
          <t xml:space="preserve">  3. CE QUE CE MODÈLE NE FAIT PAS</t>
        </is>
      </c>
      <c r="B16" s="34" t="n"/>
    </row>
    <row r="17" ht="32" customHeight="1">
      <c r="A17" s="36" t="inlineStr">
        <is>
          <t>— Il ne gère aucune échéance de bail : le loyer en place est supposé courir et s'indexer sur tout l'horizon, sans break ni expiration. Sur un actif tertiaire, c'est la simplification la plus lourde du modèle.</t>
        </is>
      </c>
      <c r="B17" s="36" t="n"/>
    </row>
    <row r="18" ht="32" customHeight="1">
      <c r="A18" s="36" t="inlineStr">
        <is>
          <t>— Il n'intègre ni fiscalité, ni impôt sur les sociétés, ni frais de structure ou d'asset management.</t>
        </is>
      </c>
      <c r="B18" s="36" t="n"/>
    </row>
    <row r="19" ht="32" customHeight="1">
      <c r="A19" s="36" t="inlineStr">
        <is>
          <t>— Il ne traite ni les baux à paliers, ni les loyers variables, ni le détail des refacturations de charges.</t>
        </is>
      </c>
      <c r="B19" s="36" t="n"/>
    </row>
    <row r="20" ht="32" customHeight="1">
      <c r="A20" s="36" t="inlineStr">
        <is>
          <t>— Il ne remplace pas une due diligence : état locatif réel, audit technique, urbanisme et environnement restent hors champ.</t>
        </is>
      </c>
      <c r="B20" s="36" t="n"/>
    </row>
    <row r="21" ht="32" customHeight="1">
      <c r="A21" s="36" t="inlineStr">
        <is>
          <t>— L'horizon est limité à 7 périodes. Au-delà, aucune cession n'est simulée : la saisie est bloquée et un contrôle le signale.</t>
        </is>
      </c>
      <c r="B21" s="36" t="n"/>
    </row>
    <row r="24">
      <c r="A24" s="33" t="inlineStr">
        <is>
          <t>Modèle d'aide à la décision : ne constitue ni un conseil en investissement, ni un conseil fiscal. Vérifiez les paramètres avant tout engagement.</t>
        </is>
      </c>
    </row>
  </sheetData>
  <mergeCells count="9">
    <mergeCell ref="A4:B4"/>
    <mergeCell ref="A20:B20"/>
    <mergeCell ref="A21:B21"/>
    <mergeCell ref="A16:B16"/>
    <mergeCell ref="A19:B19"/>
    <mergeCell ref="A1:B1"/>
    <mergeCell ref="A17:B17"/>
    <mergeCell ref="A9:B9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Gaël COLIN</dc:creator>
  <dcterms:created xsi:type="dcterms:W3CDTF">2026-08-26T12:46:50Z</dcterms:created>
  <dcterms:modified xsi:type="dcterms:W3CDTF">2026-08-26T14:27:33Z</dcterms:modified>
  <cp:lastModifiedBy>Gaël COLIN</cp:lastModifiedBy>
</cp:coreProperties>
</file>