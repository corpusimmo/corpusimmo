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EAC6646A-366B-447D-9EAF-95A115C0B9E3}"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Rent roll" sheetId="2" r:id="rId2"/>
    <sheet name="Synthèse" sheetId="3" r:id="rId3"/>
    <sheet name="Échéancier" sheetId="4" r:id="rId4"/>
    <sheet name="Paramètres" sheetId="5" r:id="rId5"/>
    <sheet name="Méthode" sheetId="6" r:id="rId6"/>
  </sheets>
  <definedNames>
    <definedName name="_xlnm._FilterDatabase" localSheetId="1" hidden="1">'Rent roll'!$B$10:$X$50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1" i="6" l="1"/>
  <c r="C50" i="6"/>
  <c r="C49" i="6"/>
  <c r="C48" i="6"/>
  <c r="C45" i="6"/>
  <c r="C42" i="6"/>
  <c r="C41" i="6"/>
  <c r="C40" i="6"/>
  <c r="C37" i="6"/>
  <c r="C36" i="6"/>
  <c r="C35" i="6"/>
  <c r="C34" i="6"/>
  <c r="C33" i="6"/>
  <c r="C20" i="6"/>
  <c r="D23" i="5"/>
  <c r="D20" i="5"/>
  <c r="D19" i="5"/>
  <c r="D18" i="5"/>
  <c r="D12" i="5"/>
  <c r="D11" i="5"/>
  <c r="D10" i="5"/>
  <c r="D9" i="5"/>
  <c r="D8" i="5"/>
  <c r="B11" i="4"/>
  <c r="C12" i="3"/>
  <c r="W50" i="2"/>
  <c r="V50" i="2"/>
  <c r="X50" i="2" s="1"/>
  <c r="T50" i="2"/>
  <c r="Q50" i="2"/>
  <c r="U50" i="2" s="1"/>
  <c r="J50" i="2"/>
  <c r="H50" i="2"/>
  <c r="W49" i="2"/>
  <c r="V49" i="2"/>
  <c r="X49" i="2" s="1"/>
  <c r="T49" i="2"/>
  <c r="Q49" i="2"/>
  <c r="U49" i="2" s="1"/>
  <c r="J49" i="2"/>
  <c r="H49" i="2"/>
  <c r="W48" i="2"/>
  <c r="V48" i="2"/>
  <c r="X48" i="2" s="1"/>
  <c r="T48" i="2"/>
  <c r="Q48" i="2"/>
  <c r="U48" i="2" s="1"/>
  <c r="J48" i="2"/>
  <c r="H48" i="2"/>
  <c r="W47" i="2"/>
  <c r="V47" i="2"/>
  <c r="X47" i="2" s="1"/>
  <c r="T47" i="2"/>
  <c r="Q47" i="2"/>
  <c r="U47" i="2" s="1"/>
  <c r="J47" i="2"/>
  <c r="H47" i="2"/>
  <c r="W46" i="2"/>
  <c r="V46" i="2"/>
  <c r="X46" i="2" s="1"/>
  <c r="T46" i="2"/>
  <c r="Q46" i="2"/>
  <c r="U46" i="2" s="1"/>
  <c r="J46" i="2"/>
  <c r="H46" i="2"/>
  <c r="W45" i="2"/>
  <c r="V45" i="2"/>
  <c r="X45" i="2" s="1"/>
  <c r="T45" i="2"/>
  <c r="Q45" i="2"/>
  <c r="U45" i="2" s="1"/>
  <c r="J45" i="2"/>
  <c r="H45" i="2"/>
  <c r="W44" i="2"/>
  <c r="V44" i="2"/>
  <c r="X44" i="2" s="1"/>
  <c r="T44" i="2"/>
  <c r="Q44" i="2"/>
  <c r="U44" i="2" s="1"/>
  <c r="J44" i="2"/>
  <c r="H44" i="2"/>
  <c r="W43" i="2"/>
  <c r="V43" i="2"/>
  <c r="X43" i="2" s="1"/>
  <c r="T43" i="2"/>
  <c r="Q43" i="2"/>
  <c r="U43" i="2" s="1"/>
  <c r="J43" i="2"/>
  <c r="H43" i="2"/>
  <c r="W42" i="2"/>
  <c r="V42" i="2"/>
  <c r="X42" i="2" s="1"/>
  <c r="T42" i="2"/>
  <c r="Q42" i="2"/>
  <c r="U42" i="2" s="1"/>
  <c r="J42" i="2"/>
  <c r="H42" i="2"/>
  <c r="W41" i="2"/>
  <c r="V41" i="2"/>
  <c r="X41" i="2" s="1"/>
  <c r="T41" i="2"/>
  <c r="Q41" i="2"/>
  <c r="U41" i="2" s="1"/>
  <c r="J41" i="2"/>
  <c r="H41" i="2"/>
  <c r="W40" i="2"/>
  <c r="V40" i="2"/>
  <c r="X40" i="2" s="1"/>
  <c r="T40" i="2"/>
  <c r="Q40" i="2"/>
  <c r="U40" i="2" s="1"/>
  <c r="J40" i="2"/>
  <c r="H40" i="2"/>
  <c r="W39" i="2"/>
  <c r="V39" i="2"/>
  <c r="X39" i="2" s="1"/>
  <c r="T39" i="2"/>
  <c r="Q39" i="2"/>
  <c r="U39" i="2" s="1"/>
  <c r="J39" i="2"/>
  <c r="H39" i="2"/>
  <c r="W38" i="2"/>
  <c r="V38" i="2"/>
  <c r="X38" i="2" s="1"/>
  <c r="T38" i="2"/>
  <c r="Q38" i="2"/>
  <c r="U38" i="2" s="1"/>
  <c r="J38" i="2"/>
  <c r="H38" i="2"/>
  <c r="W37" i="2"/>
  <c r="V37" i="2"/>
  <c r="X37" i="2" s="1"/>
  <c r="T37" i="2"/>
  <c r="Q37" i="2"/>
  <c r="U37" i="2" s="1"/>
  <c r="J37" i="2"/>
  <c r="H37" i="2"/>
  <c r="W36" i="2"/>
  <c r="V36" i="2"/>
  <c r="X36" i="2" s="1"/>
  <c r="T36" i="2"/>
  <c r="Q36" i="2"/>
  <c r="U36" i="2" s="1"/>
  <c r="J36" i="2"/>
  <c r="H36" i="2"/>
  <c r="W35" i="2"/>
  <c r="V35" i="2"/>
  <c r="X35" i="2" s="1"/>
  <c r="T35" i="2"/>
  <c r="Q35" i="2"/>
  <c r="U35" i="2" s="1"/>
  <c r="J35" i="2"/>
  <c r="H35" i="2"/>
  <c r="W34" i="2"/>
  <c r="V34" i="2"/>
  <c r="X34" i="2" s="1"/>
  <c r="T34" i="2"/>
  <c r="Q34" i="2"/>
  <c r="U34" i="2" s="1"/>
  <c r="J34" i="2"/>
  <c r="H34" i="2"/>
  <c r="W33" i="2"/>
  <c r="V33" i="2"/>
  <c r="X33" i="2" s="1"/>
  <c r="T33" i="2"/>
  <c r="Q33" i="2"/>
  <c r="U33" i="2" s="1"/>
  <c r="J33" i="2"/>
  <c r="H33" i="2"/>
  <c r="W32" i="2"/>
  <c r="V32" i="2"/>
  <c r="X32" i="2" s="1"/>
  <c r="T32" i="2"/>
  <c r="Q32" i="2"/>
  <c r="U32" i="2" s="1"/>
  <c r="J32" i="2"/>
  <c r="H32" i="2"/>
  <c r="W31" i="2"/>
  <c r="V31" i="2"/>
  <c r="X31" i="2" s="1"/>
  <c r="T31" i="2"/>
  <c r="Q31" i="2"/>
  <c r="U31" i="2" s="1"/>
  <c r="J31" i="2"/>
  <c r="H31" i="2"/>
  <c r="W30" i="2"/>
  <c r="V30" i="2"/>
  <c r="X30" i="2" s="1"/>
  <c r="T30" i="2"/>
  <c r="Q30" i="2"/>
  <c r="U30" i="2" s="1"/>
  <c r="J30" i="2"/>
  <c r="H30" i="2"/>
  <c r="W29" i="2"/>
  <c r="V29" i="2"/>
  <c r="X29" i="2" s="1"/>
  <c r="T29" i="2"/>
  <c r="Q29" i="2"/>
  <c r="U29" i="2" s="1"/>
  <c r="J29" i="2"/>
  <c r="H29" i="2"/>
  <c r="W28" i="2"/>
  <c r="V28" i="2"/>
  <c r="X28" i="2" s="1"/>
  <c r="T28" i="2"/>
  <c r="Q28" i="2"/>
  <c r="U28" i="2" s="1"/>
  <c r="J28" i="2"/>
  <c r="H28" i="2"/>
  <c r="W27" i="2"/>
  <c r="V27" i="2"/>
  <c r="X27" i="2" s="1"/>
  <c r="T27" i="2"/>
  <c r="Q27" i="2"/>
  <c r="U27" i="2" s="1"/>
  <c r="J27" i="2"/>
  <c r="H27" i="2"/>
  <c r="W26" i="2"/>
  <c r="V26" i="2"/>
  <c r="X26" i="2" s="1"/>
  <c r="T26" i="2"/>
  <c r="Q26" i="2"/>
  <c r="U26" i="2" s="1"/>
  <c r="J26" i="2"/>
  <c r="H26" i="2"/>
  <c r="W25" i="2"/>
  <c r="V25" i="2"/>
  <c r="X25" i="2" s="1"/>
  <c r="T25" i="2"/>
  <c r="Q25" i="2"/>
  <c r="U25" i="2" s="1"/>
  <c r="J25" i="2"/>
  <c r="H25" i="2"/>
  <c r="W24" i="2"/>
  <c r="V24" i="2"/>
  <c r="X24" i="2" s="1"/>
  <c r="T24" i="2"/>
  <c r="Q24" i="2"/>
  <c r="U24" i="2" s="1"/>
  <c r="J24" i="2"/>
  <c r="H24" i="2"/>
  <c r="W23" i="2"/>
  <c r="V23" i="2"/>
  <c r="X23" i="2" s="1"/>
  <c r="T23" i="2"/>
  <c r="Q23" i="2"/>
  <c r="U23" i="2" s="1"/>
  <c r="J23" i="2"/>
  <c r="H23" i="2"/>
  <c r="W22" i="2"/>
  <c r="V22" i="2"/>
  <c r="X22" i="2" s="1"/>
  <c r="T22" i="2"/>
  <c r="Q22" i="2"/>
  <c r="U22" i="2" s="1"/>
  <c r="J22" i="2"/>
  <c r="H22" i="2"/>
  <c r="W21" i="2"/>
  <c r="V21" i="2"/>
  <c r="X21" i="2" s="1"/>
  <c r="T21" i="2"/>
  <c r="Q21" i="2"/>
  <c r="U21" i="2" s="1"/>
  <c r="J21" i="2"/>
  <c r="H21" i="2"/>
  <c r="W20" i="2"/>
  <c r="V20" i="2"/>
  <c r="X20" i="2" s="1"/>
  <c r="T20" i="2"/>
  <c r="Q20" i="2"/>
  <c r="U20" i="2" s="1"/>
  <c r="J20" i="2"/>
  <c r="H20" i="2"/>
  <c r="W19" i="2"/>
  <c r="V19" i="2"/>
  <c r="X19" i="2" s="1"/>
  <c r="T19" i="2"/>
  <c r="Q19" i="2"/>
  <c r="U19" i="2" s="1"/>
  <c r="J19" i="2"/>
  <c r="H19" i="2"/>
  <c r="W18" i="2"/>
  <c r="V18" i="2"/>
  <c r="X18" i="2" s="1"/>
  <c r="T18" i="2"/>
  <c r="Q18" i="2"/>
  <c r="U18" i="2" s="1"/>
  <c r="J18" i="2"/>
  <c r="H18" i="2"/>
  <c r="W17" i="2"/>
  <c r="V17" i="2"/>
  <c r="T17" i="2"/>
  <c r="Q17" i="2"/>
  <c r="U17" i="2" s="1"/>
  <c r="J17" i="2"/>
  <c r="H17" i="2"/>
  <c r="W16" i="2"/>
  <c r="V16" i="2"/>
  <c r="T16" i="2"/>
  <c r="Q16" i="2"/>
  <c r="U16" i="2" s="1"/>
  <c r="J16" i="2"/>
  <c r="H16" i="2"/>
  <c r="W15" i="2"/>
  <c r="V15" i="2"/>
  <c r="X15" i="2" s="1"/>
  <c r="T15" i="2"/>
  <c r="Q15" i="2"/>
  <c r="U15" i="2" s="1"/>
  <c r="J15" i="2"/>
  <c r="H15" i="2"/>
  <c r="W14" i="2"/>
  <c r="V14" i="2"/>
  <c r="X14" i="2" s="1"/>
  <c r="T14" i="2"/>
  <c r="Q14" i="2"/>
  <c r="U14" i="2" s="1"/>
  <c r="J14" i="2"/>
  <c r="H14" i="2"/>
  <c r="W13" i="2"/>
  <c r="V13" i="2"/>
  <c r="X13" i="2" s="1"/>
  <c r="T13" i="2"/>
  <c r="Q13" i="2"/>
  <c r="U13" i="2" s="1"/>
  <c r="J13" i="2"/>
  <c r="H13" i="2"/>
  <c r="W12" i="2"/>
  <c r="V12" i="2"/>
  <c r="X12" i="2" s="1"/>
  <c r="T12" i="2"/>
  <c r="Q12" i="2"/>
  <c r="U12" i="2" s="1"/>
  <c r="J12" i="2"/>
  <c r="H12" i="2"/>
  <c r="W11" i="2"/>
  <c r="V11" i="2"/>
  <c r="E10" i="4" s="1"/>
  <c r="T11" i="2"/>
  <c r="Q11" i="2"/>
  <c r="U11" i="2" s="1"/>
  <c r="J11" i="2"/>
  <c r="H11" i="2"/>
  <c r="X16" i="2" l="1"/>
  <c r="L29" i="2"/>
  <c r="S29" i="2"/>
  <c r="K29" i="2"/>
  <c r="K18" i="2"/>
  <c r="S18" i="2"/>
  <c r="L18" i="2"/>
  <c r="B12" i="4"/>
  <c r="H11" i="4"/>
  <c r="F11" i="4"/>
  <c r="E11" i="4"/>
  <c r="C11" i="4"/>
  <c r="K50" i="2"/>
  <c r="L50" i="2"/>
  <c r="S50" i="2"/>
  <c r="L49" i="2"/>
  <c r="K49" i="2"/>
  <c r="S49" i="2"/>
  <c r="L48" i="2"/>
  <c r="K48" i="2"/>
  <c r="S48" i="2"/>
  <c r="S47" i="2"/>
  <c r="L47" i="2"/>
  <c r="K47" i="2"/>
  <c r="K46" i="2"/>
  <c r="L46" i="2"/>
  <c r="S46" i="2"/>
  <c r="S45" i="2"/>
  <c r="L45" i="2"/>
  <c r="K45" i="2"/>
  <c r="S44" i="2"/>
  <c r="K44" i="2"/>
  <c r="L44" i="2"/>
  <c r="S43" i="2"/>
  <c r="L43" i="2"/>
  <c r="K43" i="2"/>
  <c r="K42" i="2"/>
  <c r="S42" i="2"/>
  <c r="L42" i="2"/>
  <c r="L41" i="2"/>
  <c r="S41" i="2"/>
  <c r="K41" i="2"/>
  <c r="K40" i="2"/>
  <c r="S40" i="2"/>
  <c r="L40" i="2"/>
  <c r="L39" i="2"/>
  <c r="K39" i="2"/>
  <c r="S39" i="2"/>
  <c r="S38" i="2"/>
  <c r="L38" i="2"/>
  <c r="K38" i="2"/>
  <c r="K37" i="2"/>
  <c r="S37" i="2"/>
  <c r="L37" i="2"/>
  <c r="K36" i="2"/>
  <c r="S36" i="2"/>
  <c r="L36" i="2"/>
  <c r="K35" i="2"/>
  <c r="L35" i="2"/>
  <c r="S35" i="2"/>
  <c r="K34" i="2"/>
  <c r="S34" i="2"/>
  <c r="L34" i="2"/>
  <c r="L33" i="2"/>
  <c r="K33" i="2"/>
  <c r="S33" i="2"/>
  <c r="K32" i="2"/>
  <c r="L32" i="2"/>
  <c r="S32" i="2"/>
  <c r="L31" i="2"/>
  <c r="S31" i="2"/>
  <c r="K31" i="2"/>
  <c r="S30" i="2"/>
  <c r="L30" i="2"/>
  <c r="K30" i="2"/>
  <c r="S28" i="2"/>
  <c r="L28" i="2"/>
  <c r="K28" i="2"/>
  <c r="S27" i="2"/>
  <c r="L27" i="2"/>
  <c r="K27" i="2"/>
  <c r="L26" i="2"/>
  <c r="S26" i="2"/>
  <c r="K26" i="2"/>
  <c r="S25" i="2"/>
  <c r="K25" i="2"/>
  <c r="L25" i="2"/>
  <c r="K24" i="2"/>
  <c r="S24" i="2"/>
  <c r="L24" i="2"/>
  <c r="S23" i="2"/>
  <c r="L23" i="2"/>
  <c r="K23" i="2"/>
  <c r="L22" i="2"/>
  <c r="K22" i="2"/>
  <c r="S22" i="2"/>
  <c r="S21" i="2"/>
  <c r="L21" i="2"/>
  <c r="K21" i="2"/>
  <c r="L20" i="2"/>
  <c r="K20" i="2"/>
  <c r="S20" i="2"/>
  <c r="S19" i="2"/>
  <c r="L19" i="2"/>
  <c r="K19" i="2"/>
  <c r="X17" i="2"/>
  <c r="H10" i="4"/>
  <c r="S17" i="2"/>
  <c r="K17" i="2"/>
  <c r="L17" i="2"/>
  <c r="L16" i="2"/>
  <c r="S16" i="2"/>
  <c r="K16" i="2"/>
  <c r="S15" i="2"/>
  <c r="K15" i="2"/>
  <c r="L15" i="2"/>
  <c r="K14" i="2"/>
  <c r="L14" i="2"/>
  <c r="S14" i="2"/>
  <c r="L13" i="2"/>
  <c r="K13" i="2"/>
  <c r="S13" i="2"/>
  <c r="S12" i="2"/>
  <c r="L12" i="2"/>
  <c r="K12" i="2"/>
  <c r="C10" i="3"/>
  <c r="C15" i="3"/>
  <c r="C17" i="3"/>
  <c r="C35" i="3"/>
  <c r="C16" i="3"/>
  <c r="C19" i="3"/>
  <c r="X11" i="2"/>
  <c r="C20" i="3"/>
  <c r="C24" i="3"/>
  <c r="C34" i="3"/>
  <c r="C7" i="3" s="1"/>
  <c r="C8" i="2" s="1"/>
  <c r="C36" i="3"/>
  <c r="C10" i="4"/>
  <c r="C37" i="3"/>
  <c r="F10" i="4"/>
  <c r="K11" i="2"/>
  <c r="S11" i="2"/>
  <c r="C25" i="3" s="1"/>
  <c r="L11" i="2"/>
  <c r="C12" i="4" l="1"/>
  <c r="E12" i="4"/>
  <c r="F12" i="4"/>
  <c r="G12" i="4" s="1"/>
  <c r="I12" i="4" s="1"/>
  <c r="H12" i="4"/>
  <c r="B13" i="4"/>
  <c r="C21" i="3"/>
  <c r="C29" i="3"/>
  <c r="C30" i="3"/>
  <c r="C31" i="3"/>
  <c r="C8" i="3"/>
  <c r="C9" i="3"/>
  <c r="C26" i="3"/>
  <c r="C27" i="3" s="1"/>
  <c r="C38" i="3"/>
  <c r="C39" i="3"/>
  <c r="C45" i="3"/>
  <c r="C46" i="3"/>
  <c r="C47" i="3"/>
  <c r="C48" i="3" s="1"/>
  <c r="D10" i="4"/>
  <c r="G10" i="4"/>
  <c r="D11" i="4"/>
  <c r="G11" i="4"/>
  <c r="I11" i="4" s="1"/>
  <c r="C40" i="3"/>
  <c r="C41" i="3"/>
  <c r="I10" i="4"/>
  <c r="C18" i="3"/>
  <c r="C28" i="3"/>
  <c r="C42" i="3" l="1"/>
  <c r="C13" i="4"/>
  <c r="E13" i="4"/>
  <c r="F13" i="4"/>
  <c r="H13" i="4"/>
  <c r="B14" i="4"/>
  <c r="D12" i="4"/>
  <c r="G13" i="4" l="1"/>
  <c r="I13" i="4" s="1"/>
  <c r="C14" i="4"/>
  <c r="D14" i="4" s="1"/>
  <c r="E14" i="4"/>
  <c r="H14" i="4"/>
  <c r="B15" i="4"/>
  <c r="F14" i="4"/>
  <c r="D13" i="4"/>
  <c r="F15" i="4" l="1"/>
  <c r="H15" i="4"/>
  <c r="B16" i="4"/>
  <c r="C15" i="4"/>
  <c r="D15" i="4" s="1"/>
  <c r="E15" i="4"/>
  <c r="G14" i="4"/>
  <c r="I14" i="4" s="1"/>
  <c r="C16" i="4" l="1"/>
  <c r="D16" i="4" s="1"/>
  <c r="E16" i="4"/>
  <c r="F16" i="4"/>
  <c r="G16" i="4" s="1"/>
  <c r="I16" i="4" s="1"/>
  <c r="H16" i="4"/>
  <c r="B17" i="4"/>
  <c r="G15" i="4"/>
  <c r="I15" i="4" s="1"/>
  <c r="E17" i="4" l="1"/>
  <c r="H17" i="4"/>
  <c r="B18" i="4"/>
  <c r="C17" i="4"/>
  <c r="D17" i="4" s="1"/>
  <c r="F17" i="4"/>
  <c r="G17" i="4" s="1"/>
  <c r="I17" i="4" s="1"/>
  <c r="C18" i="4" l="1"/>
  <c r="D18" i="4" s="1"/>
  <c r="E18" i="4"/>
  <c r="F18" i="4"/>
  <c r="G18" i="4" s="1"/>
  <c r="I18" i="4" s="1"/>
  <c r="H18" i="4"/>
  <c r="B19" i="4"/>
  <c r="C19" i="4" l="1"/>
  <c r="D19" i="4" s="1"/>
  <c r="E19" i="4"/>
  <c r="F19" i="4"/>
  <c r="G19" i="4" s="1"/>
  <c r="I19" i="4" s="1"/>
  <c r="H19" i="4"/>
  <c r="B20" i="4"/>
  <c r="C20" i="4" l="1"/>
  <c r="D20" i="4" s="1"/>
  <c r="E20" i="4"/>
  <c r="F20" i="4"/>
  <c r="G20" i="4" s="1"/>
  <c r="I20" i="4" s="1"/>
  <c r="B21" i="4"/>
  <c r="H20" i="4"/>
  <c r="C21" i="4" l="1"/>
  <c r="D21" i="4" s="1"/>
  <c r="E21" i="4"/>
  <c r="F21" i="4"/>
  <c r="G21" i="4" s="1"/>
  <c r="I21" i="4" s="1"/>
  <c r="H21" i="4"/>
  <c r="B22" i="4"/>
  <c r="C22" i="4" l="1"/>
  <c r="D22" i="4" s="1"/>
  <c r="E22" i="4"/>
  <c r="F22" i="4"/>
  <c r="G22" i="4" s="1"/>
  <c r="I22" i="4" s="1"/>
  <c r="H22" i="4"/>
  <c r="B23" i="4"/>
  <c r="C23" i="4" l="1"/>
  <c r="D23" i="4" s="1"/>
  <c r="E23" i="4"/>
  <c r="F23" i="4"/>
  <c r="G23" i="4" s="1"/>
  <c r="I23" i="4" s="1"/>
  <c r="H23" i="4"/>
  <c r="B24" i="4"/>
  <c r="C24" i="4" l="1"/>
  <c r="D24" i="4" s="1"/>
  <c r="E24" i="4"/>
  <c r="F24" i="4"/>
  <c r="G24" i="4" s="1"/>
  <c r="I24" i="4" s="1"/>
  <c r="H24" i="4"/>
  <c r="B25" i="4"/>
  <c r="C25" i="4" l="1"/>
  <c r="D25" i="4" s="1"/>
  <c r="E25" i="4"/>
  <c r="F25" i="4"/>
  <c r="G25" i="4" s="1"/>
  <c r="I25" i="4" s="1"/>
  <c r="H25" i="4"/>
  <c r="B26" i="4"/>
  <c r="C26" i="4"/>
  <c r="E26" i="4"/>
  <c r="E27" i="4" s="1"/>
  <c r="F26" i="4"/>
  <c r="H26" i="4"/>
  <c r="H27" i="4" s="1"/>
  <c r="C27" i="4" l="1"/>
  <c r="D26" i="4"/>
  <c r="F27" i="4"/>
  <c r="G26" i="4"/>
  <c r="I26" i="4" s="1"/>
  <c r="C11" i="3" l="1"/>
  <c r="C28" i="4"/>
  <c r="D27" i="4"/>
  <c r="F28" i="4"/>
  <c r="G27" i="4"/>
</calcChain>
</file>

<file path=xl/sharedStrings.xml><?xml version="1.0" encoding="utf-8"?>
<sst xmlns="http://schemas.openxmlformats.org/spreadsheetml/2006/main" count="589" uniqueCount="504">
  <si>
    <t>CorpusImmo  ·  corpus.immo  ·  Estimer, comparer, décider. Sur les ventes réelles.</t>
  </si>
  <si>
    <t>Mode d'emploi</t>
  </si>
  <si>
    <t>À quoi sert ce classeur, dans quel ordre le remplir, et comment lire ce qu'il répond.</t>
  </si>
  <si>
    <t xml:space="preserve">  À QUOI SERT CE CLASSEUR</t>
  </si>
  <si>
    <t>Vous avez un immeuble et ses baux. Ce classeur répond à trois questions : combien il rapporte aujourd'hui, combien de temps ce revenu est sécurisé, et quand il se remet en jeu.</t>
  </si>
  <si>
    <t>Un rent roll, c'est l'état locatif d'un immeuble : une ligne par lot, avec son locataire, sa surface, son loyer et ses dates. À partir de là, le classeur calcule le WAULT et le WALB, les deux durées résiduelles que publient les foncières, le taux d'occupation physique et le taux d'occupation financier, la réversion, et l'échéancier des sorties année par année.</t>
  </si>
  <si>
    <t>Un seul onglet à remplir : Rent roll. Vous saisissez les cellules bleues, tout le reste se calcule. La Synthèse et l'Échéancier ne se saisissent pas, ils se lisent.</t>
  </si>
  <si>
    <t>Vous êtes</t>
  </si>
  <si>
    <t>Ce que le classeur vous donne</t>
  </si>
  <si>
    <t>Analyste investissement, acquéreur</t>
  </si>
  <si>
    <t>Le WALB (Synthèse!C39), la réversion, en euros (Synthèse!C30) et en part du loyer en place (Synthèse!C31), et l'année de pointe de l'échéancier : de quoi savoir si vous achetez un revenu ou un risque de relocation.</t>
  </si>
  <si>
    <t>Asset manager</t>
  </si>
  <si>
    <t>Les lots à traiter en priorité : ceux dont la sortie est proche (colonne Q du rent roll) et ceux dont le loyer est au-dessus du marché (colonne L).</t>
  </si>
  <si>
    <t>Property manager, gestionnaire</t>
  </si>
  <si>
    <t>Un état locatif tenu, avec un contrôle par ligne qui refuse une saisie incomplète au lieu de la compter à zéro (Rent roll!V11:V50).</t>
  </si>
  <si>
    <t>Broker, conseil en investissement</t>
  </si>
  <si>
    <t>Les chiffres du teaser : le loyer facial en place (Synthèse!C24), le taux d'occupation financier, le WAULT et le WALB au loyer facial, l'échéancier. Ceux que l'acquéreur vérifiera. Gardez le loyer économique (Synthèse!C25) pour la discussion de prix : c'est sur lui que se calcule un rendement.</t>
  </si>
  <si>
    <t>Banquier</t>
  </si>
  <si>
    <t>Le loyer sécurisé au-delà de la durée du prêt : l'échéancier (Échéancier!B10:I28) dit combien de loyer se remet en jeu chaque année, et sa dernière ligne recoupe le total avec le rent roll.</t>
  </si>
  <si>
    <t>Expert, évaluateur</t>
  </si>
  <si>
    <t>Le loyer facial et le loyer économique côte à côte (Synthèse!C24 et Synthèse!C25), et l'écart au marché lot par lot.</t>
  </si>
  <si>
    <t xml:space="preserve">  LE PRINCIPE, EN UNE LIGNE</t>
  </si>
  <si>
    <t>Le loyer de chaque bail, pondéré par le temps qui reste avant que le locataire puisse partir, divisé par le loyer total : c'est le WALB, la durée pendant laquelle le revenu est sécurisé. Le reste du classeur dit ce que vaut ce revenu aujourd'hui, ce qu'il vaudrait au marché, et quand il se remet en jeu</t>
  </si>
  <si>
    <t xml:space="preserve">  LES ONGLETS, DANS L'ORDRE OÙ ON LES REMPLIT</t>
  </si>
  <si>
    <t>Onglet</t>
  </si>
  <si>
    <t>Ce que vous y faites</t>
  </si>
  <si>
    <t>Ce que vous y lisez</t>
  </si>
  <si>
    <t>Rien à saisir. Vous lisez ce guide.</t>
  </si>
  <si>
    <t>La marche à suivre et l'exemple guidé.</t>
  </si>
  <si>
    <t>Rent roll</t>
  </si>
  <si>
    <t>Vous saisissez la date d'analyse en Rent roll!C7, puis un lot par ligne : nature, locataire, statut, surface, loyer, valeur locative, dates, périodicité de sortie, franchise.</t>
  </si>
  <si>
    <t>Par ligne : le loyer annuel, la valeur locative annuelle, la réversion, la prochaine sortie calculée, le loyer économique, les deux durées résiduelles, un contrôle et son motif.</t>
  </si>
  <si>
    <t>Synthèse</t>
  </si>
  <si>
    <t>Rien à saisir.</t>
  </si>
  <si>
    <t>Cinq blocs : les contrôles, les surfaces et l'occupation, les loyers et la réversion, les durées résiduelles, la concentration.</t>
  </si>
  <si>
    <t>Échéancier</t>
  </si>
  <si>
    <t>Le loyer qui se remet en jeu par année, au terme et à la sortie, avec les baux échus, l'au-delà de l'horizon, le total et son recoupement.</t>
  </si>
  <si>
    <t>Paramètres</t>
  </si>
  <si>
    <t>Rien, sauf à la mise à jour des indices et des seuils.</t>
  </si>
  <si>
    <t>Chaque valeur avec sa source datée et sa fréquence de mise à jour.</t>
  </si>
  <si>
    <t>Méthode</t>
  </si>
  <si>
    <t>Les conventions de calcul, ce que le modèle ne fait pas, les sources.</t>
  </si>
  <si>
    <t xml:space="preserve">  LE CODE COULEUR, ET COMMENT DÉVERROUILLER UNE CELLULE</t>
  </si>
  <si>
    <t>Cellule</t>
  </si>
  <si>
    <t>Ce que c'est</t>
  </si>
  <si>
    <t>Ce que vous faites</t>
  </si>
  <si>
    <t>Fond bleu ciel, texte bleu nuit</t>
  </si>
  <si>
    <t>Saisie utilisateur</t>
  </si>
  <si>
    <t>Vous la remplissez ou l'effacez (touche Suppr), même feuille protégée. Jamais de formule dedans.</t>
  </si>
  <si>
    <t>Fond blanc</t>
  </si>
  <si>
    <t>Calcul</t>
  </si>
  <si>
    <t>Vous la lisez. Elle est verrouillée.</t>
  </si>
  <si>
    <t>Fond presque blanc, texte bleu nuit en gras</t>
  </si>
  <si>
    <t>Résultat de bloc, chiffre clé</t>
  </si>
  <si>
    <t>Vous la lisez. C'est un chiffre à retenir.</t>
  </si>
  <si>
    <t>Bandeau bleu nuit</t>
  </si>
  <si>
    <t>Titre de section, en-tête de tableau</t>
  </si>
  <si>
    <t>Repère de navigation.</t>
  </si>
  <si>
    <t>Texte gris</t>
  </si>
  <si>
    <t>Commentaire d'aide, ordre de grandeur</t>
  </si>
  <si>
    <t>Une phrase par ligne pour savoir quoi saisir.</t>
  </si>
  <si>
    <t>Vert OK, rouge À CORRIGER</t>
  </si>
  <si>
    <t>Contrôle de cohérence</t>
  </si>
  <si>
    <t>Rouge : lisez la colonne W de la ligne concernée, ou la Synthèse, qui nomme la première ligne en cause.</t>
  </si>
  <si>
    <t>Les onglets sont protégés sans mot de passe pour éviter d'écraser une formule par erreur. Les cellules bleues restent modifiables et effaçables sans rien déverrouiller. N'ôtez la protection que pour toucher une cellule blanche, par l'onglet Révision, « Ôter la protection de la feuille ». Aucun mot de passe n'est demandé.</t>
  </si>
  <si>
    <t xml:space="preserve">  LA MARCHE À SUIVRE, ÉTAPE PAR ÉTAPE</t>
  </si>
  <si>
    <t>Étape</t>
  </si>
  <si>
    <t>Où (onglet et plage)</t>
  </si>
  <si>
    <t>Pourquoi</t>
  </si>
  <si>
    <t>0. L'exemple livré</t>
  </si>
  <si>
    <t>Rent roll!B11:G50, Rent roll!I11:I50, Rent roll!M11:P50, Rent roll!R11:R50, Rent roll!C7</t>
  </si>
  <si>
    <t>Le classeur est livré rempli d'un exemple : un immeuble de 1 755 m² avec sept lots. Gardez-le pour vous repérer, ou effacez les sept lignes de l'exemple avant de saisir votre immeuble. Les colonnes bleues d'une ligne ne sont pas contiguës : sélectionnez Rent roll!B11:G17, Rent roll!I11:I17, Rent roll!M11:P17 et Rent roll!R11:R17, en maintenant la touche Ctrl pour ajouter chaque bloc à la sélection, puis appuyez sur Suppr. Les colonnes H, J, K, L et Q sont des formules verrouillées : si vous les incluez dans la sélection, Excel refuse l'effacement entier et affiche un message de protection. Elles se videront d'elles-mêmes. Videz toujours une ligne de bail en entier : une ligne à demi effacée reste comptée comme renseignée, passe au rouge et bloque le contrôle d'ensemble. La grille accepte 40 baux, lignes 11 à 50 : pour ajouter un lot, servez-vous de la première ligne bleue libre, elles sont déjà prêtes et il n'y a aucune ligne à insérer. Vérifiez surtout les saisies facultatives, qui n'ont pas de raison d'être dans votre cas : la périodicité de sortie (Rent roll!O11:O50, à ne remplir que pour un bail ayant renoncé à ses triennales), la sortie forcée (Rent roll!P11:P50) et la franchise (Rent roll!R11:R50). Pendant que vous effacez, les contrôles passent au rouge et les totaux tombent : c'est normal, tout revient dès que la saisie est complète.</t>
  </si>
  <si>
    <t>Une saisie résiduelle de l'exemple est l'erreur la plus probable d'un premier usage, et les deux colonnes facultatives ne se trahissent pas de la même façon. Une périodicité de six ans héritée allonge le WALB et gonfle le loyer économique, parce que la franchise s'étale alors sur 72 mois au lieu de 36. Une franchise héritée, elle, ne touche pas au WALB, qui ne dépend que des dates : elle rabote le loyer économique. Trois mois hérités sur un lot à 119 700 € lui retirent 9 975 € par an. Dans les deux cas, aucun contrôle ne s'allume.</t>
  </si>
  <si>
    <t>1. La date d'analyse</t>
  </si>
  <si>
    <t>Rent roll!C7</t>
  </si>
  <si>
    <t>Tapez la date à laquelle vous photographiez l'immeuble, en vraie date au format jj/mm/aaaa. Le plus souvent la date d'un arrêté comptable, d'une offre ou d'un rapport d'expertise.</t>
  </si>
  <si>
    <t>Toutes les durées résiduelles, la prochaine sortie de chaque bail et la première année de l'échéancier en dépendent. C'est la seule cellule qui commande tout le classeur.</t>
  </si>
  <si>
    <t>2. Les lots et les locataires</t>
  </si>
  <si>
    <t>Rent roll!B11:E50</t>
  </si>
  <si>
    <t>Une ligne par lot : un libellé (obligatoire, il nomme la ligne dans les contrôles), la nature dans la liste, le nom du locataire, et le statut Loué ou Vacant. Laissez le locataire vide sur un lot vacant.</t>
  </si>
  <si>
    <t>Le statut remplace le test « la colonne locataire est-elle vide ». Écrire « Vacant » dans la colonne du locataire ne suffit pas : c'est le statut qui décide. Avec le statut Vacant, la ligne passe au rouge ; avec le statut Loué et un loyer saisi, le lot est compté comme loué et rien ne le signale.</t>
  </si>
  <si>
    <t>3. Surfaces, loyers et valeur locative</t>
  </si>
  <si>
    <t>Rent roll!F11:G50 et Rent roll!I11:I50</t>
  </si>
  <si>
    <t>La surface locative, le loyer facial hors taxes hors charges au mètre carré et par an, et la valeur locative de marché au mètre carré. Cette colonne s'intitule VLM sur la feuille, pour valeur locative de marché. Renseignez-la sur tous les lots, vacants compris.</t>
  </si>
  <si>
    <t>Le loyer annuel (Rent roll!H11:H50) et la valeur locative annuelle (Rent roll!J11:J50) se calculent seuls. Sans valeur locative sur tous les lots, le contrôle Synthèse!C10 passe au rouge, et le taux d'occupation financier comme la réversion restent vides : sur un lot vacant, une valeur locative manquante minorerait la vacance, donc flatterait l'immeuble ; sur un lot loué, elle vaudrait zéro et retournerait la réversion. Tant que ce contrôle est rouge, ne lisez ni l'un ni l'autre, et cherchez la ligne que nomme Synthèse!C9.</t>
  </si>
  <si>
    <t>4. Les dates du bail</t>
  </si>
  <si>
    <t>Rent roll!M11:P50</t>
  </si>
  <si>
    <t>La prise d'effet et l'échéance, en vraies dates. Laissez la périodicité de sortie vide dans le cas général : le classeur applique la périodicité légale de Paramètres!C8. Mettez 6 ou 9 pour un bail de bureaux, un bail long, un local monovalent ou de stockage ayant renoncé à ses premières triennales. Ne remplissez la sortie forcée que si vous connaissez déjà la date de sortie, par exemple parce qu'un congé a été reçu.</t>
  </si>
  <si>
    <t>La prochaine sortie (Rent roll!Q11:Q50) est alors calculée, pas devinée : c'est la première fin de période strictement postérieure à la date d'analyse, plafonnée à l'échéance. C'est le cœur du WALB, et la première cause d'erreur dans un rent roll tenu à la main.</t>
  </si>
  <si>
    <t>5. Les franchises</t>
  </si>
  <si>
    <t>Rent roll!R11:R50</t>
  </si>
  <si>
    <t>Le nombre de mois de franchise accordés au bail. Laissez vide s'il n'y en a pas. Repère de marché quand le bail n'est pas encore signé : Paramètres!C18. Une franchise, ce sont des mois de loyer offerts au preneur à l'entrée dans les lieux, en contrepartie de son engagement.</t>
  </si>
  <si>
    <t>Le loyer économique (Rent roll!S11:S50) déduit la franchise, étalée sur la période d'engagement ferme. Le WALB est alors affiché sur les deux bases, Synthèse!C39 au loyer facial et Synthèse!C41 au loyer économique : le premier est ce que dit le bail, le second ce que l'immeuble encaisse. La période d'engagement ferme est la durée pendant laquelle le locataire ne peut pas partir : la première période de sortie du bail, trois ans le plus souvent, six ou neuf s'il a renoncé à ses triennales. C'est sur elle que la franchise est étalée.</t>
  </si>
  <si>
    <t>6. Les contrôles</t>
  </si>
  <si>
    <t>Rent roll!V11:W50, Synthèse!C7:C12 et Échéancier!C28 et F28</t>
  </si>
  <si>
    <t>Vérifiez que chaque ligne remplie affiche OK en colonne V. Une ligne rouge porte son motif juste à côté, en colonne W, et elle est exclue de tous les totaux. Parcourez aussi la colonne W des lignes vertes : une valeur locative manquante y écrit son motif sans faire passer la ligne au rouge, parce qu'elle n'empêche de calculer ni les loyers ni les durées, seulement le taux d'occupation financier et la réversion. La Synthèse compte les unes et les autres (Synthèse!C35) et nomme la première (Synthèse!C9).</t>
  </si>
  <si>
    <t>Une ligne à corriger est exclue de tous les totaux, jamais comptée à zéro. C'est ce qui évite qu'un bail sans date d'échéance pèse son loyer avec une durée nulle et fasse chuter le WAULT sans prévenir.</t>
  </si>
  <si>
    <t>7. La lecture</t>
  </si>
  <si>
    <t>Synthèse!B14:D48</t>
  </si>
  <si>
    <t>Rien à saisir. Lisez dans l'ordre : le taux d'occupation financier (Synthèse!C21), le loyer facial en place (Synthèse!C24) et, juste en dessous, le loyer économique (Synthèse!C25), la réversion (Synthèse!C30 et Synthèse!C31), le WAULT et le WALB (Synthèse!C38 et Synthèse!C39), le poids du premier locataire (Synthèse!C47).</t>
  </si>
  <si>
    <t>C'est l'ordre dans lequel un acquéreur lit un immeuble : combien il encaisse, à quel prix par rapport au marché, pendant combien de temps, et de qui il dépend.</t>
  </si>
  <si>
    <t>8. L'échéancier</t>
  </si>
  <si>
    <t>Échéancier!B10:I28</t>
  </si>
  <si>
    <t>Rien à saisir. Cherchez la ligne en alerte : c'est l'année où le plus de loyer se remet en jeu. Vérifiez d'abord les deux contrôles de recoupement, Échéancier!C28 pour la colonne du terme et Échéancier!F28 pour celle de la sortie : tant qu'ils ne sont pas verts, ne lisez ni le tableau ni l'année de pointe.</t>
  </si>
  <si>
    <t>Le seuil d'alerte est en Paramètres!C16. Les deux contrôles de la ligne 28 garantissent que chaque euro de loyer du rent roll se retrouve dans une période et une seule : sans eux, un échéancier peut être entièrement faux sans qu'aucune cellule n'affiche d'erreur. Si l'un des deux passe au rouge, un loyer n'est tombé dans aucune période : reprenez les dates des lignes retenues, une date d'échéance ou une sortie forcée a échappé aux garde-fous, presque toujours après un collage depuis un autre fichier. Le même contrôle est repris en Synthèse!C11, pour que vous le voyiez sans quitter la Synthèse. La première ligne du tableau isole les baux échus, ceux dont l'échéance est passée : ils restent dans tous les totaux avec leur loyer, mais comptent zéro an dans le WAULT comme dans le WALB, parce qu'en tacite prolongation le congé peut être donné à tout moment. Un WALB écrasé sans cause apparente vient souvent de là : regardez Synthèse!C36 et Synthèse!C37.</t>
  </si>
  <si>
    <t>9. Les paramètres</t>
  </si>
  <si>
    <t>Paramètres!C8:C12, Paramètres!C16:C25 et Paramètres!C38:C40</t>
  </si>
  <si>
    <t>Chaque trimestre, mettez à jour les trois indices (Paramètres!C10:C12, source Insee), puis les deux trimestres et la date de vérification (Paramètres!C38, Paramètres!C39 et Paramètres!C40). Les repères de durée résiduelle des foncières (Paramètres!C19 et Paramètres!C20) se rafraîchissent une fois par an, à la publication des résultats annuels.</t>
  </si>
  <si>
    <t>Les seuils d'alerte et les garde-fous de saisie sont des conventions du classeur : ajustez-les à votre pratique. Toutes les formules pointent ici, et les libellés de source de Paramètres et de Méthode se mettent à jour seuls à partir des trois cellules de millésime.</t>
  </si>
  <si>
    <t xml:space="preserve">  EXEMPLE GUIDÉ</t>
  </si>
  <si>
    <t>Le fichier est livré avec un immeuble mixte de 1 755 m² : quatre plateaux de bureaux, trois locaux de commerce en pied d'immeuble, analysé au 30/06/2026. Six lots sont loués, un local de commerce de 95 m² est vacant. Les cinq contrôles de la Synthèse affichent OK, et la ligne « Première ligne à corriger ou à compléter » (Synthèse!C9) reste vide, comme elle doit l'être quand aucune ligne n'est en cause.</t>
  </si>
  <si>
    <t>Occupation : 1 660 m² loués sur 1 755 m², soit un taux d'occupation physique de 94,59 % (Synthèse!C18). Le taux d'occupation financier au sens de l'EPRA, l'association des foncières cotées européennes dont les recommandations font la référence de place, ressort à 93,62 % (Synthèse!C21) : il est plus bas que le taux physique parce que le local vacant vaut, au marché, 36 100 € par an (Synthèse!C20) sur une valeur locative d'ensemble de 566 100 € (Synthèse!C19). C'est toujours ce taux-là qu'un investisseur regarde : il pèse la vacance en euros, pas en mètres carrés.</t>
  </si>
  <si>
    <t>Loyers : le loyer facial en place atteint 500 730 € par an (Synthèse!C24), soit 302 € par mètre carré loué (Synthèse!C28). Trois baux ont reçu une franchise, deux signatures : 3 mois sur chacun des deux lots du Locataire Alpha et 6 mois pour le Locataire Delta. Le loyer économique tombe à 476 957 € (Synthèse!C25), soit 23 773 € de moins, 4,75 % du loyer facial (Synthèse!C26 et Synthèse!C27). La valeur locative des surfaces louées étant de 530 000 € (Synthèse!C29), la réversion est positive de 29 270 € (Synthèse!C30), soit 5,85 % du loyer facial (Synthèse!C31) : les loyers en place sont sous le marché, sauf le commerce du RDC Local 1, loué 420 € le mètre carré pour une valeur locative de 400 €, dont la réversion est négative de 4,76 % (Rent roll!L13).</t>
  </si>
  <si>
    <t>Durées : le WAULT ressort à 4,8 ans (Synthèse!C38), le WALB à 2,2 ans (Synthèse!C39). L'écart de 2,7 ans (Synthèse!C42) est le poids des facultés de sortie : sur le papier les baux courent près de cinq ans, en réalité le revenu n'est ferme que deux ans. Sur base de loyer économique, les deux durées deviennent 4,8 ans et 2,1 ans (Synthèse!C40 et Synthèse!C41). Le WALB de 2,2 ans est sous le repère bas des foncières de bureaux, 3,4 ans (Paramètres!C19, millésime 2026) : cet immeuble se vend comme un risque locatif, pas comme un revenu long.</t>
  </si>
  <si>
    <t>Ce que le classeur a calculé tout seul : la prochaine sortie de chaque bail. Le Locataire Bêta, entré le 01/01/2021, peut partir au 31/12/2026, dans 0,5 ans, soit six mois, alors que son bail court jusqu'au 31/12/2029. Le Locataire Delta occupe des bureaux et a renoncé à ses premières triennales : sa périodicité est saisie à 6 ans (Rent roll!O15), sa prochaine sortie tombe au 31/03/2030. Sans cette saisie, sa première sortie serait le 31/03/2027 et le WALB de l'immeuble tomberait à 1,5 ans : c'est la différence entre un bail lu et un bail supposé.</t>
  </si>
  <si>
    <t>Échéancier : 2029 concentre 35,56 % du loyer à la sortie, 178 080 € sur 500 730 €, parce que les deux lots du Locataire Alpha sortent le même jour. La ligne porte l'alerte « Concentration forte », le seuil étant en Paramètres!C16. Le total de l'échéancier, 500 730 € au terme comme à la sortie, est égal au loyer facial en place : les deux contrôles de recoupement, Échéancier!C28 et Échéancier!F28, affichent OK.</t>
  </si>
  <si>
    <t>Concentration : cinq locataires pour six lots (Synthèse!C45), parce que le Locataire Alpha occupe deux plateaux. Son poids est de 35,56 % du loyer (Synthèse!C47), sous le seuil de Paramètres!C17. Compté lot par lot, son plus gros lot ne pèse que 23,91 % du loyer facial, 119 700 € sur 500 730 € (Rent roll!H11 et Synthèse!C24) : la concentration se mesure par signature, jamais par lot.</t>
  </si>
  <si>
    <t>Un cas d'école, à essayer : effacez la date d'échéance du premier lot (cellule Rent roll!N11). La ligne passe au rouge avec le motif « Date d'échéance manquante. », le compteur Synthèse!C35 affiche 1, la Synthèse nomme la ligne, et le WAULT devient 4,5 ans sur les cinq baux restants au lieu de 4,8 ans sur six. Le loyer du lot sort du calcul au lieu d'y peser avec une durée nulle, ce qui aurait donné 3,4 ans sans le moindre message.</t>
  </si>
  <si>
    <t>Un second cas d'école, celui que personne ne cherche : effacez la valeur locative du plus gros lot loué (cellule Rent roll!I11). La ligne reste verte, son loyer et ses durées restent comptés, mais son motif s'affiche en colonne W, Synthèse!C35 passe à 1, Synthèse!C9 la nomme, et le contrôle Synthèse!C10 passe au rouge. Le taux d'occupation financier, la valeur locative des surfaces louées et la réversion se vident : sans ce garde-fou, la réversion resterait affichée et passerait de 5,85 % à moins 19,32 %, c'est-à-dire d'un immeuble sous le marché à un immeuble très au-dessus, parce que ce lot compterait pour une valeur locative nulle.</t>
  </si>
  <si>
    <t xml:space="preserve">  LES CHIFFRES À REGARDER, ET CE QU'ILS VALENT</t>
  </si>
  <si>
    <t>Indicateur</t>
  </si>
  <si>
    <t>Où</t>
  </si>
  <si>
    <t>Repère métier</t>
  </si>
  <si>
    <t>Ce qu'il dit vraiment</t>
  </si>
  <si>
    <t>Loyer facial et loyer économique</t>
  </si>
  <si>
    <t>Synthèse!C24 et Synthèse!C25</t>
  </si>
  <si>
    <t>Leur écart se lit en Synthèse!C26 et Synthèse!C27. Sur l'exemple, 23 773 €, soit 4,75 % (millésime 2026).</t>
  </si>
  <si>
    <t>Annoncez le facial : c'est le loyer du bail, celui qu'annualisent les foncières et celui que porte un teaser. Calculez un taux de rendement sur l'économique : c'est ce que l'immeuble encaisse. Dès que l'écart dépasse quelques pour cent, citez les deux, sinon votre acquéreur le fera pour vous.</t>
  </si>
  <si>
    <t>WALB, durée résiduelle ferme</t>
  </si>
  <si>
    <t>Synthèse!C39</t>
  </si>
  <si>
    <t>Situez-le entre les deux repères publiés : Paramètres!C19 pour une foncière de bureaux, Paramètres!C20 pour une foncière diversifiée (repères 2026). Ce sont ces deux cellules qui font foi, elles se rafraîchissent chaque année à la publication des résultats. En dessous du premier, l'immeuble se vend comme un risque locatif.</t>
  </si>
  <si>
    <t>La durée pendant laquelle le loyer est sécurisé. C'est le chiffre que retient un investisseur, et celui qu'une banque regarde avant d'aligner la durée d'un prêt.</t>
  </si>
  <si>
    <t>WAULT, durée jusqu'au terme</t>
  </si>
  <si>
    <t>Synthèse!C38</t>
  </si>
  <si>
    <t>Toujours supérieur au WALB. L'écart se lit en Synthèse!C42 ; sur l'exemple livré il vaut 2,7 ans (millésime 2026).</t>
  </si>
  <si>
    <t>L'horizon maximal, si aucun locataire n'exerçait sa faculté de sortie. Publié seul, il flatte l'immeuble : les foncières publient toujours les deux.</t>
  </si>
  <si>
    <t>WAULT et WALB sur base de loyer économique</t>
  </si>
  <si>
    <t>Synthèse!C40 et Synthèse!C41</t>
  </si>
  <si>
    <t>Toujours proches des deux premiers, plus courts dès qu'un gros bail porte une franchise. Sur l'exemple, 4,8 ans et 2,1 ans (millésime 2026).</t>
  </si>
  <si>
    <t>La même durée, vue par celui qui encaisse. Publiez les durées au loyer facial, ce sont celles que publient les foncières et celles auxquelles votre acquéreur comparera. Gardez celles au loyer économique pour vous : quand elles décrochent nettement, ce sont vos plus gros baux qui portent les franchises.</t>
  </si>
  <si>
    <t>Taux d'occupation financier (EPRA)</t>
  </si>
  <si>
    <t>Synthèse!C21</t>
  </si>
  <si>
    <t>Comparez-le au taux d'occupation physique (Synthèse!C18) : l'écart dit si les surfaces vacantes valent cher ou pas. Sur l'exemple, 93,62 % contre 94,59 % (millésime 2026).</t>
  </si>
  <si>
    <t>La part de la valeur locative de l'immeuble qui est effectivement louée. Il pèse la vacance en euros, pas en mètres carrés. C'est celui d'un teaser, d'une note d'investissement et d'un reporting de foncière. Gardez le taux physique (Synthèse!C18) pour la gestion et la commercialisation, où l'on raisonne en mètres carrés à relouer : les deux sont justes, ils ne répondent pas à la même question.</t>
  </si>
  <si>
    <t>Réversion</t>
  </si>
  <si>
    <t>Synthèse!C30 et Synthèse!C31 ; par lot en Rent roll!L11:L50</t>
  </si>
  <si>
    <t>Positive : potentiel de hausse. Négative : baisse programmée du loyer à l'échéance. Sur l'exemple, 5,85 % (millésime 2026).</t>
  </si>
  <si>
    <t>L'écart entre le loyer en place et le marché. C'est ce que devient le revenu quand les baux se renouvellent, donc ce qui décide de la valeur de sortie.</t>
  </si>
  <si>
    <t>Année de pointe de l'échéancier</t>
  </si>
  <si>
    <t>Échéancier!B10:I26, colonnes F et G</t>
  </si>
  <si>
    <t>Seuil d'alerte en Paramètres!C16. Sur l'exemple, 2029 porte 35,56 % du loyer (millésime 2026).</t>
  </si>
  <si>
    <t>L'année où le plus de loyer se remet en jeu. Un WALB moyen rassurant peut cacher un mur d'échéances : c'est là qu'on le voit. La ligne des baux échus et celle de l'au-delà de l'horizon peuvent porter le pic, elles aussi.</t>
  </si>
  <si>
    <t>Poids du premier locataire</t>
  </si>
  <si>
    <t>Synthèse!C47</t>
  </si>
  <si>
    <t>Seuil d'alerte en Paramètres!C17. Sur l'exemple, 35,56 % (millésime 2026).</t>
  </si>
  <si>
    <t>Le risque de contrepartie, mesuré par signature et non par lot. Au-delà du seuil, l'immeuble est un pari sur une entreprise autant que sur un emplacement.</t>
  </si>
  <si>
    <t xml:space="preserve">  LES DONNÉES À METTRE À JOUR, OÙ ET POURQUOI</t>
  </si>
  <si>
    <t>Deux familles de données. Les benchmarks (périodicité légale, préavis, indices Insee, seuils d'alerte, repères de durée résiduelle, garde-fous de saisie) changent avec la réglementation ou le marché, à date fixe, et se rafraîchissent depuis une source indiquée. Les données de projet (date d'analyse, lots, locataires, surfaces, loyers, valeurs locatives, dates, franchises) sont propres à chaque immeuble. L'architecture du classeur ne change pas quand les données changent : seules les cellules bleues bougent.</t>
  </si>
  <si>
    <t>Les chiffres cités dans ce guide et dans Méthode sont écrits en toutes lettres et datés du millésime 2026 : relisez-les à chaque mise à jour de Paramètres, en particulier les repères de durée résiduelle des foncières et les seuils de la colonne « Repère métier » ci-dessus. Les libellés de source de Paramètres et de Méthode, eux, se reconstruisent seuls à partir des trois cellules de millésime (Paramètres!C38:C40).</t>
  </si>
  <si>
    <t>Paramètre</t>
  </si>
  <si>
    <t>Onglet et cellule</t>
  </si>
  <si>
    <t>Ce qu'il pilote</t>
  </si>
  <si>
    <t>Source à consulter, fréquence</t>
  </si>
  <si>
    <t>Périodicité légale des facultés de sortie</t>
  </si>
  <si>
    <t>Paramètres!C8</t>
  </si>
  <si>
    <t>La prochaine sortie calculée de chaque bail dont la colonne O est vide, donc le WALB et l'échéancier</t>
  </si>
  <si>
    <t>Code de commerce, art. L145-4, Légifrance : à chaque réforme du statut des baux commerciaux</t>
  </si>
  <si>
    <t>Préavis de congé</t>
  </si>
  <si>
    <t>Paramètres!C9</t>
  </si>
  <si>
    <t>Le message de la ligne des baux échus de l'échéancier</t>
  </si>
  <si>
    <t>Code de commerce, art. L145-9 : à chaque réforme</t>
  </si>
  <si>
    <t>Indices ILAT, ILC et IRL</t>
  </si>
  <si>
    <t>Paramètres!C10:C12</t>
  </si>
  <si>
    <t>Rien dans les calculs : ils servent à dater la dernière indexation connue des loyers saisis</t>
  </si>
  <si>
    <t>Insee, publications trimestrielles : trimestrielle</t>
  </si>
  <si>
    <t>Trimestres des indices et date de vérification</t>
  </si>
  <si>
    <t>Paramètres!C38:C40</t>
  </si>
  <si>
    <t>Les libellés de source de Paramètres et de Méthode, qui les lisent par formule</t>
  </si>
  <si>
    <t>Les mêmes publications Insee : trimestrielle</t>
  </si>
  <si>
    <t>Seuil d'alerte de concentration</t>
  </si>
  <si>
    <t>Paramètres!C16</t>
  </si>
  <si>
    <t>L'alerte de la colonne Alerte de l'échéancier</t>
  </si>
  <si>
    <t>Convention du classeur : stable, à ajuster à votre pratique</t>
  </si>
  <si>
    <t>Seuil de dépendance au premier locataire</t>
  </si>
  <si>
    <t>Paramètres!C17</t>
  </si>
  <si>
    <t>Le contrôle Synthèse!C48</t>
  </si>
  <si>
    <t>Convention du classeur : stable</t>
  </si>
  <si>
    <t>Repères de durée résiduelle des foncières</t>
  </si>
  <si>
    <t>Paramètres!C19:C20</t>
  </si>
  <si>
    <t>Rien : ils servent à situer votre WALB, les notes d'aide y renvoient</t>
  </si>
  <si>
    <t>Communiqués de résultats annuels des foncières cotées, nommés et datés en colonne D de Paramètres : annuelle, à la publication des résultats</t>
  </si>
  <si>
    <t>Repère de franchise usuelle</t>
  </si>
  <si>
    <t>Paramètres!C18</t>
  </si>
  <si>
    <t>Rien : point de départ quand le bail n'est pas encore signé, la franchise réelle se saisissant bail par bail</t>
  </si>
  <si>
    <t>Publications de place sur les mesures d'accompagnement, GIE Immostat pour l'Île-de-France : trimestrielle. Le repère vaut hors Île-de-France prime : la source de Paramètres dit ce que mesure chacun des deux chiffres</t>
  </si>
  <si>
    <t>Garde-fous de saisie</t>
  </si>
  <si>
    <t>Paramètres!C21:C24</t>
  </si>
  <si>
    <t>Les bornes de validation et les contrôles de ligne du rent roll</t>
  </si>
  <si>
    <t>Conventions du classeur : stable, à relever pour un actif hors normes</t>
  </si>
  <si>
    <t>Plancher de plausibilité d'un taux saisi</t>
  </si>
  <si>
    <t>Paramètres!C25</t>
  </si>
  <si>
    <t>Le contrôle Synthèse!C12, qui attrape un seuil d'alerte saisi en fraction</t>
  </si>
  <si>
    <t>Convention CorpusImmo, commune aux matrices qui saisissent des taux : stable</t>
  </si>
  <si>
    <t>L'immeuble et ses baux</t>
  </si>
  <si>
    <t>Rent roll!C7, Rent roll!B11:G50, Rent roll!I11:I50, Rent roll!M11:P50, Rent roll!R11:R50</t>
  </si>
  <si>
    <t>Tout le reste</t>
  </si>
  <si>
    <t>Les baux eux-mêmes, l'état locatif du property manager, et un avis de valeur locative pour la colonne de valeur locative de marché</t>
  </si>
  <si>
    <t xml:space="preserve">  TROIS FAÇONS DE S'EN SERVIR</t>
  </si>
  <si>
    <t>Votre situation</t>
  </si>
  <si>
    <t>Vous étudiez une acquisition</t>
  </si>
  <si>
    <t>Saisissez l'état locatif du vendeur, puis vérifiez trois choses. La colonne Q : le vendeur a-t-il retenu les mêmes dates de sortie que le classeur ? Un écart de trois ans sur un gros bail change le WALB. La colonne L : quels baux sont au-dessus du marché, donc quels loyers baisseront au renouvellement. Et l'échéancier : quelle année concentre le plus de loyer, et si elle tombe pendant votre durée de détention.</t>
  </si>
  <si>
    <t>Vous préparez un plan d'asset management</t>
  </si>
  <si>
    <t>Pour voir dans l'ordre les baux à renégocier, triez la grille sur la colonne Q. Le tri demande d'ôter d'abord la protection de la feuille, par l'onglet Révision, sans mot de passe : Excel refuse de trier une plage qui contient des colonnes calculées, et ce sont justement elles qui doivent suivre leur ligne. Sélectionnez toujours la plage entière, Rent roll!B11:X50, colonnes calculées comprises : si vous ne triez que les colonnes bleues, les colonnes blanches restent en place et chaque ligne se retrouve avec les calculs d'une autre. Remettez la protection ensuite. Pour filtrer, rien à ôter : le filtre automatique est en place sur la ligne d'en-tête et la protection l'autorise. Pour chaque bail, la colonne L dit s'il faut défendre le loyer ou aller le chercher. Simulez une renégociation en changeant la périodicité de sortie ou la sortie forcée d'une ligne : le WALB de Synthèse!C39 se met à jour immédiatement.</t>
  </si>
  <si>
    <t>Vous montez un financement</t>
  </si>
  <si>
    <t>L'échéancier dit combien de loyer se remet en jeu chaque année. Comparez la durée du prêt au WALB (Synthèse!C39) et regardez la part du loyer qui tombe avant l'échéance du prêt : c'est le loyer que la banque ne considérera pas comme sécurisé. La ligne des baux échus est la plus fragile de toutes, le congé pouvant y être donné à tout moment.</t>
  </si>
  <si>
    <t xml:space="preserve">  LES ERREURS QUI FAUSSENT TOUT</t>
  </si>
  <si>
    <t>Le piège</t>
  </si>
  <si>
    <t>Le dégât</t>
  </si>
  <si>
    <t>Laisser la prochaine sortie au bail alors qu'il a renoncé à ses triennales, ou l'inverse (Rent roll!O11:O50)</t>
  </si>
  <si>
    <t>Sur l'exemple, le Locataire Delta a une période ferme de six ans. Saisie à blanc, sa sortie tomberait le 31/03/2027 et le WALB de l'immeuble passerait de 2,2 ans à 1,5 ans. Lisez la clause de renonciation du bail, ne la supposez pas.</t>
  </si>
  <si>
    <t>Oublier la valeur locative de marché d'un lot, vacant ou loué (Rent roll!I11:I50)</t>
  </si>
  <si>
    <t>Le taux d'occupation financier, la valeur locative des surfaces louées et la réversion ne s'affichent plus du tout, et le contrôle Synthèse!C10 passe au rouge. C'est voulu : sur un lot vacant, la vacance serait sous-estimée et le taux affiché flatté ; sur un lot loué, le lot compterait pour une valeur locative nulle et la réversion de l'immeuble entier deviendrait fausse. Sur l'exemple, le taux vaut 93,62 % et la réversion 5,85 % : effacer la seule valeur locative du plus gros lot loué ferait afficher moins 19,32 % à un classeur qui ne se garderait pas. Pour lever le blocage : la ligne reste verte, mais elle est comptée par Synthèse!C35, nommée par Synthèse!C9, et son motif « Valeur locative de marché non renseignée. » s'affiche dans la colonne W.</t>
  </si>
  <si>
    <t>Saisir un loyer annuel dans une colonne au mètre carré (Rent roll!G11:G50 ou Rent roll!I11:I50)</t>
  </si>
  <si>
    <t>Au-delà du garde-fou de Paramètres!C21, la saisie est refusée et la ligne passe au rouge, avec le motif « Loyer facial au-delà du garde-fou de saisie. » si la valeur a été collée depuis un autre fichier. Le garde-fou attrape les grands lots, pas les petits : un parking ou un local d'archives dont le loyer annuel tient sous le plafond passe sans un mot, avec un loyer multiplié par sa surface. Contrôlez la colonne H, le loyer annuel calculé, sur vos plus petits lots.</t>
  </si>
  <si>
    <t>Écrire « Vacant » dans la colonne du locataire au lieu de la colonne Statut (Rent roll!D11:D50)</t>
  </si>
  <si>
    <t>Avec le statut Vacant, la ligne passe au rouge avec le motif « Lot vacant avec un locataire renseigné. ». Avec le statut Loué et sans loyer, elle passe au rouge avec « Loyer facial manquant ou nul. » et sort de tous les totaux. Le seul cas où rien ne s'allume est celui d'un statut resté à Loué avec un loyer saisi : le lot est alors compté comme loué, sa surface entre dans la surface louée et son loyer dans le loyer en place. Le statut est une liste déroulante : servez-vous-en.</t>
  </si>
  <si>
    <t>Laisser une ligne à demi remplie, un bail sans date d'échéance par exemple (Rent roll!N11:N50)</t>
  </si>
  <si>
    <t>La ligne est exclue de tous les totaux et le compteur Synthèse!C35 l'annonce. Sur l'exemple, effacer l'échéance du premier lot fait passer le WAULT de 4,8 ans à 4,5 ans sur les baux restants : le classeur préfère calculer sur moins de baux qu'inventer une durée nulle.</t>
  </si>
  <si>
    <t>Prendre le WAULT pour la durée du revenu (Synthèse!C38)</t>
  </si>
  <si>
    <t>Sur l'exemple, le WAULT annonce 4,8 ans et le WALB 2,2 ans. Un acquéreur qui paie le WAULT achète 2,7 ans de revenu que le locataire peut lui reprendre.</t>
  </si>
  <si>
    <t>Confondre loyer facial et loyer économique (Synthèse!C24 et Synthèse!C25)</t>
  </si>
  <si>
    <t>Sur l'exemple, 23 773 € par an séparent les deux, soit 4,75 %. Un taux de rendement calculé sur le loyer facial d'un immeuble plein de franchises est faux d'autant. Le loyer facial est ce que dit le bail, le loyer économique ce que l'immeuble encaisse.</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</si>
  <si>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</si>
  <si>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</si>
  <si>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L'état locatif lot par lot : loyer facial et loyer économique, valeur locative de marché, prochaine faculté de sortie et durées résiduelles.</t>
  </si>
  <si>
    <t>Cellules bleues : à remplir.  Cellules blanches : calculées automatiquement.</t>
  </si>
  <si>
    <t>Une ligne par lot. La grille accepte 40 baux, lignes 11 à 50 : ajoutez vos lots à la suite, dans les lignes bleues déjà prêtes, sans jamais insérer de ligne. Aucune cellule n'est fusionnée. Le filtre automatique est posé sur la ligne d'en-tête et la protection l'autorise : filtrez sans rien déverrouiller. Pour trier, ôtez d'abord la protection par l'onglet Révision, puis triez la plage entière, colonnes calculées comprises, et remettez la protection.</t>
  </si>
  <si>
    <t>Date d'analyse</t>
  </si>
  <si>
    <t>Toutes les durées résiduelles et l'échéancier partent de cette date. Une vraie date, au format jj/mm/aaaa.</t>
  </si>
  <si>
    <t>État locatif exploitable</t>
  </si>
  <si>
    <t>Rouge : la date d'analyse manque, aucun bail n'est retenu, une ligne est à corriger ou à compléter, ou un paramètre est vide. Le motif est dans la colonne W, y compris sur une ligne verte à laquelle il ne manque que sa valeur locative ; la Synthèse les compte et nomme la première.</t>
  </si>
  <si>
    <t>Lot</t>
  </si>
  <si>
    <t>Nature</t>
  </si>
  <si>
    <t>Locataire</t>
  </si>
  <si>
    <t>Statut</t>
  </si>
  <si>
    <t>Surface</t>
  </si>
  <si>
    <t>Loyer facial
€/m²/an HT HC</t>
  </si>
  <si>
    <t>Loyer facial annuel
HT HC</t>
  </si>
  <si>
    <t>VLM
€/m²/an</t>
  </si>
  <si>
    <t>VLM annuelle</t>
  </si>
  <si>
    <t>Réversion %</t>
  </si>
  <si>
    <t>Prise d'effet</t>
  </si>
  <si>
    <t>Échéance</t>
  </si>
  <si>
    <t>Périodicité de
sortie (ans)</t>
  </si>
  <si>
    <t>Sortie forcée
(facultatif)</t>
  </si>
  <si>
    <t>Prochaine sortie
retenue</t>
  </si>
  <si>
    <t>Franchise
(mois)</t>
  </si>
  <si>
    <t>Loyer économique
annuel</t>
  </si>
  <si>
    <t>Durée au
terme</t>
  </si>
  <si>
    <t>Durée à la
sortie</t>
  </si>
  <si>
    <t>Contrôle</t>
  </si>
  <si>
    <t>Motif</t>
  </si>
  <si>
    <t>Loyer du locataire
(tous ses lots)</t>
  </si>
  <si>
    <t>R+1 Plateau A</t>
  </si>
  <si>
    <t>Bureaux</t>
  </si>
  <si>
    <t>Locataire Alpha</t>
  </si>
  <si>
    <t>Loué</t>
  </si>
  <si>
    <t>R+1 Plateau B</t>
  </si>
  <si>
    <t>Locataire Bêta</t>
  </si>
  <si>
    <t>RDC Local 1</t>
  </si>
  <si>
    <t>Commerce</t>
  </si>
  <si>
    <t>Locataire Gamma</t>
  </si>
  <si>
    <t>RDC Local 2</t>
  </si>
  <si>
    <t>Vacant</t>
  </si>
  <si>
    <t>R+2 Plateau C</t>
  </si>
  <si>
    <t>Locataire Delta</t>
  </si>
  <si>
    <t>R+2 Plateau D</t>
  </si>
  <si>
    <t>RDC Local 3</t>
  </si>
  <si>
    <t>Locataire Epsilon</t>
  </si>
  <si>
    <t>Ce que vous saisissez, colonne par colonne :</t>
  </si>
  <si>
    <t>B  Lot</t>
  </si>
  <si>
    <t>Identifiant du lot, libre mais obligatoire : c'est lui qui nomme la ligne dans les contrôles.</t>
  </si>
  <si>
    <t>C  Nature</t>
  </si>
  <si>
    <t>Liste déroulante alimentée par Paramètres.</t>
  </si>
  <si>
    <t>D  Locataire</t>
  </si>
  <si>
    <t>Le nom de la signature. Le même nom sur deux lots additionne leurs loyers dans la concentration.</t>
  </si>
  <si>
    <t>E  Statut</t>
  </si>
  <si>
    <t>Loué ou Vacant. Un lot vacant garde sa surface et sa valeur locative, sans locataire ni loyer.</t>
  </si>
  <si>
    <t>F  Surface</t>
  </si>
  <si>
    <t>Surface locative du lot.</t>
  </si>
  <si>
    <t>G  Loyer facial €/m²/an HT HC</t>
  </si>
  <si>
    <t>Loyer facial hors taxes hors charges, par mètre carré et par an, avant toute franchise.</t>
  </si>
  <si>
    <t>I  VLM €/m²/an</t>
  </si>
  <si>
    <t>Valeur locative de marché estimée, notée VLM en en-tête. À renseigner sur tous les lots, vacants compris : sans elle, ni le taux d'occupation financier ni la réversion ne se calculent, et la ligne est comptée comme à compléter.</t>
  </si>
  <si>
    <t>M  Prise d'effet</t>
  </si>
  <si>
    <t>Date de prise d'effet du bail, en vraie date.</t>
  </si>
  <si>
    <t>N  Échéance</t>
  </si>
  <si>
    <t>Dernier jour du bail, en vraie date.</t>
  </si>
  <si>
    <t>O  Périodicité de sortie (ans)</t>
  </si>
  <si>
    <t>Vide : la périodicité légale de Paramètres. 6 ou 9 pour un bail de bureaux, un bail de plus de neuf ans, un local monovalent ou de stockage ayant renoncé à ses triennales.</t>
  </si>
  <si>
    <t>P  Sortie forcée (facultatif)</t>
  </si>
  <si>
    <t>À ne remplir que pour imposer une date de sortie connue, postérieure à la date d'analyse et au plus tard à l'échéance.</t>
  </si>
  <si>
    <t>R  Franchise (mois)</t>
  </si>
  <si>
    <t>Nombre de mois de loyer offerts au preneur à l'entrée dans les lieux, étalés sur la période d'engagement ferme initiale, c'est-à-dire la durée pendant laquelle il ne peut pas partir.</t>
  </si>
  <si>
    <t>Ce que le rent roll dit de l'immeuble : occupation, loyers, réversion, durées résiduelles et concentration. Rien à saisir ici.</t>
  </si>
  <si>
    <t>Toutes les valeurs de cet onglet sont calculées à partir de l'onglet Rent roll. Une ligne à corriger en est exclue, jamais comptée à zéro.</t>
  </si>
  <si>
    <t xml:space="preserve">  CONTRÔLES DE COHÉRENCE</t>
  </si>
  <si>
    <t>Rouge tant que la date d'analyse manque, qu'aucun bail n'est retenu, qu'une ligne est à corriger ou à compléter, ou qu'un paramètre est vide.</t>
  </si>
  <si>
    <t>Aucune ligne à corriger ou à compléter</t>
  </si>
  <si>
    <t>Rouge : une ligne du rent roll porte un motif en colonne W. Une ligne à corriger est rouge et exclue de tous les totaux ; une ligne à compléter reste verte et comptée, mais il lui manque sa valeur locative.</t>
  </si>
  <si>
    <t>Première ligne à corriger ou à compléter</t>
  </si>
  <si>
    <t>Le numéro de ligne et le libellé du lot en cause. Vide quand tout est en ordre. Son motif se lit en colonne W du rent roll.</t>
  </si>
  <si>
    <t>Valeur locative renseignée sur tous les lots</t>
  </si>
  <si>
    <t>Rouge : un lot retenu, loué ou vacant, n'a pas de valeur locative de marché. Le taux d'occupation financier et la réversion restent vides plutôt que faux : sur un lot loué, une valeur locative absente vaudrait zéro et retournerait la réversion. La ligne en cause est nommée deux lignes plus haut.</t>
  </si>
  <si>
    <t>Échéancier recoupé avec le rent roll</t>
  </si>
  <si>
    <t>Le total de l'échéancier, au terme comme à la sortie, doit être égal au loyer facial en place. Rouge : un loyer n'est tombé dans aucune période, reprenez les dates des lignes retenues. Ni l'échéancier ni l'année de pointe ne veulent rien dire tant qu'il n'est pas vert.</t>
  </si>
  <si>
    <t>Taux vraisemblable</t>
  </si>
  <si>
    <t>Rouge : un seuil d'alerte de Paramètres (Paramètres!C16 ou Paramètres!C17) est strictement positif et inférieur au plancher de plausibilité de Paramètres!C25, ce qui est presque toujours une saisie en fraction. Rouge aussi si le plancher lui-même est vide : le contrôle échoue fermé plutôt que d'afficher un vert silencieux.</t>
  </si>
  <si>
    <t xml:space="preserve">  SURFACES ET OCCUPATION</t>
  </si>
  <si>
    <t>Surface totale</t>
  </si>
  <si>
    <t>Tous les lots retenus, loués et vacants.</t>
  </si>
  <si>
    <t>Surface louée</t>
  </si>
  <si>
    <t>Lots dont le statut est Loué.</t>
  </si>
  <si>
    <t>Surface vacante</t>
  </si>
  <si>
    <t>Lots dont le statut est Vacant.</t>
  </si>
  <si>
    <t>Taux d'occupation physique</t>
  </si>
  <si>
    <t>Surface louée rapportée à la surface totale. La lecture la plus simple, la moins fidèle à la valeur.</t>
  </si>
  <si>
    <t>Valeur locative de marché, ensemble de l'immeuble</t>
  </si>
  <si>
    <t>Somme des valeurs locatives annuelles de tous les lots retenus.</t>
  </si>
  <si>
    <t>Valeur locative de marché des surfaces vacantes</t>
  </si>
  <si>
    <t>Le loyer que rapporteraient les lots vacants s'ils étaient reloués au marché.</t>
  </si>
  <si>
    <t>Un moins la valeur locative des surfaces vacantes rapportée à celle de l'ensemble. C'est le taux que lisent les foncières et les investisseurs.</t>
  </si>
  <si>
    <t xml:space="preserve">  LOYERS EN PLACE, FRANCHISES ET RÉVERSION</t>
  </si>
  <si>
    <t>Loyer facial annuel en place</t>
  </si>
  <si>
    <t>Hors taxes hors charges, avant franchise. C'est le loyer du bail.</t>
  </si>
  <si>
    <t>Loyer économique annuel en place</t>
  </si>
  <si>
    <t>Loyer facial net des franchises étalées sur la période d'engagement ferme. C'est ce que l'immeuble encaisse vraiment.</t>
  </si>
  <si>
    <t>Effet des franchises</t>
  </si>
  <si>
    <t>Écart entre les deux loyers.</t>
  </si>
  <si>
    <t>Effet des franchises, en part du loyer facial</t>
  </si>
  <si>
    <t>Repère de marché sur la franchise usuelle : Paramètres!C18.</t>
  </si>
  <si>
    <t>Loyer facial moyen au mètre carré loué</t>
  </si>
  <si>
    <t>Loyer facial rapporté à la surface louée.</t>
  </si>
  <si>
    <t>Valeur locative de marché des surfaces louées</t>
  </si>
  <si>
    <t>Base de comparaison du loyer en place. Vide tant qu'un lot retenu n'a pas de valeur locative : la somme porterait alors sur un périmètre plus étroit que le loyer auquel on la compare.</t>
  </si>
  <si>
    <t>Valeur locative des surfaces louées moins loyer facial. Positive : le loyer en place est sous le marché. Vide, et jamais approchée, tant que le contrôle de valeur locative est rouge.</t>
  </si>
  <si>
    <t>Réversion, en part du loyer facial</t>
  </si>
  <si>
    <t>Le premier chiffre que regarde un investisseur après le taux de rendement.</t>
  </si>
  <si>
    <t xml:space="preserve">  DURÉES RÉSIDUELLES</t>
  </si>
  <si>
    <t>Baux retenus dans les moyennes</t>
  </si>
  <si>
    <t>Lots loués dont la ligne est cohérente. Une ligne à corriger n'est pas comptée à zéro : elle est exclue.</t>
  </si>
  <si>
    <t>Lignes à corriger ou à compléter</t>
  </si>
  <si>
    <t>Lignes rouges en colonne V du rent roll, plus lignes vertes auxquelles il manque leur valeur locative. Zéro attendu avant toute lecture.</t>
  </si>
  <si>
    <t>Baux échus, en tacite prolongation</t>
  </si>
  <si>
    <t>Baux dont l'échéance est antérieure à la date d'analyse. Ils comptent zéro an dans les moyennes.</t>
  </si>
  <si>
    <t>Loyer facial des baux échus</t>
  </si>
  <si>
    <t>Congé possible à tout moment, avec le préavis de Paramètres!C9.</t>
  </si>
  <si>
    <t>WAULT, durée résiduelle jusqu'au terme</t>
  </si>
  <si>
    <t>Moyenne des durées jusqu'au terme des baux, pondérée par le loyer facial. L'horizon maximal de sécurisation des revenus.</t>
  </si>
  <si>
    <t>Jusqu'à la prochaine faculté de sortie du locataire, pondérée par le loyer facial. Repères publiés : Paramètres!C19 et Paramètres!C20.</t>
  </si>
  <si>
    <t>WAULT sur base de loyer économique</t>
  </si>
  <si>
    <t>Même calcul, pondéré par le loyer économique. Il pèse moins les baux qui ont reçu une franchise.</t>
  </si>
  <si>
    <t>WALB sur base de loyer économique</t>
  </si>
  <si>
    <t>La durée ferme telle que la voit celui qui encaisse, franchises déduites.</t>
  </si>
  <si>
    <t>Écart entre le WAULT et le WALB</t>
  </si>
  <si>
    <t>Le poids des options de sortie. Plus il est large, plus le WAULT est trompeur.</t>
  </si>
  <si>
    <t xml:space="preserve">  CONCENTRATION LOCATIVE</t>
  </si>
  <si>
    <t>Nombre de locataires</t>
  </si>
  <si>
    <t>Signatures distinctes, pas nombre de lots. Un locataire présent sur deux lots compte pour un.</t>
  </si>
  <si>
    <t>Premier locataire</t>
  </si>
  <si>
    <t>Celui qui pèse le plus lourd, tous ses lots additionnés.</t>
  </si>
  <si>
    <t>Part du loyer facial en place portée par cette seule signature.</t>
  </si>
  <si>
    <t>Dépendance sous le seuil d'alerte</t>
  </si>
  <si>
    <t>Seuil en Paramètres!C17. Rouge : l'immeuble se valorise comme un pari sur une signature.</t>
  </si>
  <si>
    <t>Échéancier des baux</t>
  </si>
  <si>
    <t>Un WAULT de cinq ans ne vaut rien si tout tombe la même année. Rien à saisir ici.</t>
  </si>
  <si>
    <t>Le tableau répartit le loyer facial en place par période de sortie : au terme des baux d'un côté, à la prochaine faculté de sortie de l'autre. C'est la lecture que fait un acquéreur, il ne cherche pas la moyenne, il cherche le pic.</t>
  </si>
  <si>
    <t>Une période qui concentre plus que le seuil d'alerte de Paramètres est un risque de refinancement autant qu'un risque locatif : la banque valorise l'immeuble sur le loyer sécurisé au-delà de cette date.</t>
  </si>
  <si>
    <t>Le total de chaque colonne de loyer est égal au loyer facial en place du rent roll : c'est le contrôle de la ligne 28. Si un loyer manque à l'appel, il passe au rouge.</t>
  </si>
  <si>
    <t>Période</t>
  </si>
  <si>
    <t>Loyer au terme</t>
  </si>
  <si>
    <t>Part au terme</t>
  </si>
  <si>
    <t>Baux au terme</t>
  </si>
  <si>
    <t>Loyer à la sortie</t>
  </si>
  <si>
    <t>Part à la sortie</t>
  </si>
  <si>
    <t>Baux à la sortie</t>
  </si>
  <si>
    <t>Alerte</t>
  </si>
  <si>
    <t>Total</t>
  </si>
  <si>
    <t>Recoupement avec le loyer en place du rent roll</t>
  </si>
  <si>
    <t>Les deux totaux doivent égaler le loyer facial en place de la Synthèse.</t>
  </si>
  <si>
    <t>Les seules valeurs à mettre à jour quand la réglementation ou le marché changent. Le rent roll, la Synthèse et l'Échéancier y renvoient pour chaque barème.</t>
  </si>
  <si>
    <t xml:space="preserve">  BARÈMES RÉGLEMENTAIRES ET INDICES</t>
  </si>
  <si>
    <t>Valeur</t>
  </si>
  <si>
    <t>Source (organisme, texte, date)</t>
  </si>
  <si>
    <t>Mise à jour</t>
  </si>
  <si>
    <t>Commentaire</t>
  </si>
  <si>
    <t>Périodicité légale des facultés de sortie d'un bail commercial</t>
  </si>
  <si>
    <t>À chaque réforme du statut des baux commerciaux</t>
  </si>
  <si>
    <t>Périodicité retenue par défaut quand la colonne Périodicité de sortie du rent roll est laissée vide.</t>
  </si>
  <si>
    <t>Préavis de congé d'un bail commercial</t>
  </si>
  <si>
    <t>Sert au message de l'échéancier sur les baux échus, résiliables à tout moment moyennant ce préavis.</t>
  </si>
  <si>
    <t>Indice des loyers des activités tertiaires (ILAT)</t>
  </si>
  <si>
    <t>Trimestrielle (fin mars, juin, septembre, décembre)</t>
  </si>
  <si>
    <t>Dernier indice publié. Indexation des baux de bureaux et de professions libérales. Le classeur ne calcule pas l'indexation : voir Méthode.</t>
  </si>
  <si>
    <t>Indice des loyers commerciaux (ILC)</t>
  </si>
  <si>
    <t>Trimestrielle</t>
  </si>
  <si>
    <t>Dernier indice publié. Indexation des baux de commerce et d'artisanat.</t>
  </si>
  <si>
    <t>Indice de référence des loyers (IRL)</t>
  </si>
  <si>
    <t>Dernier indice publié. Baux d'habitation, hors du champ de ce classeur, donné comme repère.</t>
  </si>
  <si>
    <t xml:space="preserve">  REPÈRES DE MARCHÉ ET GARDE-FOUS DE SAISIE</t>
  </si>
  <si>
    <t>Seuil d'alerte de concentration d'une année de sortie</t>
  </si>
  <si>
    <t>Convention du classeur : il n'existe pas de norme de place. Un tiers du loyer qui tombe sur une seule année de sortie est le repère d'analyse retenu.</t>
  </si>
  <si>
    <t>Stable</t>
  </si>
  <si>
    <t>Au-delà, l'échéancier affiche une alerte sur la ligne de l'année concernée.</t>
  </si>
  <si>
    <t>Convention du classeur : au-delà de ce seuil, l'immeuble se valorise comme un risque de contrepartie autant que comme un actif immobilier.</t>
  </si>
  <si>
    <t>Le poids se mesure par signature, tous les lots d'un même locataire additionnés.</t>
  </si>
  <si>
    <t>Repère : franchise usuelle par année ferme, hors Île-de-France prime</t>
  </si>
  <si>
    <t>Trimestrielle, avec les publications de marché (GIE Immostat, mesures d'accompagnement)</t>
  </si>
  <si>
    <t>Point de départ quand le bail n'est pas encore signé. La franchise réelle se saisit bail par bail en colonne R du rent roll : ce repère ne pilote aucun calcul. Convention prudente : à défaut d'information sur le dossier, retenez la franchise la plus longue, elle minore le loyer économique et le revenu affiché. Voir Méthode.</t>
  </si>
  <si>
    <t>Repère : durée résiduelle ferme d'une foncière de bureaux</t>
  </si>
  <si>
    <t>Annuelle, à la publication des résultats annuels de la foncière</t>
  </si>
  <si>
    <t>Ordre de grandeur pour situer le WALB de votre immeuble, bas de fourchette.</t>
  </si>
  <si>
    <t>Repère : durée résiduelle ferme d'une foncière diversifiée</t>
  </si>
  <si>
    <t>Haut de fourchette, tiré par les baux longs de l'hôtellerie et du bureau prime.</t>
  </si>
  <si>
    <t>Loyer et valeur locative maximaux admis à la saisie (garde-fou)</t>
  </si>
  <si>
    <t>Convention du classeur : au-delà de ce plafond, la saisie est refusée et la ligne passe au rouge. C'est presque toujours un loyer annuel saisi dans une colonne au mètre carré.</t>
  </si>
  <si>
    <t>À relever pour un actif de commerce de très grand pied d'immeuble parisien.</t>
  </si>
  <si>
    <t>Surface maximale admise à la saisie pour un lot (garde-fou)</t>
  </si>
  <si>
    <t>Convention du classeur : un lot au-delà de cette surface se saisit en plusieurs lignes.</t>
  </si>
  <si>
    <t>Durée maximale d'un bail et d'une périodicité de sortie</t>
  </si>
  <si>
    <t>Une échéance plus lointaine que cette durée est une erreur de saisie de date.</t>
  </si>
  <si>
    <t>Franchise maximale admise à la saisie (garde-fou)</t>
  </si>
  <si>
    <t>Convention du classeur : au-delà de deux ans, une franchise ne s'étale plus, elle se traite à part comme une mesure d'accompagnement exceptionnelle.</t>
  </si>
  <si>
    <t>La franchise doit aussi tenir dans la période d'engagement ferme du bail.</t>
  </si>
  <si>
    <t>Convention CorpusImmo, commune aux matrices qui saisissent des taux.</t>
  </si>
  <si>
    <t>Un taux entre 0 et 0,10 % signale presque toujours une saisie en fraction (0,0325 tapé pour 3,25 %). Le contrôle « Taux vraisemblable » de la Synthèse passe au rouge dans ce cas, sauf à 0 % exactement. Il porte sur les deux seuils d'alerte ci-dessus, les seuls taux que ce classeur saisit.</t>
  </si>
  <si>
    <t xml:space="preserve">  LISTES DÉROULANTES DU RENT ROLL</t>
  </si>
  <si>
    <t>Nature du lot</t>
  </si>
  <si>
    <t>Statut du lot</t>
  </si>
  <si>
    <t>Lot occupé par un locataire, avec un bail et un loyer.</t>
  </si>
  <si>
    <t>Lot libre : sa surface et sa valeur locative comptent, son loyer est nul.</t>
  </si>
  <si>
    <t>Activité</t>
  </si>
  <si>
    <t>Libellés fixes, testés par les formules du rent roll, de la Synthèse et de l'Échéancier. Ne les renommez pas.</t>
  </si>
  <si>
    <t>Logistique</t>
  </si>
  <si>
    <t>Parking</t>
  </si>
  <si>
    <t>Autre</t>
  </si>
  <si>
    <t>Libellés libres, à adapter à votre patrimoine. Ils ne servent qu'au classement des lots : aucune formule ne les teste.</t>
  </si>
  <si>
    <t xml:space="preserve">  MILLÉSIME DES INDICES ET VÉRIFICATION</t>
  </si>
  <si>
    <t>Trimestre des indices ILAT et ILC</t>
  </si>
  <si>
    <t>1er trimestre 2026</t>
  </si>
  <si>
    <t>Insee, publications trimestrielles. Écrivez le trimestre tel qu'il doit apparaître, par exemple « 3e trimestre 2026 ».</t>
  </si>
  <si>
    <t>Repris tel quel dans la colonne Source ci-dessus et dans l'onglet Méthode : une seule saisie met tous les libellés à jour.</t>
  </si>
  <si>
    <t>Trimestre de l'indice IRL</t>
  </si>
  <si>
    <t>2e trimestre 2026</t>
  </si>
  <si>
    <t>Insee, publication trimestrielle. L'IRL paraît un trimestre plus tôt que l'ILAT et l'ILC.</t>
  </si>
  <si>
    <t>Indice des baux d'habitation, hors du champ de ce classeur.</t>
  </si>
  <si>
    <t>Dernière vérification des paramètres</t>
  </si>
  <si>
    <t>Aucun de ces taux n'est recopié dans une formule : toutes pointent ici.</t>
  </si>
  <si>
    <t>À chaque vérification</t>
  </si>
  <si>
    <t>Cette date s'affiche dans chaque libellé de source, ici et dans Méthode.</t>
  </si>
  <si>
    <t>Ces valeurs sont volontairement isolées ici. Un rent roll qui embarque un seuil d'alerte ou une périodicité de sortie au cœur de ses formules devient faux le jour où la règle change,</t>
  </si>
  <si>
    <t>sans que personne ne s'en aperçoive. Vérifiez-les avant tout usage engageant, et notez la date de votre dernière vérification ci-dessus.</t>
  </si>
  <si>
    <t>Méthode et limites</t>
  </si>
  <si>
    <t>Ce que WAULT, WALB, taux d'occupation financier et réversion mesurent exactement, et ce que ce modèle ne fait pas.</t>
  </si>
  <si>
    <t xml:space="preserve">  CONVENTIONS RETENUES, ET CE QU'ELLES COÛTENT</t>
  </si>
  <si>
    <t>WAULT</t>
  </si>
  <si>
    <t>Weighted Average Unexpired Lease Term : durée moyenne restant à courir jusqu'au TERME des baux, pondérée par le loyer. C'est l'horizon maximal de sécurisation des revenus.</t>
  </si>
  <si>
    <t>WALB</t>
  </si>
  <si>
    <t>Même calcul, mais jusqu'à la prochaine FACULTÉ DE SORTIE du locataire. En France, un bail 3/6/9 signé pour neuf ans peut être résilié à la fin de chaque période triennale : le WAULT affiche neuf ans quand le risque réel porte sur trois. C'est le chiffre à publier. Les foncières françaises publient ce chiffre sous le nom de WALB, pour Weighted Average Lease Break, et le présentent toujours en couple avec le WAULT. Le statut des baux commerciaux admet des dérogations à la faculté triennale pour les locaux à usage exclusif de bureaux, les baux de plus de neuf ans, les locaux monovalents et les locaux de stockage : une période ferme de six ou neuf ans y est courante. C'est ce que la colonne Périodicité de sortie du rent roll permet de saisir bail par bail.</t>
  </si>
  <si>
    <t>Pondération par le loyer</t>
  </si>
  <si>
    <t>Jamais par la surface. Un entrepôt de 2 000 m² à 45 €/m² pèse moins qu'un plateau de 400 m² à 285 €/m² : c'est le loyer qui paie la dette, pas les mètres carrés. Le classeur ne publie pas de variante pondérée par la surface : elle donne des durées plus longues dès qu'un grand lot bon marché a un bail long, ce qui flatte l'immeuble.</t>
  </si>
  <si>
    <t>Prochaine faculté de sortie</t>
  </si>
  <si>
    <t>Calculée, jamais saisie à l'aveugle. Les périodes de sortie courent depuis la prise d'effet par tranches égales à la périodicité retenue, celle de la colonne Périodicité de sortie ou, à défaut, la périodicité légale de Paramètres. La date retenue est la première fin de période strictement postérieure à la date d'analyse, plafonnée à l'échéance du bail. Une sortie déjà connue, par exemple parce qu'un congé a été reçu, se force dans la colonne prévue. Convention prudente : à égalité, c'est la sortie la plus proche qui l'emporte, donc le WALB le plus court.</t>
  </si>
  <si>
    <t>Dates et durées</t>
  </si>
  <si>
    <t>Toutes les dates sont de vraies dates Excel, jamais du texte : le classeur ne lit aucune date écrite à la main dans une cellule de texte, et fonctionne à l'identique dans un Excel réglé sur un autre ordre de date. Les durées résiduelles sont exprimées en années de 365,25 jours, comptées de la date d'analyse à la date de sortie incluse. La convention actual sur actual donnerait un écart de l'ordre de cinq dix-millièmes d'année sur un WAULT de cinq ans, sans portée pratique. Une durée résiduelle ne descend jamais sous zéro : un bail échu compte zéro an.</t>
  </si>
  <si>
    <t>Un bail dont l'échéance est antérieure à la date d'analyse reste dans les agrégats avec son loyer, mais compte zéro an de durée résiduelle, au terme comme à la sortie. Convention prudente : en tacite prolongation, le congé peut être donné à tout moment avec le préavis légal, pour le dernier jour du trimestre civil. La ligne porte la mention correspondante dans la colonne Motif, la Synthèse compte ces baux et leur loyer, et l'échéancier leur consacre sa première ligne.</t>
  </si>
  <si>
    <t>Le loyer facial est celui du bail, hors taxes hors charges, avant toute mesure d'accompagnement. Le loyer économique en déduit la franchise, étalée linéairement sur la période d'engagement ferme initiale, c'est-à-dire la périodicité de sortie exprimée en mois, plafonnée à la durée totale du bail quand celui-ci est plus court. Convention prudente : c'est la base la plus courte défendable, donc celle qui minore le loyer économique. Le classeur ne suit pas le calendrier réel des mois francs : il annualise. Une franchise à cheval sur deux exercices ne change donc rien au chiffre affiché. Le WAULT et le WALB sont donnés sur les deux bases, côte à côte, et une franchise plus longue que la période ferme fait passer la ligne au rouge au lieu d'afficher un loyer économique négatif.</t>
  </si>
  <si>
    <t>Choix du repère de franchise</t>
  </si>
  <si>
    <t>Convention prudente de CorpusImmo, et non une donnée de marché : quand le périmètre du dossier ne permet pas de choisir entre deux repères de franchise, retenez le plus long. Une franchise plus longue minore le loyer économique, donc le revenu affiché et la valeur qui en découle. Un rent roll optimiste fait rater une acquisition ; un rent roll prudent ne fait rater qu'une négociation. Le repère de Paramètres vaut hors Île-de-France prime et hors grandes surfaces. Sur les bureaux franciliens de plus de 1 000 m², le GIE Immostat publie un indicateur de mesures d'accompagnement qui agrège les franchises, les participations aux travaux et les loyers progressifs, rapportés au revenu qui serait obtenu au loyer facial sur la durée ferme : il est sensiblement au-dessus du repère du classeur, et il ne mesure pas la même grandeur. Ni l'un ni l'autre ne pilote de calcul ici : la franchise réelle se saisit bail par bail en colonne R du rent roll.</t>
  </si>
  <si>
    <t>Surface louée rapportée à la surface totale. Simple à lire, mais insensible au prix : cent mètres carrés de commerce en pied d'immeuble ne valent pas cent mètres carrés d'archives.</t>
  </si>
  <si>
    <t>Taux d'occupation financier</t>
  </si>
  <si>
    <t>Retenu au sens des recommandations de l'EPRA, l'European Public Real Estate Association, l'association des foncières cotées européennes dont les recommandations font la référence de place en matière de publication : le taux de vacance est la valeur locative de marché des surfaces vacantes rapportée à celle de l'ensemble du patrimoine, et le taux d'occupation financier en est le complément à cent pour cent. Il exige donc une valeur locative de marché sur chaque lot, vacant compris. Tant qu'un lot retenu n'en a pas, le classeur laisse la cellule vide et allume un contrôle, plutôt que d'afficher un taux d'occupation flatté par une vacance sous-estimée. La variante publiée par certaines foncières rapporte les loyers faciaux annualisés à la somme des loyers faciaux et de la valeur locative des vacants : elle est très proche, et n'est pas calculée ici.</t>
  </si>
  <si>
    <t>Valeur locative de marché des surfaces louées moins loyer facial en place. Positive, elle signale un potentiel de hausse à la relocation ou au renouvellement ; négative, elle annonce une baisse du loyer à l'échéance, que le WAULT ne dit pas. Elle est aussi affichée lot par lot : c'est là qu'on voit lequel des baux porte l'écart. Comme le taux d'occupation financier, elle exige une valeur locative sur chaque lot retenu : tant qu'un lot loué n'en a pas, la valeur locative des surfaces louées et la réversion restent vides, avec un contrôle rouge. Les calculer sur le périmètre partiel reviendrait à compter ce lot pour une valeur locative nulle, donc très au-dessus du marché, et la réversion de l'immeuble entier pourrait passer de positive à négative sans qu'aucune cellule ne l'annonce.</t>
  </si>
  <si>
    <t>Lignes exclues des agrégats</t>
  </si>
  <si>
    <t>Une ligne dont une saisie manque ou sort des bornes est exclue de tous les totaux, et son exclusion est visible : contrôle rouge sur la ligne, motif nommé à côté, compteur de lignes à corriger ou à compléter et numéro de la première ligne en cause dans la Synthèse. Elle n'est jamais comptée à zéro. Un bail loué sans date d'échéance, par exemple, ne pèse pas son loyer avec une durée nulle : il sort du calcul jusqu'à correction. Une seule saisie manquante ne fait pas rougir sa ligne ni ne l'exclut : la valeur locative de marché, qui n'empêche de calculer ni les loyers ni les durées. La ligne reste verte, porte son motif dans la colonne prévue, et le compteur de la Synthèse la compte au même titre qu'une ligne rouge.</t>
  </si>
  <si>
    <t>Échéancier et recoupement</t>
  </si>
  <si>
    <t>L'échéancier répartit le loyer facial des baux retenus par période de sortie : les baux échus, puis quinze années à partir de celle de la date d'analyse, puis tout ce qui tombe au-delà. Chaque bail tombe dans une période et une seule, et le total de chaque colonne est rapproché du loyer facial en place. Le contrôle de recoupement passe au rouge dès qu'un euro manque à l'appel : un échéancier qui ne se recoupe pas avec son rent roll ne doit jamais passer inaperçu.</t>
  </si>
  <si>
    <t>Concentration</t>
  </si>
  <si>
    <t>Deux concentrations tuent la valeur : celle d'un locataire qui pèse trop lourd, et celle d'une année d'échéance qui en concentre trop. L'échéancier traite la seconde ; la ligne « poids du premier locataire » traite la première. Le poids du premier locataire se mesure par signature : tous les lots portés par le même nom sont additionnés avant comparaison. Un locataire présent sur deux plateaux pèse la somme des deux, jamais le plus gros des deux.</t>
  </si>
  <si>
    <t>Indexation</t>
  </si>
  <si>
    <t xml:space="preserve">  CE QUE CE MODÈLE NE FAIT PAS</t>
  </si>
  <si>
    <t>•  Il ne juge pas la qualité de signature des locataires, qui compte autant que la durée.</t>
  </si>
  <si>
    <t>•  Il ne calcule ni la valeur de l'immeuble, ni son taux de rendement : c'est l'objet des matrices d'avis de valeur et de flux actualisés.</t>
  </si>
  <si>
    <t>•  Il ne modélise ni les paliers de loyer, ni les travaux preneur amortis sur le bail, ni les loyers variables indexés sur le chiffre d'affaires d'un commerce.</t>
  </si>
  <si>
    <t>•  Il ne suit pas le calendrier réel des mois de franchise : il les étale linéairement sur la période d'engagement ferme.</t>
  </si>
  <si>
    <t>•  Il ne calcule pas l'indexation des loyers et ne date pas la dernière indexation de chaque bail.</t>
  </si>
  <si>
    <t>•  Il ne traite pas les baux dérogatoires, les conventions d'occupation précaire ni les baux d'habitation, dont le locataire peut partir à tout moment moyennant préavis : pour ceux-là, forcez la date de sortie dans la colonne prévue.</t>
  </si>
  <si>
    <t>•  Il ne saisit pas un loyer annuel global sans surface : un parking, une antenne ou une enseigne se saisissent avec une surface conventionnelle et le loyer au mètre carré correspondant.</t>
  </si>
  <si>
    <t>•  Il ne remplace ni la lecture des baux, seuls documents opposables, ni la revue juridique des baux.</t>
  </si>
  <si>
    <t xml:space="preserve">  SOURCES</t>
  </si>
  <si>
    <t>Taux d'occupation financier et vacance</t>
  </si>
  <si>
    <t>WAULT et WALB</t>
  </si>
  <si>
    <t>Indices d'indexation des baux commerciaux</t>
  </si>
  <si>
    <t>Statut des baux commerciaux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</si>
</sst>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d/mm/yyyy;@"/>
    <numFmt numFmtId="165" formatCode="#,##0&quot; m²&quot;"/>
    <numFmt numFmtId="166" formatCode="#,##0&quot; €/m²/an&quot;"/>
    <numFmt numFmtId="167" formatCode="#,##0&quot; €&quot;"/>
    <numFmt numFmtId="168" formatCode="0&quot; ans&quot;"/>
    <numFmt numFmtId="169" formatCode="0&quot; mois&quot;"/>
    <numFmt numFmtId="170" formatCode="0.0&quot; ans&quot;"/>
  </numFmts>
  <fonts count="11" x14ac:knownFonts="1">
    <font>
      <sz val="11"/>
      <color theme="1"/>
      <name val="Calibri"/>
      <family val="2"/>
      <scheme val="minor"/>
    </font>
    <font>
      <b/>
      <sz val="10"/>
      <color rgb="FFFFFFFF"/>
      <name val="Calibri"/>
    </font>
    <font>
      <b/>
      <sz val="16"/>
      <color rgb="FF0E1A33"/>
      <name val="Calibri"/>
    </font>
    <font>
      <sz val="10"/>
      <color rgb="FF6B7280"/>
      <name val="Calibri"/>
    </font>
    <font>
      <sz val="9"/>
      <color rgb="FF6B7280"/>
      <name val="Calibri"/>
    </font>
    <font>
      <b/>
      <sz val="10"/>
      <color rgb="FF0E1A33"/>
      <name val="Calibri"/>
    </font>
    <font>
      <sz val="10"/>
      <color rgb="FF0E1A33"/>
      <name val="Calibri"/>
    </font>
    <font>
      <sz val="10"/>
      <color rgb="FF1F2937"/>
      <name val="Calibri"/>
    </font>
    <font>
      <i/>
      <sz val="8"/>
      <color rgb="FF6B7280"/>
      <name val="Calibri"/>
    </font>
    <font>
      <b/>
      <sz val="14"/>
      <color rgb="FF0E1A33"/>
      <name val="Calibri"/>
    </font>
    <font>
      <b/>
      <sz val="12"/>
      <color rgb="FF0E1A33"/>
      <name val="Calibri"/>
    </font>
  </fonts>
  <fills count="6">
    <fill>
      <patternFill patternType="none"/>
    </fill>
    <fill>
      <patternFill patternType="gray125"/>
    </fill>
    <fill>
      <patternFill patternType="solid">
        <fgColor rgb="FFE8F0FE"/>
      </patternFill>
    </fill>
    <fill>
      <patternFill patternType="solid">
        <fgColor rgb="FF0E1A33"/>
      </patternFill>
    </fill>
    <fill>
      <patternFill patternType="solid">
        <fgColor rgb="FFFFFFFF"/>
      </patternFill>
    </fill>
    <fill>
      <patternFill patternType="solid">
        <fgColor rgb="FFF5F9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8">
    <xf numFmtId="0" fontId="0" fillId="0" borderId="0" xfId="0"/>
    <xf numFmtId="0" fontId="1" fillId="3"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7" fillId="0" borderId="0" xfId="0" applyFont="1" applyAlignment="1">
      <alignment horizontal="left" vertical="top" wrapText="1"/>
    </xf>
    <xf numFmtId="0" fontId="1" fillId="3" borderId="0" xfId="0" applyFont="1" applyFill="1" applyAlignment="1">
      <alignment horizontal="left" vertical="center" wrapText="1"/>
    </xf>
    <xf numFmtId="0" fontId="5" fillId="0" borderId="2" xfId="0" applyFont="1" applyBorder="1" applyAlignment="1">
      <alignment horizontal="left" vertical="top" wrapText="1"/>
    </xf>
    <xf numFmtId="0" fontId="7" fillId="0" borderId="2" xfId="0" applyFont="1" applyBorder="1" applyAlignment="1">
      <alignment horizontal="left" vertical="top" wrapText="1"/>
    </xf>
    <xf numFmtId="0" fontId="5"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4" fontId="6" fillId="2" borderId="1" xfId="0" applyNumberFormat="1" applyFont="1" applyFill="1" applyBorder="1" applyAlignment="1" applyProtection="1">
      <alignment horizontal="right" vertical="center"/>
      <protection locked="0"/>
    </xf>
    <xf numFmtId="0" fontId="5" fillId="0" borderId="1" xfId="0" applyFont="1" applyBorder="1" applyAlignment="1">
      <alignment horizontal="center" vertical="center"/>
    </xf>
    <xf numFmtId="0" fontId="1" fillId="3" borderId="0" xfId="0" applyFont="1" applyFill="1" applyAlignment="1">
      <alignment horizontal="center" vertical="center" wrapText="1"/>
    </xf>
    <xf numFmtId="49" fontId="6" fillId="2" borderId="1" xfId="0" applyNumberFormat="1" applyFont="1" applyFill="1" applyBorder="1" applyAlignment="1" applyProtection="1">
      <alignment horizontal="left" vertical="center"/>
      <protection locked="0"/>
    </xf>
    <xf numFmtId="165" fontId="6" fillId="2" borderId="1" xfId="0" applyNumberFormat="1" applyFont="1" applyFill="1" applyBorder="1" applyAlignment="1" applyProtection="1">
      <alignment horizontal="right" vertical="center"/>
      <protection locked="0"/>
    </xf>
    <xf numFmtId="166" fontId="6" fillId="2" borderId="1" xfId="0" applyNumberFormat="1" applyFont="1" applyFill="1" applyBorder="1" applyAlignment="1" applyProtection="1">
      <alignment horizontal="right" vertical="center"/>
      <protection locked="0"/>
    </xf>
    <xf numFmtId="167" fontId="7" fillId="4" borderId="0" xfId="0" applyNumberFormat="1" applyFont="1" applyFill="1" applyAlignment="1">
      <alignment horizontal="right" vertical="center"/>
    </xf>
    <xf numFmtId="10" fontId="7" fillId="4" borderId="0" xfId="0" applyNumberFormat="1" applyFont="1" applyFill="1" applyAlignment="1">
      <alignment horizontal="right" vertical="center"/>
    </xf>
    <xf numFmtId="168" fontId="6" fillId="2" borderId="1" xfId="0" applyNumberFormat="1" applyFont="1" applyFill="1" applyBorder="1" applyAlignment="1" applyProtection="1">
      <alignment horizontal="right" vertical="center"/>
      <protection locked="0"/>
    </xf>
    <xf numFmtId="164" fontId="7" fillId="4" borderId="0" xfId="0" applyNumberFormat="1" applyFont="1" applyFill="1" applyAlignment="1">
      <alignment horizontal="right" vertical="center"/>
    </xf>
    <xf numFmtId="169" fontId="6" fillId="2" borderId="1" xfId="0" applyNumberFormat="1" applyFont="1" applyFill="1" applyBorder="1" applyAlignment="1" applyProtection="1">
      <alignment horizontal="right" vertical="center"/>
      <protection locked="0"/>
    </xf>
    <xf numFmtId="170" fontId="7" fillId="4" borderId="0" xfId="0" applyNumberFormat="1" applyFont="1" applyFill="1" applyAlignment="1">
      <alignment horizontal="right" vertical="center"/>
    </xf>
    <xf numFmtId="49" fontId="7" fillId="4" borderId="0" xfId="0" applyNumberFormat="1" applyFont="1" applyFill="1" applyAlignment="1">
      <alignment horizontal="left" vertical="center"/>
    </xf>
    <xf numFmtId="0" fontId="7" fillId="0" borderId="0" xfId="0" applyFont="1" applyAlignment="1">
      <alignment horizontal="left" vertical="center"/>
    </xf>
    <xf numFmtId="49" fontId="7" fillId="4" borderId="0" xfId="0" applyNumberFormat="1" applyFont="1" applyFill="1" applyAlignment="1">
      <alignment horizontal="right" vertical="center"/>
    </xf>
    <xf numFmtId="165" fontId="7" fillId="4" borderId="0" xfId="0" applyNumberFormat="1" applyFont="1" applyFill="1" applyAlignment="1">
      <alignment horizontal="right" vertical="center"/>
    </xf>
    <xf numFmtId="10" fontId="5" fillId="5" borderId="1" xfId="0" applyNumberFormat="1" applyFont="1" applyFill="1" applyBorder="1" applyAlignment="1">
      <alignment horizontal="right" vertical="center"/>
    </xf>
    <xf numFmtId="10" fontId="9" fillId="5" borderId="1" xfId="0" applyNumberFormat="1" applyFont="1" applyFill="1" applyBorder="1" applyAlignment="1">
      <alignment horizontal="right" vertical="center"/>
    </xf>
    <xf numFmtId="167" fontId="5" fillId="5" borderId="1" xfId="0" applyNumberFormat="1" applyFont="1" applyFill="1" applyBorder="1" applyAlignment="1">
      <alignment horizontal="right" vertical="center"/>
    </xf>
    <xf numFmtId="166" fontId="7" fillId="4" borderId="0" xfId="0" applyNumberFormat="1" applyFont="1" applyFill="1" applyAlignment="1">
      <alignment horizontal="right" vertical="center"/>
    </xf>
    <xf numFmtId="3" fontId="7" fillId="4" borderId="0" xfId="0" applyNumberFormat="1" applyFont="1" applyFill="1" applyAlignment="1">
      <alignment horizontal="right" vertical="center"/>
    </xf>
    <xf numFmtId="170" fontId="9" fillId="5" borderId="1" xfId="0" applyNumberFormat="1" applyFont="1" applyFill="1" applyBorder="1" applyAlignment="1">
      <alignment horizontal="right" vertical="center"/>
    </xf>
    <xf numFmtId="3" fontId="7" fillId="4" borderId="0" xfId="0" applyNumberFormat="1" applyFont="1" applyFill="1" applyAlignment="1">
      <alignment horizontal="left" vertical="center"/>
    </xf>
    <xf numFmtId="3" fontId="5" fillId="5" borderId="1" xfId="0" applyNumberFormat="1" applyFont="1" applyFill="1" applyBorder="1" applyAlignment="1">
      <alignment horizontal="right" vertical="center"/>
    </xf>
    <xf numFmtId="0" fontId="7" fillId="0" borderId="0" xfId="0" applyFont="1"/>
    <xf numFmtId="0" fontId="4" fillId="0" borderId="0" xfId="0" applyFont="1" applyAlignment="1">
      <alignment horizontal="left" vertical="top" wrapText="1"/>
    </xf>
    <xf numFmtId="2" fontId="6" fillId="2" borderId="1" xfId="0" applyNumberFormat="1" applyFont="1" applyFill="1" applyBorder="1" applyAlignment="1" applyProtection="1">
      <alignment horizontal="right" vertical="center"/>
      <protection locked="0"/>
    </xf>
    <xf numFmtId="10" fontId="6" fillId="2" borderId="1" xfId="0" applyNumberFormat="1" applyFont="1" applyFill="1" applyBorder="1" applyAlignment="1" applyProtection="1">
      <alignment horizontal="right" vertical="center"/>
      <protection locked="0"/>
    </xf>
    <xf numFmtId="170" fontId="6" fillId="2" borderId="1" xfId="0" applyNumberFormat="1" applyFont="1" applyFill="1" applyBorder="1" applyAlignment="1" applyProtection="1">
      <alignment horizontal="right" vertical="center"/>
      <protection locked="0"/>
    </xf>
    <xf numFmtId="0" fontId="7" fillId="0" borderId="0" xfId="0" applyFont="1" applyAlignment="1">
      <alignment horizontal="left" vertical="top" wrapText="1"/>
    </xf>
    <xf numFmtId="0" fontId="0" fillId="0" borderId="0" xfId="0"/>
    <xf numFmtId="0" fontId="7" fillId="0" borderId="2" xfId="0" applyFont="1" applyBorder="1" applyAlignment="1">
      <alignment horizontal="left" vertical="top" wrapText="1"/>
    </xf>
    <xf numFmtId="0" fontId="0" fillId="0" borderId="3" xfId="0" applyBorder="1"/>
    <xf numFmtId="0" fontId="1" fillId="3" borderId="0" xfId="0" applyFont="1" applyFill="1" applyAlignment="1">
      <alignment horizontal="left" vertical="center" wrapText="1"/>
    </xf>
    <xf numFmtId="0" fontId="10" fillId="0" borderId="0" xfId="0" applyFont="1" applyAlignment="1">
      <alignment horizontal="center" vertical="center" wrapText="1"/>
    </xf>
    <xf numFmtId="0" fontId="8" fillId="0" borderId="0" xfId="0" applyFont="1" applyAlignment="1">
      <alignment horizontal="left" vertical="top" wrapText="1"/>
    </xf>
    <xf numFmtId="0" fontId="5" fillId="0" borderId="0" xfId="0" applyFont="1" applyAlignment="1">
      <alignment horizontal="left" vertical="top" wrapText="1"/>
    </xf>
  </cellXfs>
  <cellStyles count="1">
    <cellStyle name="Normal" xfId="0" builtinId="0"/>
  </cellStyles>
  <dxfs count="14">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9"/>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16.5" customHeight="1" x14ac:dyDescent="0.35">
      <c r="B7" s="40" t="s">
        <v>4</v>
      </c>
      <c r="C7" s="41"/>
      <c r="D7" s="41"/>
      <c r="E7" s="41"/>
    </row>
    <row r="8" spans="2:6" ht="30" customHeight="1" x14ac:dyDescent="0.35">
      <c r="B8" s="40" t="s">
        <v>5</v>
      </c>
      <c r="C8" s="41"/>
      <c r="D8" s="41"/>
      <c r="E8" s="41"/>
    </row>
    <row r="9" spans="2:6" ht="16.5" customHeight="1" x14ac:dyDescent="0.35">
      <c r="B9" s="40" t="s">
        <v>6</v>
      </c>
      <c r="C9" s="41"/>
      <c r="D9" s="41"/>
      <c r="E9" s="41"/>
    </row>
    <row r="10" spans="2:6" ht="18" customHeight="1" x14ac:dyDescent="0.35">
      <c r="B10" s="5" t="s">
        <v>7</v>
      </c>
      <c r="C10" s="44" t="s">
        <v>8</v>
      </c>
      <c r="D10" s="41"/>
      <c r="E10" s="41"/>
    </row>
    <row r="11" spans="2:6" ht="30" customHeight="1" x14ac:dyDescent="0.35">
      <c r="B11" s="6" t="s">
        <v>9</v>
      </c>
      <c r="C11" s="42" t="s">
        <v>10</v>
      </c>
      <c r="D11" s="43"/>
      <c r="E11" s="43"/>
    </row>
    <row r="12" spans="2:6" ht="16.5" customHeight="1" x14ac:dyDescent="0.35">
      <c r="B12" s="6" t="s">
        <v>11</v>
      </c>
      <c r="C12" s="42" t="s">
        <v>12</v>
      </c>
      <c r="D12" s="43"/>
      <c r="E12" s="43"/>
    </row>
    <row r="13" spans="2:6" ht="16.5" customHeight="1" x14ac:dyDescent="0.35">
      <c r="B13" s="6" t="s">
        <v>13</v>
      </c>
      <c r="C13" s="42" t="s">
        <v>14</v>
      </c>
      <c r="D13" s="43"/>
      <c r="E13" s="43"/>
    </row>
    <row r="14" spans="2:6" ht="30" customHeight="1" x14ac:dyDescent="0.35">
      <c r="B14" s="6" t="s">
        <v>15</v>
      </c>
      <c r="C14" s="42" t="s">
        <v>16</v>
      </c>
      <c r="D14" s="43"/>
      <c r="E14" s="43"/>
    </row>
    <row r="15" spans="2:6" ht="30" customHeight="1" x14ac:dyDescent="0.35">
      <c r="B15" s="6" t="s">
        <v>17</v>
      </c>
      <c r="C15" s="42" t="s">
        <v>18</v>
      </c>
      <c r="D15" s="43"/>
      <c r="E15" s="43"/>
    </row>
    <row r="16" spans="2:6" ht="16.5" customHeight="1" x14ac:dyDescent="0.35">
      <c r="B16" s="6" t="s">
        <v>19</v>
      </c>
      <c r="C16" s="42" t="s">
        <v>20</v>
      </c>
      <c r="D16" s="43"/>
      <c r="E16" s="43"/>
    </row>
    <row r="18" spans="2:5" ht="18" customHeight="1" x14ac:dyDescent="0.35">
      <c r="B18" s="1" t="s">
        <v>21</v>
      </c>
      <c r="C18" s="1"/>
      <c r="D18" s="1"/>
      <c r="E18" s="1"/>
    </row>
    <row r="19" spans="2:5" ht="28" customHeight="1" x14ac:dyDescent="0.35">
      <c r="B19" s="45" t="s">
        <v>22</v>
      </c>
      <c r="C19" s="41"/>
      <c r="D19" s="41"/>
      <c r="E19" s="41"/>
    </row>
    <row r="21" spans="2:5" ht="18" customHeight="1" x14ac:dyDescent="0.35">
      <c r="B21" s="1" t="s">
        <v>23</v>
      </c>
      <c r="C21" s="1"/>
      <c r="D21" s="1"/>
      <c r="E21" s="1"/>
    </row>
    <row r="22" spans="2:5" ht="18" customHeight="1" x14ac:dyDescent="0.35">
      <c r="B22" s="5" t="s">
        <v>24</v>
      </c>
      <c r="C22" s="5" t="s">
        <v>25</v>
      </c>
      <c r="D22" s="44" t="s">
        <v>26</v>
      </c>
      <c r="E22" s="41"/>
    </row>
    <row r="23" spans="2:5" ht="30" customHeight="1" x14ac:dyDescent="0.35">
      <c r="B23" s="6" t="s">
        <v>1</v>
      </c>
      <c r="C23" s="7" t="s">
        <v>27</v>
      </c>
      <c r="D23" s="42" t="s">
        <v>28</v>
      </c>
      <c r="E23" s="43"/>
    </row>
    <row r="24" spans="2:5" ht="111" customHeight="1" x14ac:dyDescent="0.35">
      <c r="B24" s="6" t="s">
        <v>29</v>
      </c>
      <c r="C24" s="7" t="s">
        <v>30</v>
      </c>
      <c r="D24" s="42" t="s">
        <v>31</v>
      </c>
      <c r="E24" s="43"/>
    </row>
    <row r="25" spans="2:5" ht="16.5" customHeight="1" x14ac:dyDescent="0.35">
      <c r="B25" s="6" t="s">
        <v>32</v>
      </c>
      <c r="C25" s="7" t="s">
        <v>33</v>
      </c>
      <c r="D25" s="42" t="s">
        <v>34</v>
      </c>
      <c r="E25" s="43"/>
    </row>
    <row r="26" spans="2:5" ht="16.5" customHeight="1" x14ac:dyDescent="0.35">
      <c r="B26" s="6" t="s">
        <v>35</v>
      </c>
      <c r="C26" s="7" t="s">
        <v>33</v>
      </c>
      <c r="D26" s="42" t="s">
        <v>36</v>
      </c>
      <c r="E26" s="43"/>
    </row>
    <row r="27" spans="2:5" ht="43.5" customHeight="1" x14ac:dyDescent="0.35">
      <c r="B27" s="6" t="s">
        <v>37</v>
      </c>
      <c r="C27" s="7" t="s">
        <v>38</v>
      </c>
      <c r="D27" s="42" t="s">
        <v>39</v>
      </c>
      <c r="E27" s="43"/>
    </row>
    <row r="28" spans="2:5" ht="16.5" customHeight="1" x14ac:dyDescent="0.35">
      <c r="B28" s="6" t="s">
        <v>40</v>
      </c>
      <c r="C28" s="7" t="s">
        <v>33</v>
      </c>
      <c r="D28" s="42" t="s">
        <v>41</v>
      </c>
      <c r="E28" s="43"/>
    </row>
    <row r="30" spans="2:5" ht="18" customHeight="1" x14ac:dyDescent="0.35">
      <c r="B30" s="1" t="s">
        <v>42</v>
      </c>
      <c r="C30" s="1"/>
      <c r="D30" s="1"/>
      <c r="E30" s="1"/>
    </row>
    <row r="31" spans="2:5" ht="18" customHeight="1" x14ac:dyDescent="0.35">
      <c r="B31" s="5" t="s">
        <v>43</v>
      </c>
      <c r="C31" s="5" t="s">
        <v>44</v>
      </c>
      <c r="D31" s="44" t="s">
        <v>45</v>
      </c>
      <c r="E31" s="41"/>
    </row>
    <row r="32" spans="2:5" ht="16.5" customHeight="1" x14ac:dyDescent="0.35">
      <c r="B32" s="6" t="s">
        <v>46</v>
      </c>
      <c r="C32" s="7" t="s">
        <v>47</v>
      </c>
      <c r="D32" s="42" t="s">
        <v>48</v>
      </c>
      <c r="E32" s="43"/>
    </row>
    <row r="33" spans="2:5" ht="16.5" customHeight="1" x14ac:dyDescent="0.35">
      <c r="B33" s="6" t="s">
        <v>49</v>
      </c>
      <c r="C33" s="7" t="s">
        <v>50</v>
      </c>
      <c r="D33" s="42" t="s">
        <v>51</v>
      </c>
      <c r="E33" s="43"/>
    </row>
    <row r="34" spans="2:5" ht="30" customHeight="1" x14ac:dyDescent="0.35">
      <c r="B34" s="6" t="s">
        <v>52</v>
      </c>
      <c r="C34" s="7" t="s">
        <v>53</v>
      </c>
      <c r="D34" s="42" t="s">
        <v>54</v>
      </c>
      <c r="E34" s="43"/>
    </row>
    <row r="35" spans="2:5" ht="30" customHeight="1" x14ac:dyDescent="0.35">
      <c r="B35" s="6" t="s">
        <v>55</v>
      </c>
      <c r="C35" s="7" t="s">
        <v>56</v>
      </c>
      <c r="D35" s="42" t="s">
        <v>57</v>
      </c>
      <c r="E35" s="43"/>
    </row>
    <row r="36" spans="2:5" ht="30" customHeight="1" x14ac:dyDescent="0.35">
      <c r="B36" s="6" t="s">
        <v>58</v>
      </c>
      <c r="C36" s="7" t="s">
        <v>59</v>
      </c>
      <c r="D36" s="42" t="s">
        <v>60</v>
      </c>
      <c r="E36" s="43"/>
    </row>
    <row r="37" spans="2:5" ht="16.5" customHeight="1" x14ac:dyDescent="0.35">
      <c r="B37" s="6" t="s">
        <v>61</v>
      </c>
      <c r="C37" s="7" t="s">
        <v>62</v>
      </c>
      <c r="D37" s="42" t="s">
        <v>63</v>
      </c>
      <c r="E37" s="43"/>
    </row>
    <row r="38" spans="2:5" ht="30" customHeight="1" x14ac:dyDescent="0.35">
      <c r="B38" s="40" t="s">
        <v>64</v>
      </c>
      <c r="C38" s="41"/>
      <c r="D38" s="41"/>
      <c r="E38" s="41"/>
    </row>
    <row r="40" spans="2:5" ht="18" customHeight="1" x14ac:dyDescent="0.35">
      <c r="B40" s="1" t="s">
        <v>65</v>
      </c>
      <c r="C40" s="1"/>
      <c r="D40" s="1"/>
      <c r="E40" s="1"/>
    </row>
    <row r="41" spans="2:5" ht="18" customHeight="1" x14ac:dyDescent="0.35">
      <c r="B41" s="5" t="s">
        <v>66</v>
      </c>
      <c r="C41" s="5" t="s">
        <v>67</v>
      </c>
      <c r="D41" s="5" t="s">
        <v>45</v>
      </c>
      <c r="E41" s="5" t="s">
        <v>68</v>
      </c>
    </row>
    <row r="42" spans="2:5" ht="327" customHeight="1" x14ac:dyDescent="0.35">
      <c r="B42" s="6" t="s">
        <v>69</v>
      </c>
      <c r="C42" s="7" t="s">
        <v>70</v>
      </c>
      <c r="D42" s="7" t="s">
        <v>71</v>
      </c>
      <c r="E42" s="7" t="s">
        <v>72</v>
      </c>
    </row>
    <row r="43" spans="2:5" ht="57" customHeight="1" x14ac:dyDescent="0.35">
      <c r="B43" s="6" t="s">
        <v>73</v>
      </c>
      <c r="C43" s="7" t="s">
        <v>74</v>
      </c>
      <c r="D43" s="7" t="s">
        <v>75</v>
      </c>
      <c r="E43" s="7" t="s">
        <v>76</v>
      </c>
    </row>
    <row r="44" spans="2:5" ht="57" customHeight="1" x14ac:dyDescent="0.35">
      <c r="B44" s="6" t="s">
        <v>77</v>
      </c>
      <c r="C44" s="7" t="s">
        <v>78</v>
      </c>
      <c r="D44" s="7" t="s">
        <v>79</v>
      </c>
      <c r="E44" s="7" t="s">
        <v>80</v>
      </c>
    </row>
    <row r="45" spans="2:5" ht="97.5" customHeight="1" x14ac:dyDescent="0.35">
      <c r="B45" s="6" t="s">
        <v>81</v>
      </c>
      <c r="C45" s="7" t="s">
        <v>82</v>
      </c>
      <c r="D45" s="7" t="s">
        <v>83</v>
      </c>
      <c r="E45" s="7" t="s">
        <v>84</v>
      </c>
    </row>
    <row r="46" spans="2:5" ht="111" customHeight="1" x14ac:dyDescent="0.35">
      <c r="B46" s="6" t="s">
        <v>85</v>
      </c>
      <c r="C46" s="7" t="s">
        <v>86</v>
      </c>
      <c r="D46" s="7" t="s">
        <v>87</v>
      </c>
      <c r="E46" s="7" t="s">
        <v>88</v>
      </c>
    </row>
    <row r="47" spans="2:5" ht="97.5" customHeight="1" x14ac:dyDescent="0.35">
      <c r="B47" s="6" t="s">
        <v>89</v>
      </c>
      <c r="C47" s="7" t="s">
        <v>90</v>
      </c>
      <c r="D47" s="7" t="s">
        <v>91</v>
      </c>
      <c r="E47" s="7" t="s">
        <v>92</v>
      </c>
    </row>
    <row r="48" spans="2:5" ht="124.5" customHeight="1" x14ac:dyDescent="0.35">
      <c r="B48" s="6" t="s">
        <v>93</v>
      </c>
      <c r="C48" s="7" t="s">
        <v>94</v>
      </c>
      <c r="D48" s="7" t="s">
        <v>95</v>
      </c>
      <c r="E48" s="7" t="s">
        <v>96</v>
      </c>
    </row>
    <row r="49" spans="2:5" ht="84" customHeight="1" x14ac:dyDescent="0.35">
      <c r="B49" s="6" t="s">
        <v>97</v>
      </c>
      <c r="C49" s="7" t="s">
        <v>98</v>
      </c>
      <c r="D49" s="7" t="s">
        <v>99</v>
      </c>
      <c r="E49" s="7" t="s">
        <v>100</v>
      </c>
    </row>
    <row r="50" spans="2:5" ht="178.5" customHeight="1" x14ac:dyDescent="0.35">
      <c r="B50" s="6" t="s">
        <v>101</v>
      </c>
      <c r="C50" s="7" t="s">
        <v>102</v>
      </c>
      <c r="D50" s="7" t="s">
        <v>103</v>
      </c>
      <c r="E50" s="7" t="s">
        <v>104</v>
      </c>
    </row>
    <row r="51" spans="2:5" ht="84" customHeight="1" x14ac:dyDescent="0.35">
      <c r="B51" s="6" t="s">
        <v>105</v>
      </c>
      <c r="C51" s="7" t="s">
        <v>106</v>
      </c>
      <c r="D51" s="7" t="s">
        <v>107</v>
      </c>
      <c r="E51" s="7" t="s">
        <v>108</v>
      </c>
    </row>
    <row r="53" spans="2:5" ht="18" customHeight="1" x14ac:dyDescent="0.35">
      <c r="B53" s="1" t="s">
        <v>109</v>
      </c>
      <c r="C53" s="1"/>
      <c r="D53" s="1"/>
      <c r="E53" s="1"/>
    </row>
    <row r="54" spans="2:5" ht="43.5" customHeight="1" x14ac:dyDescent="0.35">
      <c r="B54" s="40" t="s">
        <v>110</v>
      </c>
      <c r="C54" s="41"/>
      <c r="D54" s="41"/>
      <c r="E54" s="41"/>
    </row>
    <row r="55" spans="2:5" ht="43.5" customHeight="1" x14ac:dyDescent="0.35">
      <c r="B55" s="40" t="s">
        <v>111</v>
      </c>
      <c r="C55" s="41"/>
      <c r="D55" s="41"/>
      <c r="E55" s="41"/>
    </row>
    <row r="56" spans="2:5" ht="57" customHeight="1" x14ac:dyDescent="0.35">
      <c r="B56" s="40" t="s">
        <v>112</v>
      </c>
      <c r="C56" s="41"/>
      <c r="D56" s="41"/>
      <c r="E56" s="41"/>
    </row>
    <row r="57" spans="2:5" ht="43.5" customHeight="1" x14ac:dyDescent="0.35">
      <c r="B57" s="40" t="s">
        <v>113</v>
      </c>
      <c r="C57" s="41"/>
      <c r="D57" s="41"/>
      <c r="E57" s="41"/>
    </row>
    <row r="58" spans="2:5" ht="43.5" customHeight="1" x14ac:dyDescent="0.35">
      <c r="B58" s="40" t="s">
        <v>114</v>
      </c>
      <c r="C58" s="41"/>
      <c r="D58" s="41"/>
      <c r="E58" s="41"/>
    </row>
    <row r="59" spans="2:5" ht="43.5" customHeight="1" x14ac:dyDescent="0.35">
      <c r="B59" s="40" t="s">
        <v>115</v>
      </c>
      <c r="C59" s="41"/>
      <c r="D59" s="41"/>
      <c r="E59" s="41"/>
    </row>
    <row r="60" spans="2:5" ht="30" customHeight="1" x14ac:dyDescent="0.35">
      <c r="B60" s="40" t="s">
        <v>116</v>
      </c>
      <c r="C60" s="41"/>
      <c r="D60" s="41"/>
      <c r="E60" s="41"/>
    </row>
    <row r="61" spans="2:5" ht="43.5" customHeight="1" x14ac:dyDescent="0.35">
      <c r="B61" s="40" t="s">
        <v>117</v>
      </c>
      <c r="C61" s="41"/>
      <c r="D61" s="41"/>
      <c r="E61" s="41"/>
    </row>
    <row r="62" spans="2:5" ht="57" customHeight="1" x14ac:dyDescent="0.35">
      <c r="B62" s="40" t="s">
        <v>118</v>
      </c>
      <c r="C62" s="41"/>
      <c r="D62" s="41"/>
      <c r="E62" s="41"/>
    </row>
    <row r="64" spans="2:5" ht="18" customHeight="1" x14ac:dyDescent="0.35">
      <c r="B64" s="1" t="s">
        <v>119</v>
      </c>
      <c r="C64" s="1"/>
      <c r="D64" s="1"/>
      <c r="E64" s="1"/>
    </row>
    <row r="65" spans="2:5" ht="18" customHeight="1" x14ac:dyDescent="0.35">
      <c r="B65" s="5" t="s">
        <v>120</v>
      </c>
      <c r="C65" s="5" t="s">
        <v>121</v>
      </c>
      <c r="D65" s="5" t="s">
        <v>122</v>
      </c>
      <c r="E65" s="5" t="s">
        <v>123</v>
      </c>
    </row>
    <row r="66" spans="2:5" ht="57" customHeight="1" x14ac:dyDescent="0.35">
      <c r="B66" s="6" t="s">
        <v>124</v>
      </c>
      <c r="C66" s="7" t="s">
        <v>125</v>
      </c>
      <c r="D66" s="7" t="s">
        <v>126</v>
      </c>
      <c r="E66" s="7" t="s">
        <v>127</v>
      </c>
    </row>
    <row r="67" spans="2:5" ht="84" customHeight="1" x14ac:dyDescent="0.35">
      <c r="B67" s="6" t="s">
        <v>128</v>
      </c>
      <c r="C67" s="7" t="s">
        <v>129</v>
      </c>
      <c r="D67" s="7" t="s">
        <v>130</v>
      </c>
      <c r="E67" s="7" t="s">
        <v>131</v>
      </c>
    </row>
    <row r="68" spans="2:5" ht="30" customHeight="1" x14ac:dyDescent="0.35">
      <c r="B68" s="6" t="s">
        <v>132</v>
      </c>
      <c r="C68" s="7" t="s">
        <v>133</v>
      </c>
      <c r="D68" s="7" t="s">
        <v>134</v>
      </c>
      <c r="E68" s="7" t="s">
        <v>135</v>
      </c>
    </row>
    <row r="69" spans="2:5" ht="57" customHeight="1" x14ac:dyDescent="0.35">
      <c r="B69" s="6" t="s">
        <v>136</v>
      </c>
      <c r="C69" s="7" t="s">
        <v>137</v>
      </c>
      <c r="D69" s="7" t="s">
        <v>138</v>
      </c>
      <c r="E69" s="7" t="s">
        <v>139</v>
      </c>
    </row>
    <row r="70" spans="2:5" ht="84" customHeight="1" x14ac:dyDescent="0.35">
      <c r="B70" s="6" t="s">
        <v>140</v>
      </c>
      <c r="C70" s="7" t="s">
        <v>141</v>
      </c>
      <c r="D70" s="7" t="s">
        <v>142</v>
      </c>
      <c r="E70" s="7" t="s">
        <v>143</v>
      </c>
    </row>
    <row r="71" spans="2:5" ht="43.5" customHeight="1" x14ac:dyDescent="0.35">
      <c r="B71" s="6" t="s">
        <v>144</v>
      </c>
      <c r="C71" s="7" t="s">
        <v>145</v>
      </c>
      <c r="D71" s="7" t="s">
        <v>146</v>
      </c>
      <c r="E71" s="7" t="s">
        <v>147</v>
      </c>
    </row>
    <row r="72" spans="2:5" ht="43.5" customHeight="1" x14ac:dyDescent="0.35">
      <c r="B72" s="6" t="s">
        <v>148</v>
      </c>
      <c r="C72" s="7" t="s">
        <v>149</v>
      </c>
      <c r="D72" s="7" t="s">
        <v>150</v>
      </c>
      <c r="E72" s="7" t="s">
        <v>151</v>
      </c>
    </row>
    <row r="73" spans="2:5" ht="30" customHeight="1" x14ac:dyDescent="0.35">
      <c r="B73" s="6" t="s">
        <v>152</v>
      </c>
      <c r="C73" s="7" t="s">
        <v>153</v>
      </c>
      <c r="D73" s="7" t="s">
        <v>154</v>
      </c>
      <c r="E73" s="7" t="s">
        <v>155</v>
      </c>
    </row>
    <row r="75" spans="2:5" ht="18" customHeight="1" x14ac:dyDescent="0.35">
      <c r="B75" s="1" t="s">
        <v>156</v>
      </c>
      <c r="C75" s="1"/>
      <c r="D75" s="1"/>
      <c r="E75" s="1"/>
    </row>
    <row r="76" spans="2:5" ht="43.5" customHeight="1" x14ac:dyDescent="0.35">
      <c r="B76" s="40" t="s">
        <v>157</v>
      </c>
      <c r="C76" s="41"/>
      <c r="D76" s="41"/>
      <c r="E76" s="41"/>
    </row>
    <row r="77" spans="2:5" ht="43.5" customHeight="1" x14ac:dyDescent="0.35">
      <c r="B77" s="40" t="s">
        <v>158</v>
      </c>
      <c r="C77" s="41"/>
      <c r="D77" s="41"/>
      <c r="E77" s="41"/>
    </row>
    <row r="78" spans="2:5" ht="18" customHeight="1" x14ac:dyDescent="0.35">
      <c r="B78" s="5" t="s">
        <v>159</v>
      </c>
      <c r="C78" s="5" t="s">
        <v>160</v>
      </c>
      <c r="D78" s="5" t="s">
        <v>161</v>
      </c>
      <c r="E78" s="5" t="s">
        <v>162</v>
      </c>
    </row>
    <row r="79" spans="2:5" ht="30" customHeight="1" x14ac:dyDescent="0.35">
      <c r="B79" s="6" t="s">
        <v>163</v>
      </c>
      <c r="C79" s="7" t="s">
        <v>164</v>
      </c>
      <c r="D79" s="7" t="s">
        <v>165</v>
      </c>
      <c r="E79" s="7" t="s">
        <v>166</v>
      </c>
    </row>
    <row r="80" spans="2:5" ht="16.5" customHeight="1" x14ac:dyDescent="0.35">
      <c r="B80" s="6" t="s">
        <v>167</v>
      </c>
      <c r="C80" s="7" t="s">
        <v>168</v>
      </c>
      <c r="D80" s="7" t="s">
        <v>169</v>
      </c>
      <c r="E80" s="7" t="s">
        <v>170</v>
      </c>
    </row>
    <row r="81" spans="2:5" ht="30" customHeight="1" x14ac:dyDescent="0.35">
      <c r="B81" s="6" t="s">
        <v>171</v>
      </c>
      <c r="C81" s="7" t="s">
        <v>172</v>
      </c>
      <c r="D81" s="7" t="s">
        <v>173</v>
      </c>
      <c r="E81" s="7" t="s">
        <v>174</v>
      </c>
    </row>
    <row r="82" spans="2:5" ht="30" customHeight="1" x14ac:dyDescent="0.35">
      <c r="B82" s="6" t="s">
        <v>175</v>
      </c>
      <c r="C82" s="7" t="s">
        <v>176</v>
      </c>
      <c r="D82" s="7" t="s">
        <v>177</v>
      </c>
      <c r="E82" s="7" t="s">
        <v>178</v>
      </c>
    </row>
    <row r="83" spans="2:5" ht="16.5" customHeight="1" x14ac:dyDescent="0.35">
      <c r="B83" s="6" t="s">
        <v>179</v>
      </c>
      <c r="C83" s="7" t="s">
        <v>180</v>
      </c>
      <c r="D83" s="7" t="s">
        <v>181</v>
      </c>
      <c r="E83" s="7" t="s">
        <v>182</v>
      </c>
    </row>
    <row r="84" spans="2:5" ht="30" customHeight="1" x14ac:dyDescent="0.35">
      <c r="B84" s="6" t="s">
        <v>183</v>
      </c>
      <c r="C84" s="7" t="s">
        <v>184</v>
      </c>
      <c r="D84" s="7" t="s">
        <v>185</v>
      </c>
      <c r="E84" s="7" t="s">
        <v>186</v>
      </c>
    </row>
    <row r="85" spans="2:5" ht="30" customHeight="1" x14ac:dyDescent="0.35">
      <c r="B85" s="6" t="s">
        <v>187</v>
      </c>
      <c r="C85" s="7" t="s">
        <v>188</v>
      </c>
      <c r="D85" s="7" t="s">
        <v>189</v>
      </c>
      <c r="E85" s="7" t="s">
        <v>190</v>
      </c>
    </row>
    <row r="86" spans="2:5" ht="43.5" customHeight="1" x14ac:dyDescent="0.35">
      <c r="B86" s="6" t="s">
        <v>191</v>
      </c>
      <c r="C86" s="7" t="s">
        <v>192</v>
      </c>
      <c r="D86" s="7" t="s">
        <v>193</v>
      </c>
      <c r="E86" s="7" t="s">
        <v>194</v>
      </c>
    </row>
    <row r="87" spans="2:5" ht="30" customHeight="1" x14ac:dyDescent="0.35">
      <c r="B87" s="6" t="s">
        <v>195</v>
      </c>
      <c r="C87" s="7" t="s">
        <v>196</v>
      </c>
      <c r="D87" s="7" t="s">
        <v>197</v>
      </c>
      <c r="E87" s="7" t="s">
        <v>198</v>
      </c>
    </row>
    <row r="88" spans="2:5" ht="30" customHeight="1" x14ac:dyDescent="0.35">
      <c r="B88" s="6" t="s">
        <v>199</v>
      </c>
      <c r="C88" s="7" t="s">
        <v>200</v>
      </c>
      <c r="D88" s="7" t="s">
        <v>201</v>
      </c>
      <c r="E88" s="7" t="s">
        <v>202</v>
      </c>
    </row>
    <row r="89" spans="2:5" ht="57" customHeight="1" x14ac:dyDescent="0.35">
      <c r="B89" s="6" t="s">
        <v>203</v>
      </c>
      <c r="C89" s="7" t="s">
        <v>204</v>
      </c>
      <c r="D89" s="7" t="s">
        <v>205</v>
      </c>
      <c r="E89" s="7" t="s">
        <v>206</v>
      </c>
    </row>
    <row r="91" spans="2:5" ht="18" customHeight="1" x14ac:dyDescent="0.35">
      <c r="B91" s="1" t="s">
        <v>207</v>
      </c>
      <c r="C91" s="1"/>
      <c r="D91" s="1"/>
      <c r="E91" s="1"/>
    </row>
    <row r="92" spans="2:5" ht="18" customHeight="1" x14ac:dyDescent="0.35">
      <c r="B92" s="5" t="s">
        <v>208</v>
      </c>
      <c r="C92" s="44" t="s">
        <v>45</v>
      </c>
      <c r="D92" s="41"/>
      <c r="E92" s="41"/>
    </row>
    <row r="93" spans="2:5" ht="43.5" customHeight="1" x14ac:dyDescent="0.35">
      <c r="B93" s="6" t="s">
        <v>209</v>
      </c>
      <c r="C93" s="42" t="s">
        <v>210</v>
      </c>
      <c r="D93" s="43"/>
      <c r="E93" s="43"/>
    </row>
    <row r="94" spans="2:5" ht="84" customHeight="1" x14ac:dyDescent="0.35">
      <c r="B94" s="6" t="s">
        <v>211</v>
      </c>
      <c r="C94" s="42" t="s">
        <v>212</v>
      </c>
      <c r="D94" s="43"/>
      <c r="E94" s="43"/>
    </row>
    <row r="95" spans="2:5" ht="43.5" customHeight="1" x14ac:dyDescent="0.35">
      <c r="B95" s="6" t="s">
        <v>213</v>
      </c>
      <c r="C95" s="42" t="s">
        <v>214</v>
      </c>
      <c r="D95" s="43"/>
      <c r="E95" s="43"/>
    </row>
    <row r="97" spans="2:5" ht="18" customHeight="1" x14ac:dyDescent="0.35">
      <c r="B97" s="1" t="s">
        <v>215</v>
      </c>
      <c r="C97" s="1"/>
      <c r="D97" s="1"/>
      <c r="E97" s="1"/>
    </row>
    <row r="98" spans="2:5" ht="18" customHeight="1" x14ac:dyDescent="0.35">
      <c r="B98" s="5" t="s">
        <v>216</v>
      </c>
      <c r="C98" s="44" t="s">
        <v>217</v>
      </c>
      <c r="D98" s="41"/>
      <c r="E98" s="41"/>
    </row>
    <row r="99" spans="2:5" ht="43.5" customHeight="1" x14ac:dyDescent="0.35">
      <c r="B99" s="6" t="s">
        <v>218</v>
      </c>
      <c r="C99" s="42" t="s">
        <v>219</v>
      </c>
      <c r="D99" s="43"/>
      <c r="E99" s="43"/>
    </row>
    <row r="100" spans="2:5" ht="70.5" customHeight="1" x14ac:dyDescent="0.35">
      <c r="B100" s="6" t="s">
        <v>220</v>
      </c>
      <c r="C100" s="42" t="s">
        <v>221</v>
      </c>
      <c r="D100" s="43"/>
      <c r="E100" s="43"/>
    </row>
    <row r="101" spans="2:5" ht="43.5" customHeight="1" x14ac:dyDescent="0.35">
      <c r="B101" s="6" t="s">
        <v>222</v>
      </c>
      <c r="C101" s="42" t="s">
        <v>223</v>
      </c>
      <c r="D101" s="43"/>
      <c r="E101" s="43"/>
    </row>
    <row r="102" spans="2:5" ht="43.5" customHeight="1" x14ac:dyDescent="0.35">
      <c r="B102" s="6" t="s">
        <v>224</v>
      </c>
      <c r="C102" s="42" t="s">
        <v>225</v>
      </c>
      <c r="D102" s="43"/>
      <c r="E102" s="43"/>
    </row>
    <row r="103" spans="2:5" ht="43.5" customHeight="1" x14ac:dyDescent="0.35">
      <c r="B103" s="6" t="s">
        <v>226</v>
      </c>
      <c r="C103" s="42" t="s">
        <v>227</v>
      </c>
      <c r="D103" s="43"/>
      <c r="E103" s="43"/>
    </row>
    <row r="104" spans="2:5" ht="30" customHeight="1" x14ac:dyDescent="0.35">
      <c r="B104" s="6" t="s">
        <v>228</v>
      </c>
      <c r="C104" s="42" t="s">
        <v>229</v>
      </c>
      <c r="D104" s="43"/>
      <c r="E104" s="43"/>
    </row>
    <row r="105" spans="2:5" ht="30" customHeight="1" x14ac:dyDescent="0.35">
      <c r="B105" s="6" t="s">
        <v>230</v>
      </c>
      <c r="C105" s="42" t="s">
        <v>231</v>
      </c>
      <c r="D105" s="43"/>
      <c r="E105" s="43"/>
    </row>
    <row r="107" spans="2:5" ht="16.5" customHeight="1" x14ac:dyDescent="0.35">
      <c r="B107" s="47" t="s">
        <v>232</v>
      </c>
      <c r="C107" s="41"/>
      <c r="D107" s="41"/>
      <c r="E107" s="41"/>
    </row>
    <row r="109" spans="2:5" ht="36" customHeight="1" x14ac:dyDescent="0.35">
      <c r="B109" s="46" t="s">
        <v>233</v>
      </c>
      <c r="C109" s="41"/>
      <c r="D109" s="41"/>
      <c r="E109" s="41"/>
    </row>
  </sheetData>
  <sheetProtection sheet="1"/>
  <mergeCells count="51">
    <mergeCell ref="D22:E22"/>
    <mergeCell ref="D36:E36"/>
    <mergeCell ref="D31:E31"/>
    <mergeCell ref="C105:E105"/>
    <mergeCell ref="C12:E12"/>
    <mergeCell ref="C95:E95"/>
    <mergeCell ref="B76:E76"/>
    <mergeCell ref="C11:E11"/>
    <mergeCell ref="D27:E27"/>
    <mergeCell ref="B54:E54"/>
    <mergeCell ref="B62:E62"/>
    <mergeCell ref="D25:E25"/>
    <mergeCell ref="B61:E61"/>
    <mergeCell ref="C14:E14"/>
    <mergeCell ref="C16:E16"/>
    <mergeCell ref="C99:E99"/>
    <mergeCell ref="C94:E94"/>
    <mergeCell ref="C93:E93"/>
    <mergeCell ref="D34:E34"/>
    <mergeCell ref="B7:E7"/>
    <mergeCell ref="D32:E32"/>
    <mergeCell ref="B109:E109"/>
    <mergeCell ref="B59:E59"/>
    <mergeCell ref="B56:E56"/>
    <mergeCell ref="C13:E13"/>
    <mergeCell ref="B58:E58"/>
    <mergeCell ref="C102:E102"/>
    <mergeCell ref="D37:E37"/>
    <mergeCell ref="D28:E28"/>
    <mergeCell ref="B77:E77"/>
    <mergeCell ref="C101:E101"/>
    <mergeCell ref="C92:E92"/>
    <mergeCell ref="C15:E15"/>
    <mergeCell ref="B107:E107"/>
    <mergeCell ref="B60:E60"/>
    <mergeCell ref="B8:E8"/>
    <mergeCell ref="D24:E24"/>
    <mergeCell ref="B57:E57"/>
    <mergeCell ref="C98:E98"/>
    <mergeCell ref="C104:E104"/>
    <mergeCell ref="D33:E33"/>
    <mergeCell ref="B38:E38"/>
    <mergeCell ref="D23:E23"/>
    <mergeCell ref="B19:E19"/>
    <mergeCell ref="C100:E100"/>
    <mergeCell ref="D26:E26"/>
    <mergeCell ref="C103:E103"/>
    <mergeCell ref="D35:E35"/>
    <mergeCell ref="C10:E10"/>
    <mergeCell ref="B9:E9"/>
    <mergeCell ref="B55:E5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6EF6"/>
  </sheetPr>
  <dimension ref="B1:X66"/>
  <sheetViews>
    <sheetView showGridLines="0" workbookViewId="0">
      <pane xSplit="2" ySplit="10" topLeftCell="C11"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24" customWidth="1"/>
    <col min="3" max="3" width="12" customWidth="1"/>
    <col min="4" max="4" width="21" customWidth="1"/>
    <col min="5" max="5" width="10" customWidth="1"/>
    <col min="6" max="6" width="10.453125" customWidth="1"/>
    <col min="7" max="7" width="13.453125" customWidth="1"/>
    <col min="8" max="8" width="15.453125" customWidth="1"/>
    <col min="9" max="9" width="11" customWidth="1"/>
    <col min="10" max="10" width="13.453125" customWidth="1"/>
    <col min="11" max="11" width="12.453125" customWidth="1"/>
    <col min="12" max="12" width="11.453125" customWidth="1"/>
    <col min="13" max="15" width="12.453125" customWidth="1"/>
    <col min="16" max="16" width="13" customWidth="1"/>
    <col min="17" max="17" width="14.453125" customWidth="1"/>
    <col min="18" max="18" width="10.453125" customWidth="1"/>
    <col min="19" max="19" width="16" customWidth="1"/>
    <col min="20" max="21" width="11" customWidth="1"/>
    <col min="22" max="22" width="13" customWidth="1"/>
    <col min="23" max="23" width="60" customWidth="1"/>
    <col min="24" max="24" width="16.453125" customWidth="1"/>
  </cols>
  <sheetData>
    <row r="1" spans="2:24" ht="20" customHeight="1" x14ac:dyDescent="0.35">
      <c r="B1" s="1" t="s">
        <v>0</v>
      </c>
      <c r="C1" s="1"/>
      <c r="D1" s="1"/>
      <c r="E1" s="1"/>
      <c r="F1" s="1"/>
      <c r="G1" s="1"/>
      <c r="H1" s="1"/>
      <c r="I1" s="1"/>
      <c r="J1" s="1"/>
      <c r="K1" s="1"/>
      <c r="L1" s="1"/>
      <c r="M1" s="1"/>
      <c r="N1" s="1"/>
      <c r="O1" s="1"/>
      <c r="P1" s="1"/>
      <c r="Q1" s="1"/>
      <c r="R1" s="1"/>
      <c r="S1" s="1"/>
      <c r="T1" s="1"/>
      <c r="U1" s="1"/>
      <c r="V1" s="1"/>
      <c r="W1" s="1"/>
      <c r="X1" s="1"/>
    </row>
    <row r="2" spans="2:24" ht="26" customHeight="1" x14ac:dyDescent="0.35">
      <c r="B2" s="2" t="s">
        <v>29</v>
      </c>
    </row>
    <row r="3" spans="2:24" x14ac:dyDescent="0.35">
      <c r="B3" s="3" t="s">
        <v>234</v>
      </c>
    </row>
    <row r="5" spans="2:24" x14ac:dyDescent="0.35">
      <c r="B5" s="9" t="s">
        <v>235</v>
      </c>
      <c r="E5" s="9" t="s">
        <v>236</v>
      </c>
    </row>
    <row r="7" spans="2:24" x14ac:dyDescent="0.35">
      <c r="B7" s="10" t="s">
        <v>237</v>
      </c>
      <c r="C7" s="11">
        <v>46203</v>
      </c>
      <c r="E7" s="9" t="s">
        <v>238</v>
      </c>
    </row>
    <row r="8" spans="2:24" x14ac:dyDescent="0.35">
      <c r="B8" s="10" t="s">
        <v>239</v>
      </c>
      <c r="C8" s="12" t="str">
        <f>IF(Synthèse!$C$7="OK","OK","À CORRIGER")</f>
        <v>OK</v>
      </c>
      <c r="E8" s="9" t="s">
        <v>240</v>
      </c>
    </row>
    <row r="10" spans="2:24" ht="34" customHeight="1" x14ac:dyDescent="0.35">
      <c r="B10" s="13" t="s">
        <v>241</v>
      </c>
      <c r="C10" s="13" t="s">
        <v>242</v>
      </c>
      <c r="D10" s="13" t="s">
        <v>243</v>
      </c>
      <c r="E10" s="13" t="s">
        <v>244</v>
      </c>
      <c r="F10" s="13" t="s">
        <v>245</v>
      </c>
      <c r="G10" s="13" t="s">
        <v>246</v>
      </c>
      <c r="H10" s="13" t="s">
        <v>247</v>
      </c>
      <c r="I10" s="13" t="s">
        <v>248</v>
      </c>
      <c r="J10" s="13" t="s">
        <v>249</v>
      </c>
      <c r="K10" s="13" t="s">
        <v>144</v>
      </c>
      <c r="L10" s="13" t="s">
        <v>250</v>
      </c>
      <c r="M10" s="13" t="s">
        <v>251</v>
      </c>
      <c r="N10" s="13" t="s">
        <v>252</v>
      </c>
      <c r="O10" s="13" t="s">
        <v>253</v>
      </c>
      <c r="P10" s="13" t="s">
        <v>254</v>
      </c>
      <c r="Q10" s="13" t="s">
        <v>255</v>
      </c>
      <c r="R10" s="13" t="s">
        <v>256</v>
      </c>
      <c r="S10" s="13" t="s">
        <v>257</v>
      </c>
      <c r="T10" s="13" t="s">
        <v>258</v>
      </c>
      <c r="U10" s="13" t="s">
        <v>259</v>
      </c>
      <c r="V10" s="13" t="s">
        <v>260</v>
      </c>
      <c r="W10" s="13" t="s">
        <v>261</v>
      </c>
      <c r="X10" s="13" t="s">
        <v>262</v>
      </c>
    </row>
    <row r="11" spans="2:24" ht="15" customHeight="1" x14ac:dyDescent="0.35">
      <c r="B11" s="14" t="s">
        <v>263</v>
      </c>
      <c r="C11" s="14" t="s">
        <v>264</v>
      </c>
      <c r="D11" s="14" t="s">
        <v>265</v>
      </c>
      <c r="E11" s="14" t="s">
        <v>266</v>
      </c>
      <c r="F11" s="15">
        <v>420</v>
      </c>
      <c r="G11" s="16">
        <v>285</v>
      </c>
      <c r="H11" s="17">
        <f t="shared" ref="H11:H50" si="0">IF(AND(ISNUMBER(F11),ISNUMBER(G11)),F11*G11,0)</f>
        <v>119700</v>
      </c>
      <c r="I11" s="16">
        <v>300</v>
      </c>
      <c r="J11" s="17">
        <f t="shared" ref="J11:J50" si="1">IF(AND(ISNUMBER(F11),ISNUMBER(I11)),F11*I11,0)</f>
        <v>126000</v>
      </c>
      <c r="K11" s="17">
        <f t="shared" ref="K11:K50" si="2">IF(OR(H11&lt;=0,J11&lt;=0),"",J11-H11)</f>
        <v>6300</v>
      </c>
      <c r="L11" s="18">
        <f t="shared" ref="L11:L50" si="3">IF(OR(H11&lt;=0,J11&lt;=0),"",J11/H11-1)</f>
        <v>5.2631578947368363E-2</v>
      </c>
      <c r="M11" s="11">
        <v>45108</v>
      </c>
      <c r="N11" s="11">
        <v>48395</v>
      </c>
      <c r="O11" s="19"/>
      <c r="P11" s="11"/>
      <c r="Q11" s="20">
        <f>IF(OR(NOT(ISNUMBER($C$7)),NOT(ISNUMBER(M11)),NOT(ISNUMBER(N11))),"",IF(ISNUMBER(P11),P11,IF((IF(OR(O11="",NOT(ISNUMBER(O11))),Paramètres!$C$8,O11))&lt;=0,"",MIN(EDATE(M11,(12*(IF(OR(O11="",NOT(ISNUMBER(O11))),Paramètres!$C$8,O11)))*MAX(1,INT(((YEAR($C$7+1)-YEAR(M11))*12+MONTH($C$7+1)-MONTH(M11)-(DAY($C$7+1)&lt;DAY(M11)))/(12*(IF(OR(O11="",NOT(ISNUMBER(O11))),Paramètres!$C$8,O11))))+1))-1,N11))))</f>
        <v>47299</v>
      </c>
      <c r="R11" s="21">
        <v>3</v>
      </c>
      <c r="S11" s="17">
        <f>IF(H11=0,0,IF(OR(R11="",R11=0),H11,IF(OR(NOT(ISNUMBER(R11)),(IF(OR(NOT(ISNUMBER(M11)),NOT(ISNUMBER(N11)),N11&lt;=M11),0,MIN(12*(IF(OR(O11="",NOT(ISNUMBER(O11))),Paramètres!$C$8,O11)),(YEAR(N11)-YEAR(M11))*12+MONTH(N11)-MONTH(M11)+1)))&lt;=0),0,MAX(0,H11*(1-R11/(IF(OR(NOT(ISNUMBER(M11)),NOT(ISNUMBER(N11)),N11&lt;=M11),0,MIN(12*(IF(OR(O11="",NOT(ISNUMBER(O11))),Paramètres!$C$8,O11)),(YEAR(N11)-YEAR(M11))*12+MONTH(N11)-MONTH(M11)+1))))))))</f>
        <v>109725</v>
      </c>
      <c r="T11" s="22">
        <f t="shared" ref="T11:T50" si="4">IF(AND(ISNUMBER(N11),ISNUMBER($C$7)),MAX(0,(N11-$C$7)/365.25),0)</f>
        <v>6.0013689253935665</v>
      </c>
      <c r="U11" s="22">
        <f t="shared" ref="U11:U50" si="5">IF(AND(ISNUMBER(Q11),ISNUMBER($C$7)),MAX(0,(Q11-$C$7)/365.25),0)</f>
        <v>3.0006844626967832</v>
      </c>
      <c r="V11" s="12" t="str">
        <f>IF(COUNTA(B11,C11,D11,E11,F11,G11,I11,M11,N11,O11,P11,R11)&gt;0,IF(AND(COUNT(Paramètres!$C$8:$C$12)=5,COUNT(Paramètres!$C$16:$C$25)=10,ISNUMBER($C$7),B11&lt;&gt;"",NOT(ISNA(MATCH(C11,Paramètres!$B$29:$B$34,0))),NOT(ISNA(MATCH(E11,Paramètres!$D$29:$D$30,0))),ISNUMBER(F11),F11&gt;0,F11&lt;=Paramètres!$C$22,OR(I11="",AND(ISNUMBER(I11),I11&gt;=0,I11&lt;=Paramètres!$C$21)),IF(E11=Paramètres!$D$29,AND(D11&lt;&gt;"",ISNUMBER(G11),G11&gt;0,G11&lt;=Paramètres!$C$21,ISNUMBER(M11),ISNUMBER(N11),N11&gt;M11,(N(N11)-N(M11))/365.25&lt;=Paramètres!$C$23,OR(O11="",AND(ISNUMBER(O11),O11&gt;=1,O11&lt;=Paramètres!$C$23,O11=INT(N(O11)))),OR(P11="",AND(ISNUMBER(P11),P11&gt;$C$7,P11&lt;=N11)),OR(R11="",AND(ISNUMBER(R11),R11&gt;=0,R11&lt;=Paramètres!$C$24,R11&lt;=(IF(OR(NOT(ISNUMBER(M11)),NOT(ISNUMBER(N11)),N11&lt;=M11),0,MIN(12*(IF(OR(O11="",NOT(ISNUMBER(O11))),Paramètres!$C$8,O11)),(YEAR(N11)-YEAR(M11))*12+MONTH(N11)-MONTH(M11)+1)))))),AND(D11="",OR(G11="",G11=0)))),"OK","À CORRIGER"),"")</f>
        <v>OK</v>
      </c>
      <c r="W11" s="23" t="str">
        <f>IF(NOT(COUNTA(B11,C11,D11,E11,F11,G11,I11,M11,N11,O11,P11,R11)&gt;0),"",IF(OR(COUNT(Paramètres!$C$8:$C$12)&lt;&gt;5,COUNT(Paramètres!$C$16:$C$25)&lt;&gt;10),"Un paramètre de l'onglet Paramètres est vide.",IF(NOT(ISNUMBER($C$7)),"Date d'analyse manquante.",IF(B11="","Libellé du lot manquant.",IF(ISNA(MATCH(C11,Paramètres!$B$29:$B$34,0)),"Nature hors liste.",IF(ISNA(MATCH(E11,Paramètres!$D$29:$D$30,0)),"Statut hors liste.",IF(NOT(AND(ISNUMBER(F11),F11&gt;0)),"Surface manquante ou nulle.",IF(F11&gt;Paramètres!$C$22,"Surface au-delà du garde-fou de saisie.",IF(AND(I11&lt;&gt;"",NOT(AND(ISNUMBER(I11),I11&gt;=0,I11&lt;=Paramètres!$C$21))),"Valeur locative de marché hors bornes.",IF(AND(E11=Paramètres!$D$29,D11=""),"Lot déclaré loué sans locataire.",IF(AND(E11=Paramètres!$D$29,NOT(AND(ISNUMBER(G11),G11&gt;0))),"Loyer facial manquant ou nul.",IF(AND(E11=Paramètres!$D$29,G11&gt;Paramètres!$C$21),"Loyer facial au-delà du garde-fou de saisie.",IF(AND(E11=Paramètres!$D$29,NOT(ISNUMBER(M11))),"Date de prise d'effet manquante.",IF(AND(E11=Paramètres!$D$29,NOT(ISNUMBER(N11))),"Date d'échéance manquante.",IF(AND(E11=Paramètres!$D$29,N11&lt;=M11),"Échéance antérieure ou égale à la prise d'effet.",IF(AND(E11=Paramètres!$D$29,(N(N11)-N(M11))/365.25&gt;Paramètres!$C$23),"Durée du bail au-delà du garde-fou de saisie.",IF(AND(E11=Paramètres!$D$29,O11&lt;&gt;"",NOT(AND(ISNUMBER(O11),O11&gt;=1,O11&lt;=Paramètres!$C$23,O11=INT(N(O11))))),"Périodicité de sortie hors bornes.",IF(AND(E11=Paramètres!$D$29,P11&lt;&gt;"",NOT(AND(ISNUMBER(P11),P11&gt;$C$7,P11&lt;=N11))),"Sortie forcée hors de l'intervalle admis.",IF(AND(E11=Paramètres!$D$29,R11&lt;&gt;"",NOT(AND(ISNUMBER(R11),R11&gt;=0,R11&lt;=Paramètres!$C$24,R11&lt;=(IF(OR(NOT(ISNUMBER(M11)),NOT(ISNUMBER(N11)),N11&lt;=M11),0,MIN(12*(IF(OR(O11="",NOT(ISNUMBER(O11))),Paramètres!$C$8,O11)),(YEAR(N11)-YEAR(M11))*12+MONTH(N11)-MONTH(M11)+1)))))),"Franchise hors bornes ou plus longue que la période ferme.",IF(AND(E11=Paramètres!$D$30,D11&lt;&gt;""),"Lot vacant avec un locataire renseigné.",IF(AND(E11=Paramètres!$D$30,G11&lt;&gt;"",G11&lt;&gt;0),"Lot vacant avec un loyer renseigné.",IF(AND(E11=Paramètres!$D$29,ISNUMBER(N11),ISNUMBER($C$7),N11&lt;$C$7),"Bail échu, en tacite prolongation.",IF(I11="","Valeur locative de marché non renseignée.","")))))))))))))))))))))))</f>
        <v/>
      </c>
      <c r="X11" s="17">
        <f>IF(AND(V11="OK",E11=Paramètres!$D$29),SUMIFS($H$11:$H$50,$D$11:$D$50,D11,$E$11:$E$50,Paramètres!$D$29,$V$11:$V$50,"OK"),0)</f>
        <v>178080</v>
      </c>
    </row>
    <row r="12" spans="2:24" ht="15" customHeight="1" x14ac:dyDescent="0.35">
      <c r="B12" s="14" t="s">
        <v>267</v>
      </c>
      <c r="C12" s="14" t="s">
        <v>264</v>
      </c>
      <c r="D12" s="14" t="s">
        <v>268</v>
      </c>
      <c r="E12" s="14" t="s">
        <v>266</v>
      </c>
      <c r="F12" s="15">
        <v>310</v>
      </c>
      <c r="G12" s="16">
        <v>275</v>
      </c>
      <c r="H12" s="17">
        <f t="shared" si="0"/>
        <v>85250</v>
      </c>
      <c r="I12" s="16">
        <v>300</v>
      </c>
      <c r="J12" s="17">
        <f t="shared" si="1"/>
        <v>93000</v>
      </c>
      <c r="K12" s="17">
        <f t="shared" si="2"/>
        <v>7750</v>
      </c>
      <c r="L12" s="18">
        <f t="shared" si="3"/>
        <v>9.0909090909090828E-2</v>
      </c>
      <c r="M12" s="11">
        <v>44197</v>
      </c>
      <c r="N12" s="11">
        <v>47483</v>
      </c>
      <c r="O12" s="19"/>
      <c r="P12" s="11"/>
      <c r="Q12" s="20">
        <f>IF(OR(NOT(ISNUMBER($C$7)),NOT(ISNUMBER(M12)),NOT(ISNUMBER(N12))),"",IF(ISNUMBER(P12),P12,IF((IF(OR(O12="",NOT(ISNUMBER(O12))),Paramètres!$C$8,O12))&lt;=0,"",MIN(EDATE(M12,(12*(IF(OR(O12="",NOT(ISNUMBER(O12))),Paramètres!$C$8,O12)))*MAX(1,INT(((YEAR($C$7+1)-YEAR(M12))*12+MONTH($C$7+1)-MONTH(M12)-(DAY($C$7+1)&lt;DAY(M12)))/(12*(IF(OR(O12="",NOT(ISNUMBER(O12))),Paramètres!$C$8,O12))))+1))-1,N12))))</f>
        <v>46387</v>
      </c>
      <c r="R12" s="21"/>
      <c r="S12" s="17">
        <f>IF(H12=0,0,IF(OR(R12="",R12=0),H12,IF(OR(NOT(ISNUMBER(R12)),(IF(OR(NOT(ISNUMBER(M12)),NOT(ISNUMBER(N12)),N12&lt;=M12),0,MIN(12*(IF(OR(O12="",NOT(ISNUMBER(O12))),Paramètres!$C$8,O12)),(YEAR(N12)-YEAR(M12))*12+MONTH(N12)-MONTH(M12)+1)))&lt;=0),0,MAX(0,H12*(1-R12/(IF(OR(NOT(ISNUMBER(M12)),NOT(ISNUMBER(N12)),N12&lt;=M12),0,MIN(12*(IF(OR(O12="",NOT(ISNUMBER(O12))),Paramètres!$C$8,O12)),(YEAR(N12)-YEAR(M12))*12+MONTH(N12)-MONTH(M12)+1))))))))</f>
        <v>85250</v>
      </c>
      <c r="T12" s="22">
        <f t="shared" si="4"/>
        <v>3.5044490075290895</v>
      </c>
      <c r="U12" s="22">
        <f t="shared" si="5"/>
        <v>0.50376454483230659</v>
      </c>
      <c r="V12" s="12" t="str">
        <f>IF(COUNTA(B12,C12,D12,E12,F12,G12,I12,M12,N12,O12,P12,R12)&gt;0,IF(AND(COUNT(Paramètres!$C$8:$C$12)=5,COUNT(Paramètres!$C$16:$C$25)=10,ISNUMBER($C$7),B12&lt;&gt;"",NOT(ISNA(MATCH(C12,Paramètres!$B$29:$B$34,0))),NOT(ISNA(MATCH(E12,Paramètres!$D$29:$D$30,0))),ISNUMBER(F12),F12&gt;0,F12&lt;=Paramètres!$C$22,OR(I12="",AND(ISNUMBER(I12),I12&gt;=0,I12&lt;=Paramètres!$C$21)),IF(E12=Paramètres!$D$29,AND(D12&lt;&gt;"",ISNUMBER(G12),G12&gt;0,G12&lt;=Paramètres!$C$21,ISNUMBER(M12),ISNUMBER(N12),N12&gt;M12,(N(N12)-N(M12))/365.25&lt;=Paramètres!$C$23,OR(O12="",AND(ISNUMBER(O12),O12&gt;=1,O12&lt;=Paramètres!$C$23,O12=INT(N(O12)))),OR(P12="",AND(ISNUMBER(P12),P12&gt;$C$7,P12&lt;=N12)),OR(R12="",AND(ISNUMBER(R12),R12&gt;=0,R12&lt;=Paramètres!$C$24,R12&lt;=(IF(OR(NOT(ISNUMBER(M12)),NOT(ISNUMBER(N12)),N12&lt;=M12),0,MIN(12*(IF(OR(O12="",NOT(ISNUMBER(O12))),Paramètres!$C$8,O12)),(YEAR(N12)-YEAR(M12))*12+MONTH(N12)-MONTH(M12)+1)))))),AND(D12="",OR(G12="",G12=0)))),"OK","À CORRIGER"),"")</f>
        <v>OK</v>
      </c>
      <c r="W12" s="23" t="str">
        <f>IF(NOT(COUNTA(B12,C12,D12,E12,F12,G12,I12,M12,N12,O12,P12,R12)&gt;0),"",IF(OR(COUNT(Paramètres!$C$8:$C$12)&lt;&gt;5,COUNT(Paramètres!$C$16:$C$25)&lt;&gt;10),"Un paramètre de l'onglet Paramètres est vide.",IF(NOT(ISNUMBER($C$7)),"Date d'analyse manquante.",IF(B12="","Libellé du lot manquant.",IF(ISNA(MATCH(C12,Paramètres!$B$29:$B$34,0)),"Nature hors liste.",IF(ISNA(MATCH(E12,Paramètres!$D$29:$D$30,0)),"Statut hors liste.",IF(NOT(AND(ISNUMBER(F12),F12&gt;0)),"Surface manquante ou nulle.",IF(F12&gt;Paramètres!$C$22,"Surface au-delà du garde-fou de saisie.",IF(AND(I12&lt;&gt;"",NOT(AND(ISNUMBER(I12),I12&gt;=0,I12&lt;=Paramètres!$C$21))),"Valeur locative de marché hors bornes.",IF(AND(E12=Paramètres!$D$29,D12=""),"Lot déclaré loué sans locataire.",IF(AND(E12=Paramètres!$D$29,NOT(AND(ISNUMBER(G12),G12&gt;0))),"Loyer facial manquant ou nul.",IF(AND(E12=Paramètres!$D$29,G12&gt;Paramètres!$C$21),"Loyer facial au-delà du garde-fou de saisie.",IF(AND(E12=Paramètres!$D$29,NOT(ISNUMBER(M12))),"Date de prise d'effet manquante.",IF(AND(E12=Paramètres!$D$29,NOT(ISNUMBER(N12))),"Date d'échéance manquante.",IF(AND(E12=Paramètres!$D$29,N12&lt;=M12),"Échéance antérieure ou égale à la prise d'effet.",IF(AND(E12=Paramètres!$D$29,(N(N12)-N(M12))/365.25&gt;Paramètres!$C$23),"Durée du bail au-delà du garde-fou de saisie.",IF(AND(E12=Paramètres!$D$29,O12&lt;&gt;"",NOT(AND(ISNUMBER(O12),O12&gt;=1,O12&lt;=Paramètres!$C$23,O12=INT(N(O12))))),"Périodicité de sortie hors bornes.",IF(AND(E12=Paramètres!$D$29,P12&lt;&gt;"",NOT(AND(ISNUMBER(P12),P12&gt;$C$7,P12&lt;=N12))),"Sortie forcée hors de l'intervalle admis.",IF(AND(E12=Paramètres!$D$29,R12&lt;&gt;"",NOT(AND(ISNUMBER(R12),R12&gt;=0,R12&lt;=Paramètres!$C$24,R12&lt;=(IF(OR(NOT(ISNUMBER(M12)),NOT(ISNUMBER(N12)),N12&lt;=M12),0,MIN(12*(IF(OR(O12="",NOT(ISNUMBER(O12))),Paramètres!$C$8,O12)),(YEAR(N12)-YEAR(M12))*12+MONTH(N12)-MONTH(M12)+1)))))),"Franchise hors bornes ou plus longue que la période ferme.",IF(AND(E12=Paramètres!$D$30,D12&lt;&gt;""),"Lot vacant avec un locataire renseigné.",IF(AND(E12=Paramètres!$D$30,G12&lt;&gt;"",G12&lt;&gt;0),"Lot vacant avec un loyer renseigné.",IF(AND(E12=Paramètres!$D$29,ISNUMBER(N12),ISNUMBER($C$7),N12&lt;$C$7),"Bail échu, en tacite prolongation.",IF(I12="","Valeur locative de marché non renseignée.","")))))))))))))))))))))))</f>
        <v/>
      </c>
      <c r="X12" s="17">
        <f>IF(AND(V12="OK",E12=Paramètres!$D$29),SUMIFS($H$11:$H$50,$D$11:$D$50,D12,$E$11:$E$50,Paramètres!$D$29,$V$11:$V$50,"OK"),0)</f>
        <v>85250</v>
      </c>
    </row>
    <row r="13" spans="2:24" ht="15" customHeight="1" x14ac:dyDescent="0.35">
      <c r="B13" s="14" t="s">
        <v>269</v>
      </c>
      <c r="C13" s="14" t="s">
        <v>270</v>
      </c>
      <c r="D13" s="14" t="s">
        <v>271</v>
      </c>
      <c r="E13" s="14" t="s">
        <v>266</v>
      </c>
      <c r="F13" s="15">
        <v>180</v>
      </c>
      <c r="G13" s="16">
        <v>420</v>
      </c>
      <c r="H13" s="17">
        <f t="shared" si="0"/>
        <v>75600</v>
      </c>
      <c r="I13" s="16">
        <v>400</v>
      </c>
      <c r="J13" s="17">
        <f t="shared" si="1"/>
        <v>72000</v>
      </c>
      <c r="K13" s="17">
        <f t="shared" si="2"/>
        <v>-3600</v>
      </c>
      <c r="L13" s="18">
        <f t="shared" si="3"/>
        <v>-4.7619047619047672E-2</v>
      </c>
      <c r="M13" s="11">
        <v>44440</v>
      </c>
      <c r="N13" s="11">
        <v>47726</v>
      </c>
      <c r="O13" s="19"/>
      <c r="P13" s="11"/>
      <c r="Q13" s="20">
        <f>IF(OR(NOT(ISNUMBER($C$7)),NOT(ISNUMBER(M13)),NOT(ISNUMBER(N13))),"",IF(ISNUMBER(P13),P13,IF((IF(OR(O13="",NOT(ISNUMBER(O13))),Paramètres!$C$8,O13))&lt;=0,"",MIN(EDATE(M13,(12*(IF(OR(O13="",NOT(ISNUMBER(O13))),Paramètres!$C$8,O13)))*MAX(1,INT(((YEAR($C$7+1)-YEAR(M13))*12+MONTH($C$7+1)-MONTH(M13)-(DAY($C$7+1)&lt;DAY(M13)))/(12*(IF(OR(O13="",NOT(ISNUMBER(O13))),Paramètres!$C$8,O13))))+1))-1,N13))))</f>
        <v>46630</v>
      </c>
      <c r="R13" s="21"/>
      <c r="S13" s="17">
        <f>IF(H13=0,0,IF(OR(R13="",R13=0),H13,IF(OR(NOT(ISNUMBER(R13)),(IF(OR(NOT(ISNUMBER(M13)),NOT(ISNUMBER(N13)),N13&lt;=M13),0,MIN(12*(IF(OR(O13="",NOT(ISNUMBER(O13))),Paramètres!$C$8,O13)),(YEAR(N13)-YEAR(M13))*12+MONTH(N13)-MONTH(M13)+1)))&lt;=0),0,MAX(0,H13*(1-R13/(IF(OR(NOT(ISNUMBER(M13)),NOT(ISNUMBER(N13)),N13&lt;=M13),0,MIN(12*(IF(OR(O13="",NOT(ISNUMBER(O13))),Paramètres!$C$8,O13)),(YEAR(N13)-YEAR(M13))*12+MONTH(N13)-MONTH(M13)+1))))))))</f>
        <v>75600</v>
      </c>
      <c r="T13" s="22">
        <f t="shared" si="4"/>
        <v>4.16974674880219</v>
      </c>
      <c r="U13" s="22">
        <f t="shared" si="5"/>
        <v>1.1690622861054072</v>
      </c>
      <c r="V13" s="12" t="str">
        <f>IF(COUNTA(B13,C13,D13,E13,F13,G13,I13,M13,N13,O13,P13,R13)&gt;0,IF(AND(COUNT(Paramètres!$C$8:$C$12)=5,COUNT(Paramètres!$C$16:$C$25)=10,ISNUMBER($C$7),B13&lt;&gt;"",NOT(ISNA(MATCH(C13,Paramètres!$B$29:$B$34,0))),NOT(ISNA(MATCH(E13,Paramètres!$D$29:$D$30,0))),ISNUMBER(F13),F13&gt;0,F13&lt;=Paramètres!$C$22,OR(I13="",AND(ISNUMBER(I13),I13&gt;=0,I13&lt;=Paramètres!$C$21)),IF(E13=Paramètres!$D$29,AND(D13&lt;&gt;"",ISNUMBER(G13),G13&gt;0,G13&lt;=Paramètres!$C$21,ISNUMBER(M13),ISNUMBER(N13),N13&gt;M13,(N(N13)-N(M13))/365.25&lt;=Paramètres!$C$23,OR(O13="",AND(ISNUMBER(O13),O13&gt;=1,O13&lt;=Paramètres!$C$23,O13=INT(N(O13)))),OR(P13="",AND(ISNUMBER(P13),P13&gt;$C$7,P13&lt;=N13)),OR(R13="",AND(ISNUMBER(R13),R13&gt;=0,R13&lt;=Paramètres!$C$24,R13&lt;=(IF(OR(NOT(ISNUMBER(M13)),NOT(ISNUMBER(N13)),N13&lt;=M13),0,MIN(12*(IF(OR(O13="",NOT(ISNUMBER(O13))),Paramètres!$C$8,O13)),(YEAR(N13)-YEAR(M13))*12+MONTH(N13)-MONTH(M13)+1)))))),AND(D13="",OR(G13="",G13=0)))),"OK","À CORRIGER"),"")</f>
        <v>OK</v>
      </c>
      <c r="W13" s="23" t="str">
        <f>IF(NOT(COUNTA(B13,C13,D13,E13,F13,G13,I13,M13,N13,O13,P13,R13)&gt;0),"",IF(OR(COUNT(Paramètres!$C$8:$C$12)&lt;&gt;5,COUNT(Paramètres!$C$16:$C$25)&lt;&gt;10),"Un paramètre de l'onglet Paramètres est vide.",IF(NOT(ISNUMBER($C$7)),"Date d'analyse manquante.",IF(B13="","Libellé du lot manquant.",IF(ISNA(MATCH(C13,Paramètres!$B$29:$B$34,0)),"Nature hors liste.",IF(ISNA(MATCH(E13,Paramètres!$D$29:$D$30,0)),"Statut hors liste.",IF(NOT(AND(ISNUMBER(F13),F13&gt;0)),"Surface manquante ou nulle.",IF(F13&gt;Paramètres!$C$22,"Surface au-delà du garde-fou de saisie.",IF(AND(I13&lt;&gt;"",NOT(AND(ISNUMBER(I13),I13&gt;=0,I13&lt;=Paramètres!$C$21))),"Valeur locative de marché hors bornes.",IF(AND(E13=Paramètres!$D$29,D13=""),"Lot déclaré loué sans locataire.",IF(AND(E13=Paramètres!$D$29,NOT(AND(ISNUMBER(G13),G13&gt;0))),"Loyer facial manquant ou nul.",IF(AND(E13=Paramètres!$D$29,G13&gt;Paramètres!$C$21),"Loyer facial au-delà du garde-fou de saisie.",IF(AND(E13=Paramètres!$D$29,NOT(ISNUMBER(M13))),"Date de prise d'effet manquante.",IF(AND(E13=Paramètres!$D$29,NOT(ISNUMBER(N13))),"Date d'échéance manquante.",IF(AND(E13=Paramètres!$D$29,N13&lt;=M13),"Échéance antérieure ou égale à la prise d'effet.",IF(AND(E13=Paramètres!$D$29,(N(N13)-N(M13))/365.25&gt;Paramètres!$C$23),"Durée du bail au-delà du garde-fou de saisie.",IF(AND(E13=Paramètres!$D$29,O13&lt;&gt;"",NOT(AND(ISNUMBER(O13),O13&gt;=1,O13&lt;=Paramètres!$C$23,O13=INT(N(O13))))),"Périodicité de sortie hors bornes.",IF(AND(E13=Paramètres!$D$29,P13&lt;&gt;"",NOT(AND(ISNUMBER(P13),P13&gt;$C$7,P13&lt;=N13))),"Sortie forcée hors de l'intervalle admis.",IF(AND(E13=Paramètres!$D$29,R13&lt;&gt;"",NOT(AND(ISNUMBER(R13),R13&gt;=0,R13&lt;=Paramètres!$C$24,R13&lt;=(IF(OR(NOT(ISNUMBER(M13)),NOT(ISNUMBER(N13)),N13&lt;=M13),0,MIN(12*(IF(OR(O13="",NOT(ISNUMBER(O13))),Paramètres!$C$8,O13)),(YEAR(N13)-YEAR(M13))*12+MONTH(N13)-MONTH(M13)+1)))))),"Franchise hors bornes ou plus longue que la période ferme.",IF(AND(E13=Paramètres!$D$30,D13&lt;&gt;""),"Lot vacant avec un locataire renseigné.",IF(AND(E13=Paramètres!$D$30,G13&lt;&gt;"",G13&lt;&gt;0),"Lot vacant avec un loyer renseigné.",IF(AND(E13=Paramètres!$D$29,ISNUMBER(N13),ISNUMBER($C$7),N13&lt;$C$7),"Bail échu, en tacite prolongation.",IF(I13="","Valeur locative de marché non renseignée.","")))))))))))))))))))))))</f>
        <v/>
      </c>
      <c r="X13" s="17">
        <f>IF(AND(V13="OK",E13=Paramètres!$D$29),SUMIFS($H$11:$H$50,$D$11:$D$50,D13,$E$11:$E$50,Paramètres!$D$29,$V$11:$V$50,"OK"),0)</f>
        <v>75600</v>
      </c>
    </row>
    <row r="14" spans="2:24" ht="15" customHeight="1" x14ac:dyDescent="0.35">
      <c r="B14" s="14" t="s">
        <v>272</v>
      </c>
      <c r="C14" s="14" t="s">
        <v>270</v>
      </c>
      <c r="D14" s="14"/>
      <c r="E14" s="14" t="s">
        <v>273</v>
      </c>
      <c r="F14" s="15">
        <v>95</v>
      </c>
      <c r="G14" s="16"/>
      <c r="H14" s="17">
        <f t="shared" si="0"/>
        <v>0</v>
      </c>
      <c r="I14" s="16">
        <v>380</v>
      </c>
      <c r="J14" s="17">
        <f t="shared" si="1"/>
        <v>36100</v>
      </c>
      <c r="K14" s="17" t="str">
        <f t="shared" si="2"/>
        <v/>
      </c>
      <c r="L14" s="18" t="str">
        <f t="shared" si="3"/>
        <v/>
      </c>
      <c r="M14" s="11"/>
      <c r="N14" s="11"/>
      <c r="O14" s="19"/>
      <c r="P14" s="11"/>
      <c r="Q14" s="20" t="str">
        <f>IF(OR(NOT(ISNUMBER($C$7)),NOT(ISNUMBER(M14)),NOT(ISNUMBER(N14))),"",IF(ISNUMBER(P14),P14,IF((IF(OR(O14="",NOT(ISNUMBER(O14))),Paramètres!$C$8,O14))&lt;=0,"",MIN(EDATE(M14,(12*(IF(OR(O14="",NOT(ISNUMBER(O14))),Paramètres!$C$8,O14)))*MAX(1,INT(((YEAR($C$7+1)-YEAR(M14))*12+MONTH($C$7+1)-MONTH(M14)-(DAY($C$7+1)&lt;DAY(M14)))/(12*(IF(OR(O14="",NOT(ISNUMBER(O14))),Paramètres!$C$8,O14))))+1))-1,N14))))</f>
        <v/>
      </c>
      <c r="R14" s="21"/>
      <c r="S14" s="17">
        <f>IF(H14=0,0,IF(OR(R14="",R14=0),H14,IF(OR(NOT(ISNUMBER(R14)),(IF(OR(NOT(ISNUMBER(M14)),NOT(ISNUMBER(N14)),N14&lt;=M14),0,MIN(12*(IF(OR(O14="",NOT(ISNUMBER(O14))),Paramètres!$C$8,O14)),(YEAR(N14)-YEAR(M14))*12+MONTH(N14)-MONTH(M14)+1)))&lt;=0),0,MAX(0,H14*(1-R14/(IF(OR(NOT(ISNUMBER(M14)),NOT(ISNUMBER(N14)),N14&lt;=M14),0,MIN(12*(IF(OR(O14="",NOT(ISNUMBER(O14))),Paramètres!$C$8,O14)),(YEAR(N14)-YEAR(M14))*12+MONTH(N14)-MONTH(M14)+1))))))))</f>
        <v>0</v>
      </c>
      <c r="T14" s="22">
        <f t="shared" si="4"/>
        <v>0</v>
      </c>
      <c r="U14" s="22">
        <f t="shared" si="5"/>
        <v>0</v>
      </c>
      <c r="V14" s="12" t="str">
        <f>IF(COUNTA(B14,C14,D14,E14,F14,G14,I14,M14,N14,O14,P14,R14)&gt;0,IF(AND(COUNT(Paramètres!$C$8:$C$12)=5,COUNT(Paramètres!$C$16:$C$25)=10,ISNUMBER($C$7),B14&lt;&gt;"",NOT(ISNA(MATCH(C14,Paramètres!$B$29:$B$34,0))),NOT(ISNA(MATCH(E14,Paramètres!$D$29:$D$30,0))),ISNUMBER(F14),F14&gt;0,F14&lt;=Paramètres!$C$22,OR(I14="",AND(ISNUMBER(I14),I14&gt;=0,I14&lt;=Paramètres!$C$21)),IF(E14=Paramètres!$D$29,AND(D14&lt;&gt;"",ISNUMBER(G14),G14&gt;0,G14&lt;=Paramètres!$C$21,ISNUMBER(M14),ISNUMBER(N14),N14&gt;M14,(N(N14)-N(M14))/365.25&lt;=Paramètres!$C$23,OR(O14="",AND(ISNUMBER(O14),O14&gt;=1,O14&lt;=Paramètres!$C$23,O14=INT(N(O14)))),OR(P14="",AND(ISNUMBER(P14),P14&gt;$C$7,P14&lt;=N14)),OR(R14="",AND(ISNUMBER(R14),R14&gt;=0,R14&lt;=Paramètres!$C$24,R14&lt;=(IF(OR(NOT(ISNUMBER(M14)),NOT(ISNUMBER(N14)),N14&lt;=M14),0,MIN(12*(IF(OR(O14="",NOT(ISNUMBER(O14))),Paramètres!$C$8,O14)),(YEAR(N14)-YEAR(M14))*12+MONTH(N14)-MONTH(M14)+1)))))),AND(D14="",OR(G14="",G14=0)))),"OK","À CORRIGER"),"")</f>
        <v>OK</v>
      </c>
      <c r="W14" s="23" t="str">
        <f>IF(NOT(COUNTA(B14,C14,D14,E14,F14,G14,I14,M14,N14,O14,P14,R14)&gt;0),"",IF(OR(COUNT(Paramètres!$C$8:$C$12)&lt;&gt;5,COUNT(Paramètres!$C$16:$C$25)&lt;&gt;10),"Un paramètre de l'onglet Paramètres est vide.",IF(NOT(ISNUMBER($C$7)),"Date d'analyse manquante.",IF(B14="","Libellé du lot manquant.",IF(ISNA(MATCH(C14,Paramètres!$B$29:$B$34,0)),"Nature hors liste.",IF(ISNA(MATCH(E14,Paramètres!$D$29:$D$30,0)),"Statut hors liste.",IF(NOT(AND(ISNUMBER(F14),F14&gt;0)),"Surface manquante ou nulle.",IF(F14&gt;Paramètres!$C$22,"Surface au-delà du garde-fou de saisie.",IF(AND(I14&lt;&gt;"",NOT(AND(ISNUMBER(I14),I14&gt;=0,I14&lt;=Paramètres!$C$21))),"Valeur locative de marché hors bornes.",IF(AND(E14=Paramètres!$D$29,D14=""),"Lot déclaré loué sans locataire.",IF(AND(E14=Paramètres!$D$29,NOT(AND(ISNUMBER(G14),G14&gt;0))),"Loyer facial manquant ou nul.",IF(AND(E14=Paramètres!$D$29,G14&gt;Paramètres!$C$21),"Loyer facial au-delà du garde-fou de saisie.",IF(AND(E14=Paramètres!$D$29,NOT(ISNUMBER(M14))),"Date de prise d'effet manquante.",IF(AND(E14=Paramètres!$D$29,NOT(ISNUMBER(N14))),"Date d'échéance manquante.",IF(AND(E14=Paramètres!$D$29,N14&lt;=M14),"Échéance antérieure ou égale à la prise d'effet.",IF(AND(E14=Paramètres!$D$29,(N(N14)-N(M14))/365.25&gt;Paramètres!$C$23),"Durée du bail au-delà du garde-fou de saisie.",IF(AND(E14=Paramètres!$D$29,O14&lt;&gt;"",NOT(AND(ISNUMBER(O14),O14&gt;=1,O14&lt;=Paramètres!$C$23,O14=INT(N(O14))))),"Périodicité de sortie hors bornes.",IF(AND(E14=Paramètres!$D$29,P14&lt;&gt;"",NOT(AND(ISNUMBER(P14),P14&gt;$C$7,P14&lt;=N14))),"Sortie forcée hors de l'intervalle admis.",IF(AND(E14=Paramètres!$D$29,R14&lt;&gt;"",NOT(AND(ISNUMBER(R14),R14&gt;=0,R14&lt;=Paramètres!$C$24,R14&lt;=(IF(OR(NOT(ISNUMBER(M14)),NOT(ISNUMBER(N14)),N14&lt;=M14),0,MIN(12*(IF(OR(O14="",NOT(ISNUMBER(O14))),Paramètres!$C$8,O14)),(YEAR(N14)-YEAR(M14))*12+MONTH(N14)-MONTH(M14)+1)))))),"Franchise hors bornes ou plus longue que la période ferme.",IF(AND(E14=Paramètres!$D$30,D14&lt;&gt;""),"Lot vacant avec un locataire renseigné.",IF(AND(E14=Paramètres!$D$30,G14&lt;&gt;"",G14&lt;&gt;0),"Lot vacant avec un loyer renseigné.",IF(AND(E14=Paramètres!$D$29,ISNUMBER(N14),ISNUMBER($C$7),N14&lt;$C$7),"Bail échu, en tacite prolongation.",IF(I14="","Valeur locative de marché non renseignée.","")))))))))))))))))))))))</f>
        <v/>
      </c>
      <c r="X14" s="17">
        <f>IF(AND(V14="OK",E14=Paramètres!$D$29),SUMIFS($H$11:$H$50,$D$11:$D$50,D14,$E$11:$E$50,Paramètres!$D$29,$V$11:$V$50,"OK"),0)</f>
        <v>0</v>
      </c>
    </row>
    <row r="15" spans="2:24" ht="15" customHeight="1" x14ac:dyDescent="0.35">
      <c r="B15" s="14" t="s">
        <v>274</v>
      </c>
      <c r="C15" s="14" t="s">
        <v>264</v>
      </c>
      <c r="D15" s="14" t="s">
        <v>275</v>
      </c>
      <c r="E15" s="14" t="s">
        <v>266</v>
      </c>
      <c r="F15" s="15">
        <v>400</v>
      </c>
      <c r="G15" s="16">
        <v>268</v>
      </c>
      <c r="H15" s="17">
        <f t="shared" si="0"/>
        <v>107200</v>
      </c>
      <c r="I15" s="16">
        <v>300</v>
      </c>
      <c r="J15" s="17">
        <f t="shared" si="1"/>
        <v>120000</v>
      </c>
      <c r="K15" s="17">
        <f t="shared" si="2"/>
        <v>12800</v>
      </c>
      <c r="L15" s="18">
        <f t="shared" si="3"/>
        <v>0.11940298507462677</v>
      </c>
      <c r="M15" s="11">
        <v>45383</v>
      </c>
      <c r="N15" s="11">
        <v>48669</v>
      </c>
      <c r="O15" s="19">
        <v>6</v>
      </c>
      <c r="P15" s="11"/>
      <c r="Q15" s="20">
        <f>IF(OR(NOT(ISNUMBER($C$7)),NOT(ISNUMBER(M15)),NOT(ISNUMBER(N15))),"",IF(ISNUMBER(P15),P15,IF((IF(OR(O15="",NOT(ISNUMBER(O15))),Paramètres!$C$8,O15))&lt;=0,"",MIN(EDATE(M15,(12*(IF(OR(O15="",NOT(ISNUMBER(O15))),Paramètres!$C$8,O15)))*MAX(1,INT(((YEAR($C$7+1)-YEAR(M15))*12+MONTH($C$7+1)-MONTH(M15)-(DAY($C$7+1)&lt;DAY(M15)))/(12*(IF(OR(O15="",NOT(ISNUMBER(O15))),Paramètres!$C$8,O15))))+1))-1,N15))))</f>
        <v>47573</v>
      </c>
      <c r="R15" s="21">
        <v>6</v>
      </c>
      <c r="S15" s="17">
        <f>IF(H15=0,0,IF(OR(R15="",R15=0),H15,IF(OR(NOT(ISNUMBER(R15)),(IF(OR(NOT(ISNUMBER(M15)),NOT(ISNUMBER(N15)),N15&lt;=M15),0,MIN(12*(IF(OR(O15="",NOT(ISNUMBER(O15))),Paramètres!$C$8,O15)),(YEAR(N15)-YEAR(M15))*12+MONTH(N15)-MONTH(M15)+1)))&lt;=0),0,MAX(0,H15*(1-R15/(IF(OR(NOT(ISNUMBER(M15)),NOT(ISNUMBER(N15)),N15&lt;=M15),0,MIN(12*(IF(OR(O15="",NOT(ISNUMBER(O15))),Paramètres!$C$8,O15)),(YEAR(N15)-YEAR(M15))*12+MONTH(N15)-MONTH(M15)+1))))))))</f>
        <v>98266.666666666657</v>
      </c>
      <c r="T15" s="22">
        <f t="shared" si="4"/>
        <v>6.751540041067762</v>
      </c>
      <c r="U15" s="22">
        <f t="shared" si="5"/>
        <v>3.7508555783709787</v>
      </c>
      <c r="V15" s="12" t="str">
        <f>IF(COUNTA(B15,C15,D15,E15,F15,G15,I15,M15,N15,O15,P15,R15)&gt;0,IF(AND(COUNT(Paramètres!$C$8:$C$12)=5,COUNT(Paramètres!$C$16:$C$25)=10,ISNUMBER($C$7),B15&lt;&gt;"",NOT(ISNA(MATCH(C15,Paramètres!$B$29:$B$34,0))),NOT(ISNA(MATCH(E15,Paramètres!$D$29:$D$30,0))),ISNUMBER(F15),F15&gt;0,F15&lt;=Paramètres!$C$22,OR(I15="",AND(ISNUMBER(I15),I15&gt;=0,I15&lt;=Paramètres!$C$21)),IF(E15=Paramètres!$D$29,AND(D15&lt;&gt;"",ISNUMBER(G15),G15&gt;0,G15&lt;=Paramètres!$C$21,ISNUMBER(M15),ISNUMBER(N15),N15&gt;M15,(N(N15)-N(M15))/365.25&lt;=Paramètres!$C$23,OR(O15="",AND(ISNUMBER(O15),O15&gt;=1,O15&lt;=Paramètres!$C$23,O15=INT(N(O15)))),OR(P15="",AND(ISNUMBER(P15),P15&gt;$C$7,P15&lt;=N15)),OR(R15="",AND(ISNUMBER(R15),R15&gt;=0,R15&lt;=Paramètres!$C$24,R15&lt;=(IF(OR(NOT(ISNUMBER(M15)),NOT(ISNUMBER(N15)),N15&lt;=M15),0,MIN(12*(IF(OR(O15="",NOT(ISNUMBER(O15))),Paramètres!$C$8,O15)),(YEAR(N15)-YEAR(M15))*12+MONTH(N15)-MONTH(M15)+1)))))),AND(D15="",OR(G15="",G15=0)))),"OK","À CORRIGER"),"")</f>
        <v>OK</v>
      </c>
      <c r="W15" s="23" t="str">
        <f>IF(NOT(COUNTA(B15,C15,D15,E15,F15,G15,I15,M15,N15,O15,P15,R15)&gt;0),"",IF(OR(COUNT(Paramètres!$C$8:$C$12)&lt;&gt;5,COUNT(Paramètres!$C$16:$C$25)&lt;&gt;10),"Un paramètre de l'onglet Paramètres est vide.",IF(NOT(ISNUMBER($C$7)),"Date d'analyse manquante.",IF(B15="","Libellé du lot manquant.",IF(ISNA(MATCH(C15,Paramètres!$B$29:$B$34,0)),"Nature hors liste.",IF(ISNA(MATCH(E15,Paramètres!$D$29:$D$30,0)),"Statut hors liste.",IF(NOT(AND(ISNUMBER(F15),F15&gt;0)),"Surface manquante ou nulle.",IF(F15&gt;Paramètres!$C$22,"Surface au-delà du garde-fou de saisie.",IF(AND(I15&lt;&gt;"",NOT(AND(ISNUMBER(I15),I15&gt;=0,I15&lt;=Paramètres!$C$21))),"Valeur locative de marché hors bornes.",IF(AND(E15=Paramètres!$D$29,D15=""),"Lot déclaré loué sans locataire.",IF(AND(E15=Paramètres!$D$29,NOT(AND(ISNUMBER(G15),G15&gt;0))),"Loyer facial manquant ou nul.",IF(AND(E15=Paramètres!$D$29,G15&gt;Paramètres!$C$21),"Loyer facial au-delà du garde-fou de saisie.",IF(AND(E15=Paramètres!$D$29,NOT(ISNUMBER(M15))),"Date de prise d'effet manquante.",IF(AND(E15=Paramètres!$D$29,NOT(ISNUMBER(N15))),"Date d'échéance manquante.",IF(AND(E15=Paramètres!$D$29,N15&lt;=M15),"Échéance antérieure ou égale à la prise d'effet.",IF(AND(E15=Paramètres!$D$29,(N(N15)-N(M15))/365.25&gt;Paramètres!$C$23),"Durée du bail au-delà du garde-fou de saisie.",IF(AND(E15=Paramètres!$D$29,O15&lt;&gt;"",NOT(AND(ISNUMBER(O15),O15&gt;=1,O15&lt;=Paramètres!$C$23,O15=INT(N(O15))))),"Périodicité de sortie hors bornes.",IF(AND(E15=Paramètres!$D$29,P15&lt;&gt;"",NOT(AND(ISNUMBER(P15),P15&gt;$C$7,P15&lt;=N15))),"Sortie forcée hors de l'intervalle admis.",IF(AND(E15=Paramètres!$D$29,R15&lt;&gt;"",NOT(AND(ISNUMBER(R15),R15&gt;=0,R15&lt;=Paramètres!$C$24,R15&lt;=(IF(OR(NOT(ISNUMBER(M15)),NOT(ISNUMBER(N15)),N15&lt;=M15),0,MIN(12*(IF(OR(O15="",NOT(ISNUMBER(O15))),Paramètres!$C$8,O15)),(YEAR(N15)-YEAR(M15))*12+MONTH(N15)-MONTH(M15)+1)))))),"Franchise hors bornes ou plus longue que la période ferme.",IF(AND(E15=Paramètres!$D$30,D15&lt;&gt;""),"Lot vacant avec un locataire renseigné.",IF(AND(E15=Paramètres!$D$30,G15&lt;&gt;"",G15&lt;&gt;0),"Lot vacant avec un loyer renseigné.",IF(AND(E15=Paramètres!$D$29,ISNUMBER(N15),ISNUMBER($C$7),N15&lt;$C$7),"Bail échu, en tacite prolongation.",IF(I15="","Valeur locative de marché non renseignée.","")))))))))))))))))))))))</f>
        <v/>
      </c>
      <c r="X15" s="17">
        <f>IF(AND(V15="OK",E15=Paramètres!$D$29),SUMIFS($H$11:$H$50,$D$11:$D$50,D15,$E$11:$E$50,Paramètres!$D$29,$V$11:$V$50,"OK"),0)</f>
        <v>107200</v>
      </c>
    </row>
    <row r="16" spans="2:24" ht="15" customHeight="1" x14ac:dyDescent="0.35">
      <c r="B16" s="14" t="s">
        <v>276</v>
      </c>
      <c r="C16" s="14" t="s">
        <v>264</v>
      </c>
      <c r="D16" s="14" t="s">
        <v>265</v>
      </c>
      <c r="E16" s="14" t="s">
        <v>266</v>
      </c>
      <c r="F16" s="15">
        <v>210</v>
      </c>
      <c r="G16" s="16">
        <v>278</v>
      </c>
      <c r="H16" s="17">
        <f t="shared" si="0"/>
        <v>58380</v>
      </c>
      <c r="I16" s="16">
        <v>300</v>
      </c>
      <c r="J16" s="17">
        <f t="shared" si="1"/>
        <v>63000</v>
      </c>
      <c r="K16" s="17">
        <f t="shared" si="2"/>
        <v>4620</v>
      </c>
      <c r="L16" s="18">
        <f t="shared" si="3"/>
        <v>7.9136690647481966E-2</v>
      </c>
      <c r="M16" s="11">
        <v>45108</v>
      </c>
      <c r="N16" s="11">
        <v>48395</v>
      </c>
      <c r="O16" s="19"/>
      <c r="P16" s="11"/>
      <c r="Q16" s="20">
        <f>IF(OR(NOT(ISNUMBER($C$7)),NOT(ISNUMBER(M16)),NOT(ISNUMBER(N16))),"",IF(ISNUMBER(P16),P16,IF((IF(OR(O16="",NOT(ISNUMBER(O16))),Paramètres!$C$8,O16))&lt;=0,"",MIN(EDATE(M16,(12*(IF(OR(O16="",NOT(ISNUMBER(O16))),Paramètres!$C$8,O16)))*MAX(1,INT(((YEAR($C$7+1)-YEAR(M16))*12+MONTH($C$7+1)-MONTH(M16)-(DAY($C$7+1)&lt;DAY(M16)))/(12*(IF(OR(O16="",NOT(ISNUMBER(O16))),Paramètres!$C$8,O16))))+1))-1,N16))))</f>
        <v>47299</v>
      </c>
      <c r="R16" s="21">
        <v>3</v>
      </c>
      <c r="S16" s="17">
        <f>IF(H16=0,0,IF(OR(R16="",R16=0),H16,IF(OR(NOT(ISNUMBER(R16)),(IF(OR(NOT(ISNUMBER(M16)),NOT(ISNUMBER(N16)),N16&lt;=M16),0,MIN(12*(IF(OR(O16="",NOT(ISNUMBER(O16))),Paramètres!$C$8,O16)),(YEAR(N16)-YEAR(M16))*12+MONTH(N16)-MONTH(M16)+1)))&lt;=0),0,MAX(0,H16*(1-R16/(IF(OR(NOT(ISNUMBER(M16)),NOT(ISNUMBER(N16)),N16&lt;=M16),0,MIN(12*(IF(OR(O16="",NOT(ISNUMBER(O16))),Paramètres!$C$8,O16)),(YEAR(N16)-YEAR(M16))*12+MONTH(N16)-MONTH(M16)+1))))))))</f>
        <v>53515</v>
      </c>
      <c r="T16" s="22">
        <f t="shared" si="4"/>
        <v>6.0013689253935665</v>
      </c>
      <c r="U16" s="22">
        <f t="shared" si="5"/>
        <v>3.0006844626967832</v>
      </c>
      <c r="V16" s="12" t="str">
        <f>IF(COUNTA(B16,C16,D16,E16,F16,G16,I16,M16,N16,O16,P16,R16)&gt;0,IF(AND(COUNT(Paramètres!$C$8:$C$12)=5,COUNT(Paramètres!$C$16:$C$25)=10,ISNUMBER($C$7),B16&lt;&gt;"",NOT(ISNA(MATCH(C16,Paramètres!$B$29:$B$34,0))),NOT(ISNA(MATCH(E16,Paramètres!$D$29:$D$30,0))),ISNUMBER(F16),F16&gt;0,F16&lt;=Paramètres!$C$22,OR(I16="",AND(ISNUMBER(I16),I16&gt;=0,I16&lt;=Paramètres!$C$21)),IF(E16=Paramètres!$D$29,AND(D16&lt;&gt;"",ISNUMBER(G16),G16&gt;0,G16&lt;=Paramètres!$C$21,ISNUMBER(M16),ISNUMBER(N16),N16&gt;M16,(N(N16)-N(M16))/365.25&lt;=Paramètres!$C$23,OR(O16="",AND(ISNUMBER(O16),O16&gt;=1,O16&lt;=Paramètres!$C$23,O16=INT(N(O16)))),OR(P16="",AND(ISNUMBER(P16),P16&gt;$C$7,P16&lt;=N16)),OR(R16="",AND(ISNUMBER(R16),R16&gt;=0,R16&lt;=Paramètres!$C$24,R16&lt;=(IF(OR(NOT(ISNUMBER(M16)),NOT(ISNUMBER(N16)),N16&lt;=M16),0,MIN(12*(IF(OR(O16="",NOT(ISNUMBER(O16))),Paramètres!$C$8,O16)),(YEAR(N16)-YEAR(M16))*12+MONTH(N16)-MONTH(M16)+1)))))),AND(D16="",OR(G16="",G16=0)))),"OK","À CORRIGER"),"")</f>
        <v>OK</v>
      </c>
      <c r="W16" s="23" t="str">
        <f>IF(NOT(COUNTA(B16,C16,D16,E16,F16,G16,I16,M16,N16,O16,P16,R16)&gt;0),"",IF(OR(COUNT(Paramètres!$C$8:$C$12)&lt;&gt;5,COUNT(Paramètres!$C$16:$C$25)&lt;&gt;10),"Un paramètre de l'onglet Paramètres est vide.",IF(NOT(ISNUMBER($C$7)),"Date d'analyse manquante.",IF(B16="","Libellé du lot manquant.",IF(ISNA(MATCH(C16,Paramètres!$B$29:$B$34,0)),"Nature hors liste.",IF(ISNA(MATCH(E16,Paramètres!$D$29:$D$30,0)),"Statut hors liste.",IF(NOT(AND(ISNUMBER(F16),F16&gt;0)),"Surface manquante ou nulle.",IF(F16&gt;Paramètres!$C$22,"Surface au-delà du garde-fou de saisie.",IF(AND(I16&lt;&gt;"",NOT(AND(ISNUMBER(I16),I16&gt;=0,I16&lt;=Paramètres!$C$21))),"Valeur locative de marché hors bornes.",IF(AND(E16=Paramètres!$D$29,D16=""),"Lot déclaré loué sans locataire.",IF(AND(E16=Paramètres!$D$29,NOT(AND(ISNUMBER(G16),G16&gt;0))),"Loyer facial manquant ou nul.",IF(AND(E16=Paramètres!$D$29,G16&gt;Paramètres!$C$21),"Loyer facial au-delà du garde-fou de saisie.",IF(AND(E16=Paramètres!$D$29,NOT(ISNUMBER(M16))),"Date de prise d'effet manquante.",IF(AND(E16=Paramètres!$D$29,NOT(ISNUMBER(N16))),"Date d'échéance manquante.",IF(AND(E16=Paramètres!$D$29,N16&lt;=M16),"Échéance antérieure ou égale à la prise d'effet.",IF(AND(E16=Paramètres!$D$29,(N(N16)-N(M16))/365.25&gt;Paramètres!$C$23),"Durée du bail au-delà du garde-fou de saisie.",IF(AND(E16=Paramètres!$D$29,O16&lt;&gt;"",NOT(AND(ISNUMBER(O16),O16&gt;=1,O16&lt;=Paramètres!$C$23,O16=INT(N(O16))))),"Périodicité de sortie hors bornes.",IF(AND(E16=Paramètres!$D$29,P16&lt;&gt;"",NOT(AND(ISNUMBER(P16),P16&gt;$C$7,P16&lt;=N16))),"Sortie forcée hors de l'intervalle admis.",IF(AND(E16=Paramètres!$D$29,R16&lt;&gt;"",NOT(AND(ISNUMBER(R16),R16&gt;=0,R16&lt;=Paramètres!$C$24,R16&lt;=(IF(OR(NOT(ISNUMBER(M16)),NOT(ISNUMBER(N16)),N16&lt;=M16),0,MIN(12*(IF(OR(O16="",NOT(ISNUMBER(O16))),Paramètres!$C$8,O16)),(YEAR(N16)-YEAR(M16))*12+MONTH(N16)-MONTH(M16)+1)))))),"Franchise hors bornes ou plus longue que la période ferme.",IF(AND(E16=Paramètres!$D$30,D16&lt;&gt;""),"Lot vacant avec un locataire renseigné.",IF(AND(E16=Paramètres!$D$30,G16&lt;&gt;"",G16&lt;&gt;0),"Lot vacant avec un loyer renseigné.",IF(AND(E16=Paramètres!$D$29,ISNUMBER(N16),ISNUMBER($C$7),N16&lt;$C$7),"Bail échu, en tacite prolongation.",IF(I16="","Valeur locative de marché non renseignée.","")))))))))))))))))))))))</f>
        <v/>
      </c>
      <c r="X16" s="17">
        <f>IF(AND(V16="OK",E16=Paramètres!$D$29),SUMIFS($H$11:$H$50,$D$11:$D$50,D16,$E$11:$E$50,Paramètres!$D$29,$V$11:$V$50,"OK"),0)</f>
        <v>178080</v>
      </c>
    </row>
    <row r="17" spans="2:24" ht="15" customHeight="1" x14ac:dyDescent="0.35">
      <c r="B17" s="14" t="s">
        <v>277</v>
      </c>
      <c r="C17" s="14" t="s">
        <v>270</v>
      </c>
      <c r="D17" s="14" t="s">
        <v>278</v>
      </c>
      <c r="E17" s="14" t="s">
        <v>266</v>
      </c>
      <c r="F17" s="15">
        <v>140</v>
      </c>
      <c r="G17" s="16">
        <v>390</v>
      </c>
      <c r="H17" s="17">
        <f t="shared" si="0"/>
        <v>54600</v>
      </c>
      <c r="I17" s="16">
        <v>400</v>
      </c>
      <c r="J17" s="17">
        <f t="shared" si="1"/>
        <v>56000</v>
      </c>
      <c r="K17" s="17">
        <f t="shared" si="2"/>
        <v>1400</v>
      </c>
      <c r="L17" s="18">
        <f t="shared" si="3"/>
        <v>2.564102564102555E-2</v>
      </c>
      <c r="M17" s="11">
        <v>43009</v>
      </c>
      <c r="N17" s="11">
        <v>46295</v>
      </c>
      <c r="O17" s="19"/>
      <c r="P17" s="11"/>
      <c r="Q17" s="20">
        <f>IF(OR(NOT(ISNUMBER($C$7)),NOT(ISNUMBER(M17)),NOT(ISNUMBER(N17))),"",IF(ISNUMBER(P17),P17,IF((IF(OR(O17="",NOT(ISNUMBER(O17))),Paramètres!$C$8,O17))&lt;=0,"",MIN(EDATE(M17,(12*(IF(OR(O17="",NOT(ISNUMBER(O17))),Paramètres!$C$8,O17)))*MAX(1,INT(((YEAR($C$7+1)-YEAR(M17))*12+MONTH($C$7+1)-MONTH(M17)-(DAY($C$7+1)&lt;DAY(M17)))/(12*(IF(OR(O17="",NOT(ISNUMBER(O17))),Paramètres!$C$8,O17))))+1))-1,N17))))</f>
        <v>46295</v>
      </c>
      <c r="R17" s="21"/>
      <c r="S17" s="17">
        <f>IF(H17=0,0,IF(OR(R17="",R17=0),H17,IF(OR(NOT(ISNUMBER(R17)),(IF(OR(NOT(ISNUMBER(M17)),NOT(ISNUMBER(N17)),N17&lt;=M17),0,MIN(12*(IF(OR(O17="",NOT(ISNUMBER(O17))),Paramètres!$C$8,O17)),(YEAR(N17)-YEAR(M17))*12+MONTH(N17)-MONTH(M17)+1)))&lt;=0),0,MAX(0,H17*(1-R17/(IF(OR(NOT(ISNUMBER(M17)),NOT(ISNUMBER(N17)),N17&lt;=M17),0,MIN(12*(IF(OR(O17="",NOT(ISNUMBER(O17))),Paramètres!$C$8,O17)),(YEAR(N17)-YEAR(M17))*12+MONTH(N17)-MONTH(M17)+1))))))))</f>
        <v>54600</v>
      </c>
      <c r="T17" s="22">
        <f t="shared" si="4"/>
        <v>0.2518822724161533</v>
      </c>
      <c r="U17" s="22">
        <f t="shared" si="5"/>
        <v>0.2518822724161533</v>
      </c>
      <c r="V17" s="12" t="str">
        <f>IF(COUNTA(B17,C17,D17,E17,F17,G17,I17,M17,N17,O17,P17,R17)&gt;0,IF(AND(COUNT(Paramètres!$C$8:$C$12)=5,COUNT(Paramètres!$C$16:$C$25)=10,ISNUMBER($C$7),B17&lt;&gt;"",NOT(ISNA(MATCH(C17,Paramètres!$B$29:$B$34,0))),NOT(ISNA(MATCH(E17,Paramètres!$D$29:$D$30,0))),ISNUMBER(F17),F17&gt;0,F17&lt;=Paramètres!$C$22,OR(I17="",AND(ISNUMBER(I17),I17&gt;=0,I17&lt;=Paramètres!$C$21)),IF(E17=Paramètres!$D$29,AND(D17&lt;&gt;"",ISNUMBER(G17),G17&gt;0,G17&lt;=Paramètres!$C$21,ISNUMBER(M17),ISNUMBER(N17),N17&gt;M17,(N(N17)-N(M17))/365.25&lt;=Paramètres!$C$23,OR(O17="",AND(ISNUMBER(O17),O17&gt;=1,O17&lt;=Paramètres!$C$23,O17=INT(N(O17)))),OR(P17="",AND(ISNUMBER(P17),P17&gt;$C$7,P17&lt;=N17)),OR(R17="",AND(ISNUMBER(R17),R17&gt;=0,R17&lt;=Paramètres!$C$24,R17&lt;=(IF(OR(NOT(ISNUMBER(M17)),NOT(ISNUMBER(N17)),N17&lt;=M17),0,MIN(12*(IF(OR(O17="",NOT(ISNUMBER(O17))),Paramètres!$C$8,O17)),(YEAR(N17)-YEAR(M17))*12+MONTH(N17)-MONTH(M17)+1)))))),AND(D17="",OR(G17="",G17=0)))),"OK","À CORRIGER"),"")</f>
        <v>OK</v>
      </c>
      <c r="W17" s="23" t="str">
        <f>IF(NOT(COUNTA(B17,C17,D17,E17,F17,G17,I17,M17,N17,O17,P17,R17)&gt;0),"",IF(OR(COUNT(Paramètres!$C$8:$C$12)&lt;&gt;5,COUNT(Paramètres!$C$16:$C$25)&lt;&gt;10),"Un paramètre de l'onglet Paramètres est vide.",IF(NOT(ISNUMBER($C$7)),"Date d'analyse manquante.",IF(B17="","Libellé du lot manquant.",IF(ISNA(MATCH(C17,Paramètres!$B$29:$B$34,0)),"Nature hors liste.",IF(ISNA(MATCH(E17,Paramètres!$D$29:$D$30,0)),"Statut hors liste.",IF(NOT(AND(ISNUMBER(F17),F17&gt;0)),"Surface manquante ou nulle.",IF(F17&gt;Paramètres!$C$22,"Surface au-delà du garde-fou de saisie.",IF(AND(I17&lt;&gt;"",NOT(AND(ISNUMBER(I17),I17&gt;=0,I17&lt;=Paramètres!$C$21))),"Valeur locative de marché hors bornes.",IF(AND(E17=Paramètres!$D$29,D17=""),"Lot déclaré loué sans locataire.",IF(AND(E17=Paramètres!$D$29,NOT(AND(ISNUMBER(G17),G17&gt;0))),"Loyer facial manquant ou nul.",IF(AND(E17=Paramètres!$D$29,G17&gt;Paramètres!$C$21),"Loyer facial au-delà du garde-fou de saisie.",IF(AND(E17=Paramètres!$D$29,NOT(ISNUMBER(M17))),"Date de prise d'effet manquante.",IF(AND(E17=Paramètres!$D$29,NOT(ISNUMBER(N17))),"Date d'échéance manquante.",IF(AND(E17=Paramètres!$D$29,N17&lt;=M17),"Échéance antérieure ou égale à la prise d'effet.",IF(AND(E17=Paramètres!$D$29,(N(N17)-N(M17))/365.25&gt;Paramètres!$C$23),"Durée du bail au-delà du garde-fou de saisie.",IF(AND(E17=Paramètres!$D$29,O17&lt;&gt;"",NOT(AND(ISNUMBER(O17),O17&gt;=1,O17&lt;=Paramètres!$C$23,O17=INT(N(O17))))),"Périodicité de sortie hors bornes.",IF(AND(E17=Paramètres!$D$29,P17&lt;&gt;"",NOT(AND(ISNUMBER(P17),P17&gt;$C$7,P17&lt;=N17))),"Sortie forcée hors de l'intervalle admis.",IF(AND(E17=Paramètres!$D$29,R17&lt;&gt;"",NOT(AND(ISNUMBER(R17),R17&gt;=0,R17&lt;=Paramètres!$C$24,R17&lt;=(IF(OR(NOT(ISNUMBER(M17)),NOT(ISNUMBER(N17)),N17&lt;=M17),0,MIN(12*(IF(OR(O17="",NOT(ISNUMBER(O17))),Paramètres!$C$8,O17)),(YEAR(N17)-YEAR(M17))*12+MONTH(N17)-MONTH(M17)+1)))))),"Franchise hors bornes ou plus longue que la période ferme.",IF(AND(E17=Paramètres!$D$30,D17&lt;&gt;""),"Lot vacant avec un locataire renseigné.",IF(AND(E17=Paramètres!$D$30,G17&lt;&gt;"",G17&lt;&gt;0),"Lot vacant avec un loyer renseigné.",IF(AND(E17=Paramètres!$D$29,ISNUMBER(N17),ISNUMBER($C$7),N17&lt;$C$7),"Bail échu, en tacite prolongation.",IF(I17="","Valeur locative de marché non renseignée.","")))))))))))))))))))))))</f>
        <v/>
      </c>
      <c r="X17" s="17">
        <f>IF(AND(V17="OK",E17=Paramètres!$D$29),SUMIFS($H$11:$H$50,$D$11:$D$50,D17,$E$11:$E$50,Paramètres!$D$29,$V$11:$V$50,"OK"),0)</f>
        <v>54600</v>
      </c>
    </row>
    <row r="18" spans="2:24" ht="15" customHeight="1" x14ac:dyDescent="0.35">
      <c r="B18" s="14"/>
      <c r="C18" s="14"/>
      <c r="D18" s="14"/>
      <c r="E18" s="14"/>
      <c r="F18" s="15"/>
      <c r="G18" s="16"/>
      <c r="H18" s="17">
        <f t="shared" si="0"/>
        <v>0</v>
      </c>
      <c r="I18" s="16"/>
      <c r="J18" s="17">
        <f t="shared" si="1"/>
        <v>0</v>
      </c>
      <c r="K18" s="17" t="str">
        <f t="shared" si="2"/>
        <v/>
      </c>
      <c r="L18" s="18" t="str">
        <f t="shared" si="3"/>
        <v/>
      </c>
      <c r="M18" s="11"/>
      <c r="N18" s="11"/>
      <c r="O18" s="19"/>
      <c r="P18" s="11"/>
      <c r="Q18" s="20" t="str">
        <f>IF(OR(NOT(ISNUMBER($C$7)),NOT(ISNUMBER(M18)),NOT(ISNUMBER(N18))),"",IF(ISNUMBER(P18),P18,IF((IF(OR(O18="",NOT(ISNUMBER(O18))),Paramètres!$C$8,O18))&lt;=0,"",MIN(EDATE(M18,(12*(IF(OR(O18="",NOT(ISNUMBER(O18))),Paramètres!$C$8,O18)))*MAX(1,INT(((YEAR($C$7+1)-YEAR(M18))*12+MONTH($C$7+1)-MONTH(M18)-(DAY($C$7+1)&lt;DAY(M18)))/(12*(IF(OR(O18="",NOT(ISNUMBER(O18))),Paramètres!$C$8,O18))))+1))-1,N18))))</f>
        <v/>
      </c>
      <c r="R18" s="21"/>
      <c r="S18" s="17">
        <f>IF(H18=0,0,IF(OR(R18="",R18=0),H18,IF(OR(NOT(ISNUMBER(R18)),(IF(OR(NOT(ISNUMBER(M18)),NOT(ISNUMBER(N18)),N18&lt;=M18),0,MIN(12*(IF(OR(O18="",NOT(ISNUMBER(O18))),Paramètres!$C$8,O18)),(YEAR(N18)-YEAR(M18))*12+MONTH(N18)-MONTH(M18)+1)))&lt;=0),0,MAX(0,H18*(1-R18/(IF(OR(NOT(ISNUMBER(M18)),NOT(ISNUMBER(N18)),N18&lt;=M18),0,MIN(12*(IF(OR(O18="",NOT(ISNUMBER(O18))),Paramètres!$C$8,O18)),(YEAR(N18)-YEAR(M18))*12+MONTH(N18)-MONTH(M18)+1))))))))</f>
        <v>0</v>
      </c>
      <c r="T18" s="22">
        <f t="shared" si="4"/>
        <v>0</v>
      </c>
      <c r="U18" s="22">
        <f t="shared" si="5"/>
        <v>0</v>
      </c>
      <c r="V18" s="12" t="str">
        <f>IF(COUNTA(B18,C18,D18,E18,F18,G18,I18,M18,N18,O18,P18,R18)&gt;0,IF(AND(COUNT(Paramètres!$C$8:$C$12)=5,COUNT(Paramètres!$C$16:$C$25)=10,ISNUMBER($C$7),B18&lt;&gt;"",NOT(ISNA(MATCH(C18,Paramètres!$B$29:$B$34,0))),NOT(ISNA(MATCH(E18,Paramètres!$D$29:$D$30,0))),ISNUMBER(F18),F18&gt;0,F18&lt;=Paramètres!$C$22,OR(I18="",AND(ISNUMBER(I18),I18&gt;=0,I18&lt;=Paramètres!$C$21)),IF(E18=Paramètres!$D$29,AND(D18&lt;&gt;"",ISNUMBER(G18),G18&gt;0,G18&lt;=Paramètres!$C$21,ISNUMBER(M18),ISNUMBER(N18),N18&gt;M18,(N(N18)-N(M18))/365.25&lt;=Paramètres!$C$23,OR(O18="",AND(ISNUMBER(O18),O18&gt;=1,O18&lt;=Paramètres!$C$23,O18=INT(N(O18)))),OR(P18="",AND(ISNUMBER(P18),P18&gt;$C$7,P18&lt;=N18)),OR(R18="",AND(ISNUMBER(R18),R18&gt;=0,R18&lt;=Paramètres!$C$24,R18&lt;=(IF(OR(NOT(ISNUMBER(M18)),NOT(ISNUMBER(N18)),N18&lt;=M18),0,MIN(12*(IF(OR(O18="",NOT(ISNUMBER(O18))),Paramètres!$C$8,O18)),(YEAR(N18)-YEAR(M18))*12+MONTH(N18)-MONTH(M18)+1)))))),AND(D18="",OR(G18="",G18=0)))),"OK","À CORRIGER"),"")</f>
        <v/>
      </c>
      <c r="W18" s="23" t="str">
        <f>IF(NOT(COUNTA(B18,C18,D18,E18,F18,G18,I18,M18,N18,O18,P18,R18)&gt;0),"",IF(OR(COUNT(Paramètres!$C$8:$C$12)&lt;&gt;5,COUNT(Paramètres!$C$16:$C$25)&lt;&gt;10),"Un paramètre de l'onglet Paramètres est vide.",IF(NOT(ISNUMBER($C$7)),"Date d'analyse manquante.",IF(B18="","Libellé du lot manquant.",IF(ISNA(MATCH(C18,Paramètres!$B$29:$B$34,0)),"Nature hors liste.",IF(ISNA(MATCH(E18,Paramètres!$D$29:$D$30,0)),"Statut hors liste.",IF(NOT(AND(ISNUMBER(F18),F18&gt;0)),"Surface manquante ou nulle.",IF(F18&gt;Paramètres!$C$22,"Surface au-delà du garde-fou de saisie.",IF(AND(I18&lt;&gt;"",NOT(AND(ISNUMBER(I18),I18&gt;=0,I18&lt;=Paramètres!$C$21))),"Valeur locative de marché hors bornes.",IF(AND(E18=Paramètres!$D$29,D18=""),"Lot déclaré loué sans locataire.",IF(AND(E18=Paramètres!$D$29,NOT(AND(ISNUMBER(G18),G18&gt;0))),"Loyer facial manquant ou nul.",IF(AND(E18=Paramètres!$D$29,G18&gt;Paramètres!$C$21),"Loyer facial au-delà du garde-fou de saisie.",IF(AND(E18=Paramètres!$D$29,NOT(ISNUMBER(M18))),"Date de prise d'effet manquante.",IF(AND(E18=Paramètres!$D$29,NOT(ISNUMBER(N18))),"Date d'échéance manquante.",IF(AND(E18=Paramètres!$D$29,N18&lt;=M18),"Échéance antérieure ou égale à la prise d'effet.",IF(AND(E18=Paramètres!$D$29,(N(N18)-N(M18))/365.25&gt;Paramètres!$C$23),"Durée du bail au-delà du garde-fou de saisie.",IF(AND(E18=Paramètres!$D$29,O18&lt;&gt;"",NOT(AND(ISNUMBER(O18),O18&gt;=1,O18&lt;=Paramètres!$C$23,O18=INT(N(O18))))),"Périodicité de sortie hors bornes.",IF(AND(E18=Paramètres!$D$29,P18&lt;&gt;"",NOT(AND(ISNUMBER(P18),P18&gt;$C$7,P18&lt;=N18))),"Sortie forcée hors de l'intervalle admis.",IF(AND(E18=Paramètres!$D$29,R18&lt;&gt;"",NOT(AND(ISNUMBER(R18),R18&gt;=0,R18&lt;=Paramètres!$C$24,R18&lt;=(IF(OR(NOT(ISNUMBER(M18)),NOT(ISNUMBER(N18)),N18&lt;=M18),0,MIN(12*(IF(OR(O18="",NOT(ISNUMBER(O18))),Paramètres!$C$8,O18)),(YEAR(N18)-YEAR(M18))*12+MONTH(N18)-MONTH(M18)+1)))))),"Franchise hors bornes ou plus longue que la période ferme.",IF(AND(E18=Paramètres!$D$30,D18&lt;&gt;""),"Lot vacant avec un locataire renseigné.",IF(AND(E18=Paramètres!$D$30,G18&lt;&gt;"",G18&lt;&gt;0),"Lot vacant avec un loyer renseigné.",IF(AND(E18=Paramètres!$D$29,ISNUMBER(N18),ISNUMBER($C$7),N18&lt;$C$7),"Bail échu, en tacite prolongation.",IF(I18="","Valeur locative de marché non renseignée.","")))))))))))))))))))))))</f>
        <v/>
      </c>
      <c r="X18" s="17">
        <f>IF(AND(V18="OK",E18=Paramètres!$D$29),SUMIFS($H$11:$H$50,$D$11:$D$50,D18,$E$11:$E$50,Paramètres!$D$29,$V$11:$V$50,"OK"),0)</f>
        <v>0</v>
      </c>
    </row>
    <row r="19" spans="2:24" ht="15" customHeight="1" x14ac:dyDescent="0.35">
      <c r="B19" s="14"/>
      <c r="C19" s="14"/>
      <c r="D19" s="14"/>
      <c r="E19" s="14"/>
      <c r="F19" s="15"/>
      <c r="G19" s="16"/>
      <c r="H19" s="17">
        <f t="shared" si="0"/>
        <v>0</v>
      </c>
      <c r="I19" s="16"/>
      <c r="J19" s="17">
        <f t="shared" si="1"/>
        <v>0</v>
      </c>
      <c r="K19" s="17" t="str">
        <f t="shared" si="2"/>
        <v/>
      </c>
      <c r="L19" s="18" t="str">
        <f t="shared" si="3"/>
        <v/>
      </c>
      <c r="M19" s="11"/>
      <c r="N19" s="11"/>
      <c r="O19" s="19"/>
      <c r="P19" s="11"/>
      <c r="Q19" s="20" t="str">
        <f>IF(OR(NOT(ISNUMBER($C$7)),NOT(ISNUMBER(M19)),NOT(ISNUMBER(N19))),"",IF(ISNUMBER(P19),P19,IF((IF(OR(O19="",NOT(ISNUMBER(O19))),Paramètres!$C$8,O19))&lt;=0,"",MIN(EDATE(M19,(12*(IF(OR(O19="",NOT(ISNUMBER(O19))),Paramètres!$C$8,O19)))*MAX(1,INT(((YEAR($C$7+1)-YEAR(M19))*12+MONTH($C$7+1)-MONTH(M19)-(DAY($C$7+1)&lt;DAY(M19)))/(12*(IF(OR(O19="",NOT(ISNUMBER(O19))),Paramètres!$C$8,O19))))+1))-1,N19))))</f>
        <v/>
      </c>
      <c r="R19" s="21"/>
      <c r="S19" s="17">
        <f>IF(H19=0,0,IF(OR(R19="",R19=0),H19,IF(OR(NOT(ISNUMBER(R19)),(IF(OR(NOT(ISNUMBER(M19)),NOT(ISNUMBER(N19)),N19&lt;=M19),0,MIN(12*(IF(OR(O19="",NOT(ISNUMBER(O19))),Paramètres!$C$8,O19)),(YEAR(N19)-YEAR(M19))*12+MONTH(N19)-MONTH(M19)+1)))&lt;=0),0,MAX(0,H19*(1-R19/(IF(OR(NOT(ISNUMBER(M19)),NOT(ISNUMBER(N19)),N19&lt;=M19),0,MIN(12*(IF(OR(O19="",NOT(ISNUMBER(O19))),Paramètres!$C$8,O19)),(YEAR(N19)-YEAR(M19))*12+MONTH(N19)-MONTH(M19)+1))))))))</f>
        <v>0</v>
      </c>
      <c r="T19" s="22">
        <f t="shared" si="4"/>
        <v>0</v>
      </c>
      <c r="U19" s="22">
        <f t="shared" si="5"/>
        <v>0</v>
      </c>
      <c r="V19" s="12" t="str">
        <f>IF(COUNTA(B19,C19,D19,E19,F19,G19,I19,M19,N19,O19,P19,R19)&gt;0,IF(AND(COUNT(Paramètres!$C$8:$C$12)=5,COUNT(Paramètres!$C$16:$C$25)=10,ISNUMBER($C$7),B19&lt;&gt;"",NOT(ISNA(MATCH(C19,Paramètres!$B$29:$B$34,0))),NOT(ISNA(MATCH(E19,Paramètres!$D$29:$D$30,0))),ISNUMBER(F19),F19&gt;0,F19&lt;=Paramètres!$C$22,OR(I19="",AND(ISNUMBER(I19),I19&gt;=0,I19&lt;=Paramètres!$C$21)),IF(E19=Paramètres!$D$29,AND(D19&lt;&gt;"",ISNUMBER(G19),G19&gt;0,G19&lt;=Paramètres!$C$21,ISNUMBER(M19),ISNUMBER(N19),N19&gt;M19,(N(N19)-N(M19))/365.25&lt;=Paramètres!$C$23,OR(O19="",AND(ISNUMBER(O19),O19&gt;=1,O19&lt;=Paramètres!$C$23,O19=INT(N(O19)))),OR(P19="",AND(ISNUMBER(P19),P19&gt;$C$7,P19&lt;=N19)),OR(R19="",AND(ISNUMBER(R19),R19&gt;=0,R19&lt;=Paramètres!$C$24,R19&lt;=(IF(OR(NOT(ISNUMBER(M19)),NOT(ISNUMBER(N19)),N19&lt;=M19),0,MIN(12*(IF(OR(O19="",NOT(ISNUMBER(O19))),Paramètres!$C$8,O19)),(YEAR(N19)-YEAR(M19))*12+MONTH(N19)-MONTH(M19)+1)))))),AND(D19="",OR(G19="",G19=0)))),"OK","À CORRIGER"),"")</f>
        <v/>
      </c>
      <c r="W19" s="23" t="str">
        <f>IF(NOT(COUNTA(B19,C19,D19,E19,F19,G19,I19,M19,N19,O19,P19,R19)&gt;0),"",IF(OR(COUNT(Paramètres!$C$8:$C$12)&lt;&gt;5,COUNT(Paramètres!$C$16:$C$25)&lt;&gt;10),"Un paramètre de l'onglet Paramètres est vide.",IF(NOT(ISNUMBER($C$7)),"Date d'analyse manquante.",IF(B19="","Libellé du lot manquant.",IF(ISNA(MATCH(C19,Paramètres!$B$29:$B$34,0)),"Nature hors liste.",IF(ISNA(MATCH(E19,Paramètres!$D$29:$D$30,0)),"Statut hors liste.",IF(NOT(AND(ISNUMBER(F19),F19&gt;0)),"Surface manquante ou nulle.",IF(F19&gt;Paramètres!$C$22,"Surface au-delà du garde-fou de saisie.",IF(AND(I19&lt;&gt;"",NOT(AND(ISNUMBER(I19),I19&gt;=0,I19&lt;=Paramètres!$C$21))),"Valeur locative de marché hors bornes.",IF(AND(E19=Paramètres!$D$29,D19=""),"Lot déclaré loué sans locataire.",IF(AND(E19=Paramètres!$D$29,NOT(AND(ISNUMBER(G19),G19&gt;0))),"Loyer facial manquant ou nul.",IF(AND(E19=Paramètres!$D$29,G19&gt;Paramètres!$C$21),"Loyer facial au-delà du garde-fou de saisie.",IF(AND(E19=Paramètres!$D$29,NOT(ISNUMBER(M19))),"Date de prise d'effet manquante.",IF(AND(E19=Paramètres!$D$29,NOT(ISNUMBER(N19))),"Date d'échéance manquante.",IF(AND(E19=Paramètres!$D$29,N19&lt;=M19),"Échéance antérieure ou égale à la prise d'effet.",IF(AND(E19=Paramètres!$D$29,(N(N19)-N(M19))/365.25&gt;Paramètres!$C$23),"Durée du bail au-delà du garde-fou de saisie.",IF(AND(E19=Paramètres!$D$29,O19&lt;&gt;"",NOT(AND(ISNUMBER(O19),O19&gt;=1,O19&lt;=Paramètres!$C$23,O19=INT(N(O19))))),"Périodicité de sortie hors bornes.",IF(AND(E19=Paramètres!$D$29,P19&lt;&gt;"",NOT(AND(ISNUMBER(P19),P19&gt;$C$7,P19&lt;=N19))),"Sortie forcée hors de l'intervalle admis.",IF(AND(E19=Paramètres!$D$29,R19&lt;&gt;"",NOT(AND(ISNUMBER(R19),R19&gt;=0,R19&lt;=Paramètres!$C$24,R19&lt;=(IF(OR(NOT(ISNUMBER(M19)),NOT(ISNUMBER(N19)),N19&lt;=M19),0,MIN(12*(IF(OR(O19="",NOT(ISNUMBER(O19))),Paramètres!$C$8,O19)),(YEAR(N19)-YEAR(M19))*12+MONTH(N19)-MONTH(M19)+1)))))),"Franchise hors bornes ou plus longue que la période ferme.",IF(AND(E19=Paramètres!$D$30,D19&lt;&gt;""),"Lot vacant avec un locataire renseigné.",IF(AND(E19=Paramètres!$D$30,G19&lt;&gt;"",G19&lt;&gt;0),"Lot vacant avec un loyer renseigné.",IF(AND(E19=Paramètres!$D$29,ISNUMBER(N19),ISNUMBER($C$7),N19&lt;$C$7),"Bail échu, en tacite prolongation.",IF(I19="","Valeur locative de marché non renseignée.","")))))))))))))))))))))))</f>
        <v/>
      </c>
      <c r="X19" s="17">
        <f>IF(AND(V19="OK",E19=Paramètres!$D$29),SUMIFS($H$11:$H$50,$D$11:$D$50,D19,$E$11:$E$50,Paramètres!$D$29,$V$11:$V$50,"OK"),0)</f>
        <v>0</v>
      </c>
    </row>
    <row r="20" spans="2:24" ht="15" customHeight="1" x14ac:dyDescent="0.35">
      <c r="B20" s="14"/>
      <c r="C20" s="14"/>
      <c r="D20" s="14"/>
      <c r="E20" s="14"/>
      <c r="F20" s="15"/>
      <c r="G20" s="16"/>
      <c r="H20" s="17">
        <f t="shared" si="0"/>
        <v>0</v>
      </c>
      <c r="I20" s="16"/>
      <c r="J20" s="17">
        <f t="shared" si="1"/>
        <v>0</v>
      </c>
      <c r="K20" s="17" t="str">
        <f t="shared" si="2"/>
        <v/>
      </c>
      <c r="L20" s="18" t="str">
        <f t="shared" si="3"/>
        <v/>
      </c>
      <c r="M20" s="11"/>
      <c r="N20" s="11"/>
      <c r="O20" s="19"/>
      <c r="P20" s="11"/>
      <c r="Q20" s="20" t="str">
        <f>IF(OR(NOT(ISNUMBER($C$7)),NOT(ISNUMBER(M20)),NOT(ISNUMBER(N20))),"",IF(ISNUMBER(P20),P20,IF((IF(OR(O20="",NOT(ISNUMBER(O20))),Paramètres!$C$8,O20))&lt;=0,"",MIN(EDATE(M20,(12*(IF(OR(O20="",NOT(ISNUMBER(O20))),Paramètres!$C$8,O20)))*MAX(1,INT(((YEAR($C$7+1)-YEAR(M20))*12+MONTH($C$7+1)-MONTH(M20)-(DAY($C$7+1)&lt;DAY(M20)))/(12*(IF(OR(O20="",NOT(ISNUMBER(O20))),Paramètres!$C$8,O20))))+1))-1,N20))))</f>
        <v/>
      </c>
      <c r="R20" s="21"/>
      <c r="S20" s="17">
        <f>IF(H20=0,0,IF(OR(R20="",R20=0),H20,IF(OR(NOT(ISNUMBER(R20)),(IF(OR(NOT(ISNUMBER(M20)),NOT(ISNUMBER(N20)),N20&lt;=M20),0,MIN(12*(IF(OR(O20="",NOT(ISNUMBER(O20))),Paramètres!$C$8,O20)),(YEAR(N20)-YEAR(M20))*12+MONTH(N20)-MONTH(M20)+1)))&lt;=0),0,MAX(0,H20*(1-R20/(IF(OR(NOT(ISNUMBER(M20)),NOT(ISNUMBER(N20)),N20&lt;=M20),0,MIN(12*(IF(OR(O20="",NOT(ISNUMBER(O20))),Paramètres!$C$8,O20)),(YEAR(N20)-YEAR(M20))*12+MONTH(N20)-MONTH(M20)+1))))))))</f>
        <v>0</v>
      </c>
      <c r="T20" s="22">
        <f t="shared" si="4"/>
        <v>0</v>
      </c>
      <c r="U20" s="22">
        <f t="shared" si="5"/>
        <v>0</v>
      </c>
      <c r="V20" s="12" t="str">
        <f>IF(COUNTA(B20,C20,D20,E20,F20,G20,I20,M20,N20,O20,P20,R20)&gt;0,IF(AND(COUNT(Paramètres!$C$8:$C$12)=5,COUNT(Paramètres!$C$16:$C$25)=10,ISNUMBER($C$7),B20&lt;&gt;"",NOT(ISNA(MATCH(C20,Paramètres!$B$29:$B$34,0))),NOT(ISNA(MATCH(E20,Paramètres!$D$29:$D$30,0))),ISNUMBER(F20),F20&gt;0,F20&lt;=Paramètres!$C$22,OR(I20="",AND(ISNUMBER(I20),I20&gt;=0,I20&lt;=Paramètres!$C$21)),IF(E20=Paramètres!$D$29,AND(D20&lt;&gt;"",ISNUMBER(G20),G20&gt;0,G20&lt;=Paramètres!$C$21,ISNUMBER(M20),ISNUMBER(N20),N20&gt;M20,(N(N20)-N(M20))/365.25&lt;=Paramètres!$C$23,OR(O20="",AND(ISNUMBER(O20),O20&gt;=1,O20&lt;=Paramètres!$C$23,O20=INT(N(O20)))),OR(P20="",AND(ISNUMBER(P20),P20&gt;$C$7,P20&lt;=N20)),OR(R20="",AND(ISNUMBER(R20),R20&gt;=0,R20&lt;=Paramètres!$C$24,R20&lt;=(IF(OR(NOT(ISNUMBER(M20)),NOT(ISNUMBER(N20)),N20&lt;=M20),0,MIN(12*(IF(OR(O20="",NOT(ISNUMBER(O20))),Paramètres!$C$8,O20)),(YEAR(N20)-YEAR(M20))*12+MONTH(N20)-MONTH(M20)+1)))))),AND(D20="",OR(G20="",G20=0)))),"OK","À CORRIGER"),"")</f>
        <v/>
      </c>
      <c r="W20" s="23" t="str">
        <f>IF(NOT(COUNTA(B20,C20,D20,E20,F20,G20,I20,M20,N20,O20,P20,R20)&gt;0),"",IF(OR(COUNT(Paramètres!$C$8:$C$12)&lt;&gt;5,COUNT(Paramètres!$C$16:$C$25)&lt;&gt;10),"Un paramètre de l'onglet Paramètres est vide.",IF(NOT(ISNUMBER($C$7)),"Date d'analyse manquante.",IF(B20="","Libellé du lot manquant.",IF(ISNA(MATCH(C20,Paramètres!$B$29:$B$34,0)),"Nature hors liste.",IF(ISNA(MATCH(E20,Paramètres!$D$29:$D$30,0)),"Statut hors liste.",IF(NOT(AND(ISNUMBER(F20),F20&gt;0)),"Surface manquante ou nulle.",IF(F20&gt;Paramètres!$C$22,"Surface au-delà du garde-fou de saisie.",IF(AND(I20&lt;&gt;"",NOT(AND(ISNUMBER(I20),I20&gt;=0,I20&lt;=Paramètres!$C$21))),"Valeur locative de marché hors bornes.",IF(AND(E20=Paramètres!$D$29,D20=""),"Lot déclaré loué sans locataire.",IF(AND(E20=Paramètres!$D$29,NOT(AND(ISNUMBER(G20),G20&gt;0))),"Loyer facial manquant ou nul.",IF(AND(E20=Paramètres!$D$29,G20&gt;Paramètres!$C$21),"Loyer facial au-delà du garde-fou de saisie.",IF(AND(E20=Paramètres!$D$29,NOT(ISNUMBER(M20))),"Date de prise d'effet manquante.",IF(AND(E20=Paramètres!$D$29,NOT(ISNUMBER(N20))),"Date d'échéance manquante.",IF(AND(E20=Paramètres!$D$29,N20&lt;=M20),"Échéance antérieure ou égale à la prise d'effet.",IF(AND(E20=Paramètres!$D$29,(N(N20)-N(M20))/365.25&gt;Paramètres!$C$23),"Durée du bail au-delà du garde-fou de saisie.",IF(AND(E20=Paramètres!$D$29,O20&lt;&gt;"",NOT(AND(ISNUMBER(O20),O20&gt;=1,O20&lt;=Paramètres!$C$23,O20=INT(N(O20))))),"Périodicité de sortie hors bornes.",IF(AND(E20=Paramètres!$D$29,P20&lt;&gt;"",NOT(AND(ISNUMBER(P20),P20&gt;$C$7,P20&lt;=N20))),"Sortie forcée hors de l'intervalle admis.",IF(AND(E20=Paramètres!$D$29,R20&lt;&gt;"",NOT(AND(ISNUMBER(R20),R20&gt;=0,R20&lt;=Paramètres!$C$24,R20&lt;=(IF(OR(NOT(ISNUMBER(M20)),NOT(ISNUMBER(N20)),N20&lt;=M20),0,MIN(12*(IF(OR(O20="",NOT(ISNUMBER(O20))),Paramètres!$C$8,O20)),(YEAR(N20)-YEAR(M20))*12+MONTH(N20)-MONTH(M20)+1)))))),"Franchise hors bornes ou plus longue que la période ferme.",IF(AND(E20=Paramètres!$D$30,D20&lt;&gt;""),"Lot vacant avec un locataire renseigné.",IF(AND(E20=Paramètres!$D$30,G20&lt;&gt;"",G20&lt;&gt;0),"Lot vacant avec un loyer renseigné.",IF(AND(E20=Paramètres!$D$29,ISNUMBER(N20),ISNUMBER($C$7),N20&lt;$C$7),"Bail échu, en tacite prolongation.",IF(I20="","Valeur locative de marché non renseignée.","")))))))))))))))))))))))</f>
        <v/>
      </c>
      <c r="X20" s="17">
        <f>IF(AND(V20="OK",E20=Paramètres!$D$29),SUMIFS($H$11:$H$50,$D$11:$D$50,D20,$E$11:$E$50,Paramètres!$D$29,$V$11:$V$50,"OK"),0)</f>
        <v>0</v>
      </c>
    </row>
    <row r="21" spans="2:24" ht="15" customHeight="1" x14ac:dyDescent="0.35">
      <c r="B21" s="14"/>
      <c r="C21" s="14"/>
      <c r="D21" s="14"/>
      <c r="E21" s="14"/>
      <c r="F21" s="15"/>
      <c r="G21" s="16"/>
      <c r="H21" s="17">
        <f t="shared" si="0"/>
        <v>0</v>
      </c>
      <c r="I21" s="16"/>
      <c r="J21" s="17">
        <f t="shared" si="1"/>
        <v>0</v>
      </c>
      <c r="K21" s="17" t="str">
        <f t="shared" si="2"/>
        <v/>
      </c>
      <c r="L21" s="18" t="str">
        <f t="shared" si="3"/>
        <v/>
      </c>
      <c r="M21" s="11"/>
      <c r="N21" s="11"/>
      <c r="O21" s="19"/>
      <c r="P21" s="11"/>
      <c r="Q21" s="20" t="str">
        <f>IF(OR(NOT(ISNUMBER($C$7)),NOT(ISNUMBER(M21)),NOT(ISNUMBER(N21))),"",IF(ISNUMBER(P21),P21,IF((IF(OR(O21="",NOT(ISNUMBER(O21))),Paramètres!$C$8,O21))&lt;=0,"",MIN(EDATE(M21,(12*(IF(OR(O21="",NOT(ISNUMBER(O21))),Paramètres!$C$8,O21)))*MAX(1,INT(((YEAR($C$7+1)-YEAR(M21))*12+MONTH($C$7+1)-MONTH(M21)-(DAY($C$7+1)&lt;DAY(M21)))/(12*(IF(OR(O21="",NOT(ISNUMBER(O21))),Paramètres!$C$8,O21))))+1))-1,N21))))</f>
        <v/>
      </c>
      <c r="R21" s="21"/>
      <c r="S21" s="17">
        <f>IF(H21=0,0,IF(OR(R21="",R21=0),H21,IF(OR(NOT(ISNUMBER(R21)),(IF(OR(NOT(ISNUMBER(M21)),NOT(ISNUMBER(N21)),N21&lt;=M21),0,MIN(12*(IF(OR(O21="",NOT(ISNUMBER(O21))),Paramètres!$C$8,O21)),(YEAR(N21)-YEAR(M21))*12+MONTH(N21)-MONTH(M21)+1)))&lt;=0),0,MAX(0,H21*(1-R21/(IF(OR(NOT(ISNUMBER(M21)),NOT(ISNUMBER(N21)),N21&lt;=M21),0,MIN(12*(IF(OR(O21="",NOT(ISNUMBER(O21))),Paramètres!$C$8,O21)),(YEAR(N21)-YEAR(M21))*12+MONTH(N21)-MONTH(M21)+1))))))))</f>
        <v>0</v>
      </c>
      <c r="T21" s="22">
        <f t="shared" si="4"/>
        <v>0</v>
      </c>
      <c r="U21" s="22">
        <f t="shared" si="5"/>
        <v>0</v>
      </c>
      <c r="V21" s="12" t="str">
        <f>IF(COUNTA(B21,C21,D21,E21,F21,G21,I21,M21,N21,O21,P21,R21)&gt;0,IF(AND(COUNT(Paramètres!$C$8:$C$12)=5,COUNT(Paramètres!$C$16:$C$25)=10,ISNUMBER($C$7),B21&lt;&gt;"",NOT(ISNA(MATCH(C21,Paramètres!$B$29:$B$34,0))),NOT(ISNA(MATCH(E21,Paramètres!$D$29:$D$30,0))),ISNUMBER(F21),F21&gt;0,F21&lt;=Paramètres!$C$22,OR(I21="",AND(ISNUMBER(I21),I21&gt;=0,I21&lt;=Paramètres!$C$21)),IF(E21=Paramètres!$D$29,AND(D21&lt;&gt;"",ISNUMBER(G21),G21&gt;0,G21&lt;=Paramètres!$C$21,ISNUMBER(M21),ISNUMBER(N21),N21&gt;M21,(N(N21)-N(M21))/365.25&lt;=Paramètres!$C$23,OR(O21="",AND(ISNUMBER(O21),O21&gt;=1,O21&lt;=Paramètres!$C$23,O21=INT(N(O21)))),OR(P21="",AND(ISNUMBER(P21),P21&gt;$C$7,P21&lt;=N21)),OR(R21="",AND(ISNUMBER(R21),R21&gt;=0,R21&lt;=Paramètres!$C$24,R21&lt;=(IF(OR(NOT(ISNUMBER(M21)),NOT(ISNUMBER(N21)),N21&lt;=M21),0,MIN(12*(IF(OR(O21="",NOT(ISNUMBER(O21))),Paramètres!$C$8,O21)),(YEAR(N21)-YEAR(M21))*12+MONTH(N21)-MONTH(M21)+1)))))),AND(D21="",OR(G21="",G21=0)))),"OK","À CORRIGER"),"")</f>
        <v/>
      </c>
      <c r="W21" s="23" t="str">
        <f>IF(NOT(COUNTA(B21,C21,D21,E21,F21,G21,I21,M21,N21,O21,P21,R21)&gt;0),"",IF(OR(COUNT(Paramètres!$C$8:$C$12)&lt;&gt;5,COUNT(Paramètres!$C$16:$C$25)&lt;&gt;10),"Un paramètre de l'onglet Paramètres est vide.",IF(NOT(ISNUMBER($C$7)),"Date d'analyse manquante.",IF(B21="","Libellé du lot manquant.",IF(ISNA(MATCH(C21,Paramètres!$B$29:$B$34,0)),"Nature hors liste.",IF(ISNA(MATCH(E21,Paramètres!$D$29:$D$30,0)),"Statut hors liste.",IF(NOT(AND(ISNUMBER(F21),F21&gt;0)),"Surface manquante ou nulle.",IF(F21&gt;Paramètres!$C$22,"Surface au-delà du garde-fou de saisie.",IF(AND(I21&lt;&gt;"",NOT(AND(ISNUMBER(I21),I21&gt;=0,I21&lt;=Paramètres!$C$21))),"Valeur locative de marché hors bornes.",IF(AND(E21=Paramètres!$D$29,D21=""),"Lot déclaré loué sans locataire.",IF(AND(E21=Paramètres!$D$29,NOT(AND(ISNUMBER(G21),G21&gt;0))),"Loyer facial manquant ou nul.",IF(AND(E21=Paramètres!$D$29,G21&gt;Paramètres!$C$21),"Loyer facial au-delà du garde-fou de saisie.",IF(AND(E21=Paramètres!$D$29,NOT(ISNUMBER(M21))),"Date de prise d'effet manquante.",IF(AND(E21=Paramètres!$D$29,NOT(ISNUMBER(N21))),"Date d'échéance manquante.",IF(AND(E21=Paramètres!$D$29,N21&lt;=M21),"Échéance antérieure ou égale à la prise d'effet.",IF(AND(E21=Paramètres!$D$29,(N(N21)-N(M21))/365.25&gt;Paramètres!$C$23),"Durée du bail au-delà du garde-fou de saisie.",IF(AND(E21=Paramètres!$D$29,O21&lt;&gt;"",NOT(AND(ISNUMBER(O21),O21&gt;=1,O21&lt;=Paramètres!$C$23,O21=INT(N(O21))))),"Périodicité de sortie hors bornes.",IF(AND(E21=Paramètres!$D$29,P21&lt;&gt;"",NOT(AND(ISNUMBER(P21),P21&gt;$C$7,P21&lt;=N21))),"Sortie forcée hors de l'intervalle admis.",IF(AND(E21=Paramètres!$D$29,R21&lt;&gt;"",NOT(AND(ISNUMBER(R21),R21&gt;=0,R21&lt;=Paramètres!$C$24,R21&lt;=(IF(OR(NOT(ISNUMBER(M21)),NOT(ISNUMBER(N21)),N21&lt;=M21),0,MIN(12*(IF(OR(O21="",NOT(ISNUMBER(O21))),Paramètres!$C$8,O21)),(YEAR(N21)-YEAR(M21))*12+MONTH(N21)-MONTH(M21)+1)))))),"Franchise hors bornes ou plus longue que la période ferme.",IF(AND(E21=Paramètres!$D$30,D21&lt;&gt;""),"Lot vacant avec un locataire renseigné.",IF(AND(E21=Paramètres!$D$30,G21&lt;&gt;"",G21&lt;&gt;0),"Lot vacant avec un loyer renseigné.",IF(AND(E21=Paramètres!$D$29,ISNUMBER(N21),ISNUMBER($C$7),N21&lt;$C$7),"Bail échu, en tacite prolongation.",IF(I21="","Valeur locative de marché non renseignée.","")))))))))))))))))))))))</f>
        <v/>
      </c>
      <c r="X21" s="17">
        <f>IF(AND(V21="OK",E21=Paramètres!$D$29),SUMIFS($H$11:$H$50,$D$11:$D$50,D21,$E$11:$E$50,Paramètres!$D$29,$V$11:$V$50,"OK"),0)</f>
        <v>0</v>
      </c>
    </row>
    <row r="22" spans="2:24" ht="15" customHeight="1" x14ac:dyDescent="0.35">
      <c r="B22" s="14"/>
      <c r="C22" s="14"/>
      <c r="D22" s="14"/>
      <c r="E22" s="14"/>
      <c r="F22" s="15"/>
      <c r="G22" s="16"/>
      <c r="H22" s="17">
        <f t="shared" si="0"/>
        <v>0</v>
      </c>
      <c r="I22" s="16"/>
      <c r="J22" s="17">
        <f t="shared" si="1"/>
        <v>0</v>
      </c>
      <c r="K22" s="17" t="str">
        <f t="shared" si="2"/>
        <v/>
      </c>
      <c r="L22" s="18" t="str">
        <f t="shared" si="3"/>
        <v/>
      </c>
      <c r="M22" s="11"/>
      <c r="N22" s="11"/>
      <c r="O22" s="19"/>
      <c r="P22" s="11"/>
      <c r="Q22" s="20" t="str">
        <f>IF(OR(NOT(ISNUMBER($C$7)),NOT(ISNUMBER(M22)),NOT(ISNUMBER(N22))),"",IF(ISNUMBER(P22),P22,IF((IF(OR(O22="",NOT(ISNUMBER(O22))),Paramètres!$C$8,O22))&lt;=0,"",MIN(EDATE(M22,(12*(IF(OR(O22="",NOT(ISNUMBER(O22))),Paramètres!$C$8,O22)))*MAX(1,INT(((YEAR($C$7+1)-YEAR(M22))*12+MONTH($C$7+1)-MONTH(M22)-(DAY($C$7+1)&lt;DAY(M22)))/(12*(IF(OR(O22="",NOT(ISNUMBER(O22))),Paramètres!$C$8,O22))))+1))-1,N22))))</f>
        <v/>
      </c>
      <c r="R22" s="21"/>
      <c r="S22" s="17">
        <f>IF(H22=0,0,IF(OR(R22="",R22=0),H22,IF(OR(NOT(ISNUMBER(R22)),(IF(OR(NOT(ISNUMBER(M22)),NOT(ISNUMBER(N22)),N22&lt;=M22),0,MIN(12*(IF(OR(O22="",NOT(ISNUMBER(O22))),Paramètres!$C$8,O22)),(YEAR(N22)-YEAR(M22))*12+MONTH(N22)-MONTH(M22)+1)))&lt;=0),0,MAX(0,H22*(1-R22/(IF(OR(NOT(ISNUMBER(M22)),NOT(ISNUMBER(N22)),N22&lt;=M22),0,MIN(12*(IF(OR(O22="",NOT(ISNUMBER(O22))),Paramètres!$C$8,O22)),(YEAR(N22)-YEAR(M22))*12+MONTH(N22)-MONTH(M22)+1))))))))</f>
        <v>0</v>
      </c>
      <c r="T22" s="22">
        <f t="shared" si="4"/>
        <v>0</v>
      </c>
      <c r="U22" s="22">
        <f t="shared" si="5"/>
        <v>0</v>
      </c>
      <c r="V22" s="12" t="str">
        <f>IF(COUNTA(B22,C22,D22,E22,F22,G22,I22,M22,N22,O22,P22,R22)&gt;0,IF(AND(COUNT(Paramètres!$C$8:$C$12)=5,COUNT(Paramètres!$C$16:$C$25)=10,ISNUMBER($C$7),B22&lt;&gt;"",NOT(ISNA(MATCH(C22,Paramètres!$B$29:$B$34,0))),NOT(ISNA(MATCH(E22,Paramètres!$D$29:$D$30,0))),ISNUMBER(F22),F22&gt;0,F22&lt;=Paramètres!$C$22,OR(I22="",AND(ISNUMBER(I22),I22&gt;=0,I22&lt;=Paramètres!$C$21)),IF(E22=Paramètres!$D$29,AND(D22&lt;&gt;"",ISNUMBER(G22),G22&gt;0,G22&lt;=Paramètres!$C$21,ISNUMBER(M22),ISNUMBER(N22),N22&gt;M22,(N(N22)-N(M22))/365.25&lt;=Paramètres!$C$23,OR(O22="",AND(ISNUMBER(O22),O22&gt;=1,O22&lt;=Paramètres!$C$23,O22=INT(N(O22)))),OR(P22="",AND(ISNUMBER(P22),P22&gt;$C$7,P22&lt;=N22)),OR(R22="",AND(ISNUMBER(R22),R22&gt;=0,R22&lt;=Paramètres!$C$24,R22&lt;=(IF(OR(NOT(ISNUMBER(M22)),NOT(ISNUMBER(N22)),N22&lt;=M22),0,MIN(12*(IF(OR(O22="",NOT(ISNUMBER(O22))),Paramètres!$C$8,O22)),(YEAR(N22)-YEAR(M22))*12+MONTH(N22)-MONTH(M22)+1)))))),AND(D22="",OR(G22="",G22=0)))),"OK","À CORRIGER"),"")</f>
        <v/>
      </c>
      <c r="W22" s="23" t="str">
        <f>IF(NOT(COUNTA(B22,C22,D22,E22,F22,G22,I22,M22,N22,O22,P22,R22)&gt;0),"",IF(OR(COUNT(Paramètres!$C$8:$C$12)&lt;&gt;5,COUNT(Paramètres!$C$16:$C$25)&lt;&gt;10),"Un paramètre de l'onglet Paramètres est vide.",IF(NOT(ISNUMBER($C$7)),"Date d'analyse manquante.",IF(B22="","Libellé du lot manquant.",IF(ISNA(MATCH(C22,Paramètres!$B$29:$B$34,0)),"Nature hors liste.",IF(ISNA(MATCH(E22,Paramètres!$D$29:$D$30,0)),"Statut hors liste.",IF(NOT(AND(ISNUMBER(F22),F22&gt;0)),"Surface manquante ou nulle.",IF(F22&gt;Paramètres!$C$22,"Surface au-delà du garde-fou de saisie.",IF(AND(I22&lt;&gt;"",NOT(AND(ISNUMBER(I22),I22&gt;=0,I22&lt;=Paramètres!$C$21))),"Valeur locative de marché hors bornes.",IF(AND(E22=Paramètres!$D$29,D22=""),"Lot déclaré loué sans locataire.",IF(AND(E22=Paramètres!$D$29,NOT(AND(ISNUMBER(G22),G22&gt;0))),"Loyer facial manquant ou nul.",IF(AND(E22=Paramètres!$D$29,G22&gt;Paramètres!$C$21),"Loyer facial au-delà du garde-fou de saisie.",IF(AND(E22=Paramètres!$D$29,NOT(ISNUMBER(M22))),"Date de prise d'effet manquante.",IF(AND(E22=Paramètres!$D$29,NOT(ISNUMBER(N22))),"Date d'échéance manquante.",IF(AND(E22=Paramètres!$D$29,N22&lt;=M22),"Échéance antérieure ou égale à la prise d'effet.",IF(AND(E22=Paramètres!$D$29,(N(N22)-N(M22))/365.25&gt;Paramètres!$C$23),"Durée du bail au-delà du garde-fou de saisie.",IF(AND(E22=Paramètres!$D$29,O22&lt;&gt;"",NOT(AND(ISNUMBER(O22),O22&gt;=1,O22&lt;=Paramètres!$C$23,O22=INT(N(O22))))),"Périodicité de sortie hors bornes.",IF(AND(E22=Paramètres!$D$29,P22&lt;&gt;"",NOT(AND(ISNUMBER(P22),P22&gt;$C$7,P22&lt;=N22))),"Sortie forcée hors de l'intervalle admis.",IF(AND(E22=Paramètres!$D$29,R22&lt;&gt;"",NOT(AND(ISNUMBER(R22),R22&gt;=0,R22&lt;=Paramètres!$C$24,R22&lt;=(IF(OR(NOT(ISNUMBER(M22)),NOT(ISNUMBER(N22)),N22&lt;=M22),0,MIN(12*(IF(OR(O22="",NOT(ISNUMBER(O22))),Paramètres!$C$8,O22)),(YEAR(N22)-YEAR(M22))*12+MONTH(N22)-MONTH(M22)+1)))))),"Franchise hors bornes ou plus longue que la période ferme.",IF(AND(E22=Paramètres!$D$30,D22&lt;&gt;""),"Lot vacant avec un locataire renseigné.",IF(AND(E22=Paramètres!$D$30,G22&lt;&gt;"",G22&lt;&gt;0),"Lot vacant avec un loyer renseigné.",IF(AND(E22=Paramètres!$D$29,ISNUMBER(N22),ISNUMBER($C$7),N22&lt;$C$7),"Bail échu, en tacite prolongation.",IF(I22="","Valeur locative de marché non renseignée.","")))))))))))))))))))))))</f>
        <v/>
      </c>
      <c r="X22" s="17">
        <f>IF(AND(V22="OK",E22=Paramètres!$D$29),SUMIFS($H$11:$H$50,$D$11:$D$50,D22,$E$11:$E$50,Paramètres!$D$29,$V$11:$V$50,"OK"),0)</f>
        <v>0</v>
      </c>
    </row>
    <row r="23" spans="2:24" ht="15" customHeight="1" x14ac:dyDescent="0.35">
      <c r="B23" s="14"/>
      <c r="C23" s="14"/>
      <c r="D23" s="14"/>
      <c r="E23" s="14"/>
      <c r="F23" s="15"/>
      <c r="G23" s="16"/>
      <c r="H23" s="17">
        <f t="shared" si="0"/>
        <v>0</v>
      </c>
      <c r="I23" s="16"/>
      <c r="J23" s="17">
        <f t="shared" si="1"/>
        <v>0</v>
      </c>
      <c r="K23" s="17" t="str">
        <f t="shared" si="2"/>
        <v/>
      </c>
      <c r="L23" s="18" t="str">
        <f t="shared" si="3"/>
        <v/>
      </c>
      <c r="M23" s="11"/>
      <c r="N23" s="11"/>
      <c r="O23" s="19"/>
      <c r="P23" s="11"/>
      <c r="Q23" s="20" t="str">
        <f>IF(OR(NOT(ISNUMBER($C$7)),NOT(ISNUMBER(M23)),NOT(ISNUMBER(N23))),"",IF(ISNUMBER(P23),P23,IF((IF(OR(O23="",NOT(ISNUMBER(O23))),Paramètres!$C$8,O23))&lt;=0,"",MIN(EDATE(M23,(12*(IF(OR(O23="",NOT(ISNUMBER(O23))),Paramètres!$C$8,O23)))*MAX(1,INT(((YEAR($C$7+1)-YEAR(M23))*12+MONTH($C$7+1)-MONTH(M23)-(DAY($C$7+1)&lt;DAY(M23)))/(12*(IF(OR(O23="",NOT(ISNUMBER(O23))),Paramètres!$C$8,O23))))+1))-1,N23))))</f>
        <v/>
      </c>
      <c r="R23" s="21"/>
      <c r="S23" s="17">
        <f>IF(H23=0,0,IF(OR(R23="",R23=0),H23,IF(OR(NOT(ISNUMBER(R23)),(IF(OR(NOT(ISNUMBER(M23)),NOT(ISNUMBER(N23)),N23&lt;=M23),0,MIN(12*(IF(OR(O23="",NOT(ISNUMBER(O23))),Paramètres!$C$8,O23)),(YEAR(N23)-YEAR(M23))*12+MONTH(N23)-MONTH(M23)+1)))&lt;=0),0,MAX(0,H23*(1-R23/(IF(OR(NOT(ISNUMBER(M23)),NOT(ISNUMBER(N23)),N23&lt;=M23),0,MIN(12*(IF(OR(O23="",NOT(ISNUMBER(O23))),Paramètres!$C$8,O23)),(YEAR(N23)-YEAR(M23))*12+MONTH(N23)-MONTH(M23)+1))))))))</f>
        <v>0</v>
      </c>
      <c r="T23" s="22">
        <f t="shared" si="4"/>
        <v>0</v>
      </c>
      <c r="U23" s="22">
        <f t="shared" si="5"/>
        <v>0</v>
      </c>
      <c r="V23" s="12" t="str">
        <f>IF(COUNTA(B23,C23,D23,E23,F23,G23,I23,M23,N23,O23,P23,R23)&gt;0,IF(AND(COUNT(Paramètres!$C$8:$C$12)=5,COUNT(Paramètres!$C$16:$C$25)=10,ISNUMBER($C$7),B23&lt;&gt;"",NOT(ISNA(MATCH(C23,Paramètres!$B$29:$B$34,0))),NOT(ISNA(MATCH(E23,Paramètres!$D$29:$D$30,0))),ISNUMBER(F23),F23&gt;0,F23&lt;=Paramètres!$C$22,OR(I23="",AND(ISNUMBER(I23),I23&gt;=0,I23&lt;=Paramètres!$C$21)),IF(E23=Paramètres!$D$29,AND(D23&lt;&gt;"",ISNUMBER(G23),G23&gt;0,G23&lt;=Paramètres!$C$21,ISNUMBER(M23),ISNUMBER(N23),N23&gt;M23,(N(N23)-N(M23))/365.25&lt;=Paramètres!$C$23,OR(O23="",AND(ISNUMBER(O23),O23&gt;=1,O23&lt;=Paramètres!$C$23,O23=INT(N(O23)))),OR(P23="",AND(ISNUMBER(P23),P23&gt;$C$7,P23&lt;=N23)),OR(R23="",AND(ISNUMBER(R23),R23&gt;=0,R23&lt;=Paramètres!$C$24,R23&lt;=(IF(OR(NOT(ISNUMBER(M23)),NOT(ISNUMBER(N23)),N23&lt;=M23),0,MIN(12*(IF(OR(O23="",NOT(ISNUMBER(O23))),Paramètres!$C$8,O23)),(YEAR(N23)-YEAR(M23))*12+MONTH(N23)-MONTH(M23)+1)))))),AND(D23="",OR(G23="",G23=0)))),"OK","À CORRIGER"),"")</f>
        <v/>
      </c>
      <c r="W23" s="23" t="str">
        <f>IF(NOT(COUNTA(B23,C23,D23,E23,F23,G23,I23,M23,N23,O23,P23,R23)&gt;0),"",IF(OR(COUNT(Paramètres!$C$8:$C$12)&lt;&gt;5,COUNT(Paramètres!$C$16:$C$25)&lt;&gt;10),"Un paramètre de l'onglet Paramètres est vide.",IF(NOT(ISNUMBER($C$7)),"Date d'analyse manquante.",IF(B23="","Libellé du lot manquant.",IF(ISNA(MATCH(C23,Paramètres!$B$29:$B$34,0)),"Nature hors liste.",IF(ISNA(MATCH(E23,Paramètres!$D$29:$D$30,0)),"Statut hors liste.",IF(NOT(AND(ISNUMBER(F23),F23&gt;0)),"Surface manquante ou nulle.",IF(F23&gt;Paramètres!$C$22,"Surface au-delà du garde-fou de saisie.",IF(AND(I23&lt;&gt;"",NOT(AND(ISNUMBER(I23),I23&gt;=0,I23&lt;=Paramètres!$C$21))),"Valeur locative de marché hors bornes.",IF(AND(E23=Paramètres!$D$29,D23=""),"Lot déclaré loué sans locataire.",IF(AND(E23=Paramètres!$D$29,NOT(AND(ISNUMBER(G23),G23&gt;0))),"Loyer facial manquant ou nul.",IF(AND(E23=Paramètres!$D$29,G23&gt;Paramètres!$C$21),"Loyer facial au-delà du garde-fou de saisie.",IF(AND(E23=Paramètres!$D$29,NOT(ISNUMBER(M23))),"Date de prise d'effet manquante.",IF(AND(E23=Paramètres!$D$29,NOT(ISNUMBER(N23))),"Date d'échéance manquante.",IF(AND(E23=Paramètres!$D$29,N23&lt;=M23),"Échéance antérieure ou égale à la prise d'effet.",IF(AND(E23=Paramètres!$D$29,(N(N23)-N(M23))/365.25&gt;Paramètres!$C$23),"Durée du bail au-delà du garde-fou de saisie.",IF(AND(E23=Paramètres!$D$29,O23&lt;&gt;"",NOT(AND(ISNUMBER(O23),O23&gt;=1,O23&lt;=Paramètres!$C$23,O23=INT(N(O23))))),"Périodicité de sortie hors bornes.",IF(AND(E23=Paramètres!$D$29,P23&lt;&gt;"",NOT(AND(ISNUMBER(P23),P23&gt;$C$7,P23&lt;=N23))),"Sortie forcée hors de l'intervalle admis.",IF(AND(E23=Paramètres!$D$29,R23&lt;&gt;"",NOT(AND(ISNUMBER(R23),R23&gt;=0,R23&lt;=Paramètres!$C$24,R23&lt;=(IF(OR(NOT(ISNUMBER(M23)),NOT(ISNUMBER(N23)),N23&lt;=M23),0,MIN(12*(IF(OR(O23="",NOT(ISNUMBER(O23))),Paramètres!$C$8,O23)),(YEAR(N23)-YEAR(M23))*12+MONTH(N23)-MONTH(M23)+1)))))),"Franchise hors bornes ou plus longue que la période ferme.",IF(AND(E23=Paramètres!$D$30,D23&lt;&gt;""),"Lot vacant avec un locataire renseigné.",IF(AND(E23=Paramètres!$D$30,G23&lt;&gt;"",G23&lt;&gt;0),"Lot vacant avec un loyer renseigné.",IF(AND(E23=Paramètres!$D$29,ISNUMBER(N23),ISNUMBER($C$7),N23&lt;$C$7),"Bail échu, en tacite prolongation.",IF(I23="","Valeur locative de marché non renseignée.","")))))))))))))))))))))))</f>
        <v/>
      </c>
      <c r="X23" s="17">
        <f>IF(AND(V23="OK",E23=Paramètres!$D$29),SUMIFS($H$11:$H$50,$D$11:$D$50,D23,$E$11:$E$50,Paramètres!$D$29,$V$11:$V$50,"OK"),0)</f>
        <v>0</v>
      </c>
    </row>
    <row r="24" spans="2:24" ht="15" customHeight="1" x14ac:dyDescent="0.35">
      <c r="B24" s="14"/>
      <c r="C24" s="14"/>
      <c r="D24" s="14"/>
      <c r="E24" s="14"/>
      <c r="F24" s="15"/>
      <c r="G24" s="16"/>
      <c r="H24" s="17">
        <f t="shared" si="0"/>
        <v>0</v>
      </c>
      <c r="I24" s="16"/>
      <c r="J24" s="17">
        <f t="shared" si="1"/>
        <v>0</v>
      </c>
      <c r="K24" s="17" t="str">
        <f t="shared" si="2"/>
        <v/>
      </c>
      <c r="L24" s="18" t="str">
        <f t="shared" si="3"/>
        <v/>
      </c>
      <c r="M24" s="11"/>
      <c r="N24" s="11"/>
      <c r="O24" s="19"/>
      <c r="P24" s="11"/>
      <c r="Q24" s="20" t="str">
        <f>IF(OR(NOT(ISNUMBER($C$7)),NOT(ISNUMBER(M24)),NOT(ISNUMBER(N24))),"",IF(ISNUMBER(P24),P24,IF((IF(OR(O24="",NOT(ISNUMBER(O24))),Paramètres!$C$8,O24))&lt;=0,"",MIN(EDATE(M24,(12*(IF(OR(O24="",NOT(ISNUMBER(O24))),Paramètres!$C$8,O24)))*MAX(1,INT(((YEAR($C$7+1)-YEAR(M24))*12+MONTH($C$7+1)-MONTH(M24)-(DAY($C$7+1)&lt;DAY(M24)))/(12*(IF(OR(O24="",NOT(ISNUMBER(O24))),Paramètres!$C$8,O24))))+1))-1,N24))))</f>
        <v/>
      </c>
      <c r="R24" s="21"/>
      <c r="S24" s="17">
        <f>IF(H24=0,0,IF(OR(R24="",R24=0),H24,IF(OR(NOT(ISNUMBER(R24)),(IF(OR(NOT(ISNUMBER(M24)),NOT(ISNUMBER(N24)),N24&lt;=M24),0,MIN(12*(IF(OR(O24="",NOT(ISNUMBER(O24))),Paramètres!$C$8,O24)),(YEAR(N24)-YEAR(M24))*12+MONTH(N24)-MONTH(M24)+1)))&lt;=0),0,MAX(0,H24*(1-R24/(IF(OR(NOT(ISNUMBER(M24)),NOT(ISNUMBER(N24)),N24&lt;=M24),0,MIN(12*(IF(OR(O24="",NOT(ISNUMBER(O24))),Paramètres!$C$8,O24)),(YEAR(N24)-YEAR(M24))*12+MONTH(N24)-MONTH(M24)+1))))))))</f>
        <v>0</v>
      </c>
      <c r="T24" s="22">
        <f t="shared" si="4"/>
        <v>0</v>
      </c>
      <c r="U24" s="22">
        <f t="shared" si="5"/>
        <v>0</v>
      </c>
      <c r="V24" s="12" t="str">
        <f>IF(COUNTA(B24,C24,D24,E24,F24,G24,I24,M24,N24,O24,P24,R24)&gt;0,IF(AND(COUNT(Paramètres!$C$8:$C$12)=5,COUNT(Paramètres!$C$16:$C$25)=10,ISNUMBER($C$7),B24&lt;&gt;"",NOT(ISNA(MATCH(C24,Paramètres!$B$29:$B$34,0))),NOT(ISNA(MATCH(E24,Paramètres!$D$29:$D$30,0))),ISNUMBER(F24),F24&gt;0,F24&lt;=Paramètres!$C$22,OR(I24="",AND(ISNUMBER(I24),I24&gt;=0,I24&lt;=Paramètres!$C$21)),IF(E24=Paramètres!$D$29,AND(D24&lt;&gt;"",ISNUMBER(G24),G24&gt;0,G24&lt;=Paramètres!$C$21,ISNUMBER(M24),ISNUMBER(N24),N24&gt;M24,(N(N24)-N(M24))/365.25&lt;=Paramètres!$C$23,OR(O24="",AND(ISNUMBER(O24),O24&gt;=1,O24&lt;=Paramètres!$C$23,O24=INT(N(O24)))),OR(P24="",AND(ISNUMBER(P24),P24&gt;$C$7,P24&lt;=N24)),OR(R24="",AND(ISNUMBER(R24),R24&gt;=0,R24&lt;=Paramètres!$C$24,R24&lt;=(IF(OR(NOT(ISNUMBER(M24)),NOT(ISNUMBER(N24)),N24&lt;=M24),0,MIN(12*(IF(OR(O24="",NOT(ISNUMBER(O24))),Paramètres!$C$8,O24)),(YEAR(N24)-YEAR(M24))*12+MONTH(N24)-MONTH(M24)+1)))))),AND(D24="",OR(G24="",G24=0)))),"OK","À CORRIGER"),"")</f>
        <v/>
      </c>
      <c r="W24" s="23" t="str">
        <f>IF(NOT(COUNTA(B24,C24,D24,E24,F24,G24,I24,M24,N24,O24,P24,R24)&gt;0),"",IF(OR(COUNT(Paramètres!$C$8:$C$12)&lt;&gt;5,COUNT(Paramètres!$C$16:$C$25)&lt;&gt;10),"Un paramètre de l'onglet Paramètres est vide.",IF(NOT(ISNUMBER($C$7)),"Date d'analyse manquante.",IF(B24="","Libellé du lot manquant.",IF(ISNA(MATCH(C24,Paramètres!$B$29:$B$34,0)),"Nature hors liste.",IF(ISNA(MATCH(E24,Paramètres!$D$29:$D$30,0)),"Statut hors liste.",IF(NOT(AND(ISNUMBER(F24),F24&gt;0)),"Surface manquante ou nulle.",IF(F24&gt;Paramètres!$C$22,"Surface au-delà du garde-fou de saisie.",IF(AND(I24&lt;&gt;"",NOT(AND(ISNUMBER(I24),I24&gt;=0,I24&lt;=Paramètres!$C$21))),"Valeur locative de marché hors bornes.",IF(AND(E24=Paramètres!$D$29,D24=""),"Lot déclaré loué sans locataire.",IF(AND(E24=Paramètres!$D$29,NOT(AND(ISNUMBER(G24),G24&gt;0))),"Loyer facial manquant ou nul.",IF(AND(E24=Paramètres!$D$29,G24&gt;Paramètres!$C$21),"Loyer facial au-delà du garde-fou de saisie.",IF(AND(E24=Paramètres!$D$29,NOT(ISNUMBER(M24))),"Date de prise d'effet manquante.",IF(AND(E24=Paramètres!$D$29,NOT(ISNUMBER(N24))),"Date d'échéance manquante.",IF(AND(E24=Paramètres!$D$29,N24&lt;=M24),"Échéance antérieure ou égale à la prise d'effet.",IF(AND(E24=Paramètres!$D$29,(N(N24)-N(M24))/365.25&gt;Paramètres!$C$23),"Durée du bail au-delà du garde-fou de saisie.",IF(AND(E24=Paramètres!$D$29,O24&lt;&gt;"",NOT(AND(ISNUMBER(O24),O24&gt;=1,O24&lt;=Paramètres!$C$23,O24=INT(N(O24))))),"Périodicité de sortie hors bornes.",IF(AND(E24=Paramètres!$D$29,P24&lt;&gt;"",NOT(AND(ISNUMBER(P24),P24&gt;$C$7,P24&lt;=N24))),"Sortie forcée hors de l'intervalle admis.",IF(AND(E24=Paramètres!$D$29,R24&lt;&gt;"",NOT(AND(ISNUMBER(R24),R24&gt;=0,R24&lt;=Paramètres!$C$24,R24&lt;=(IF(OR(NOT(ISNUMBER(M24)),NOT(ISNUMBER(N24)),N24&lt;=M24),0,MIN(12*(IF(OR(O24="",NOT(ISNUMBER(O24))),Paramètres!$C$8,O24)),(YEAR(N24)-YEAR(M24))*12+MONTH(N24)-MONTH(M24)+1)))))),"Franchise hors bornes ou plus longue que la période ferme.",IF(AND(E24=Paramètres!$D$30,D24&lt;&gt;""),"Lot vacant avec un locataire renseigné.",IF(AND(E24=Paramètres!$D$30,G24&lt;&gt;"",G24&lt;&gt;0),"Lot vacant avec un loyer renseigné.",IF(AND(E24=Paramètres!$D$29,ISNUMBER(N24),ISNUMBER($C$7),N24&lt;$C$7),"Bail échu, en tacite prolongation.",IF(I24="","Valeur locative de marché non renseignée.","")))))))))))))))))))))))</f>
        <v/>
      </c>
      <c r="X24" s="17">
        <f>IF(AND(V24="OK",E24=Paramètres!$D$29),SUMIFS($H$11:$H$50,$D$11:$D$50,D24,$E$11:$E$50,Paramètres!$D$29,$V$11:$V$50,"OK"),0)</f>
        <v>0</v>
      </c>
    </row>
    <row r="25" spans="2:24" ht="15" customHeight="1" x14ac:dyDescent="0.35">
      <c r="B25" s="14"/>
      <c r="C25" s="14"/>
      <c r="D25" s="14"/>
      <c r="E25" s="14"/>
      <c r="F25" s="15"/>
      <c r="G25" s="16"/>
      <c r="H25" s="17">
        <f t="shared" si="0"/>
        <v>0</v>
      </c>
      <c r="I25" s="16"/>
      <c r="J25" s="17">
        <f t="shared" si="1"/>
        <v>0</v>
      </c>
      <c r="K25" s="17" t="str">
        <f t="shared" si="2"/>
        <v/>
      </c>
      <c r="L25" s="18" t="str">
        <f t="shared" si="3"/>
        <v/>
      </c>
      <c r="M25" s="11"/>
      <c r="N25" s="11"/>
      <c r="O25" s="19"/>
      <c r="P25" s="11"/>
      <c r="Q25" s="20" t="str">
        <f>IF(OR(NOT(ISNUMBER($C$7)),NOT(ISNUMBER(M25)),NOT(ISNUMBER(N25))),"",IF(ISNUMBER(P25),P25,IF((IF(OR(O25="",NOT(ISNUMBER(O25))),Paramètres!$C$8,O25))&lt;=0,"",MIN(EDATE(M25,(12*(IF(OR(O25="",NOT(ISNUMBER(O25))),Paramètres!$C$8,O25)))*MAX(1,INT(((YEAR($C$7+1)-YEAR(M25))*12+MONTH($C$7+1)-MONTH(M25)-(DAY($C$7+1)&lt;DAY(M25)))/(12*(IF(OR(O25="",NOT(ISNUMBER(O25))),Paramètres!$C$8,O25))))+1))-1,N25))))</f>
        <v/>
      </c>
      <c r="R25" s="21"/>
      <c r="S25" s="17">
        <f>IF(H25=0,0,IF(OR(R25="",R25=0),H25,IF(OR(NOT(ISNUMBER(R25)),(IF(OR(NOT(ISNUMBER(M25)),NOT(ISNUMBER(N25)),N25&lt;=M25),0,MIN(12*(IF(OR(O25="",NOT(ISNUMBER(O25))),Paramètres!$C$8,O25)),(YEAR(N25)-YEAR(M25))*12+MONTH(N25)-MONTH(M25)+1)))&lt;=0),0,MAX(0,H25*(1-R25/(IF(OR(NOT(ISNUMBER(M25)),NOT(ISNUMBER(N25)),N25&lt;=M25),0,MIN(12*(IF(OR(O25="",NOT(ISNUMBER(O25))),Paramètres!$C$8,O25)),(YEAR(N25)-YEAR(M25))*12+MONTH(N25)-MONTH(M25)+1))))))))</f>
        <v>0</v>
      </c>
      <c r="T25" s="22">
        <f t="shared" si="4"/>
        <v>0</v>
      </c>
      <c r="U25" s="22">
        <f t="shared" si="5"/>
        <v>0</v>
      </c>
      <c r="V25" s="12" t="str">
        <f>IF(COUNTA(B25,C25,D25,E25,F25,G25,I25,M25,N25,O25,P25,R25)&gt;0,IF(AND(COUNT(Paramètres!$C$8:$C$12)=5,COUNT(Paramètres!$C$16:$C$25)=10,ISNUMBER($C$7),B25&lt;&gt;"",NOT(ISNA(MATCH(C25,Paramètres!$B$29:$B$34,0))),NOT(ISNA(MATCH(E25,Paramètres!$D$29:$D$30,0))),ISNUMBER(F25),F25&gt;0,F25&lt;=Paramètres!$C$22,OR(I25="",AND(ISNUMBER(I25),I25&gt;=0,I25&lt;=Paramètres!$C$21)),IF(E25=Paramètres!$D$29,AND(D25&lt;&gt;"",ISNUMBER(G25),G25&gt;0,G25&lt;=Paramètres!$C$21,ISNUMBER(M25),ISNUMBER(N25),N25&gt;M25,(N(N25)-N(M25))/365.25&lt;=Paramètres!$C$23,OR(O25="",AND(ISNUMBER(O25),O25&gt;=1,O25&lt;=Paramètres!$C$23,O25=INT(N(O25)))),OR(P25="",AND(ISNUMBER(P25),P25&gt;$C$7,P25&lt;=N25)),OR(R25="",AND(ISNUMBER(R25),R25&gt;=0,R25&lt;=Paramètres!$C$24,R25&lt;=(IF(OR(NOT(ISNUMBER(M25)),NOT(ISNUMBER(N25)),N25&lt;=M25),0,MIN(12*(IF(OR(O25="",NOT(ISNUMBER(O25))),Paramètres!$C$8,O25)),(YEAR(N25)-YEAR(M25))*12+MONTH(N25)-MONTH(M25)+1)))))),AND(D25="",OR(G25="",G25=0)))),"OK","À CORRIGER"),"")</f>
        <v/>
      </c>
      <c r="W25" s="23" t="str">
        <f>IF(NOT(COUNTA(B25,C25,D25,E25,F25,G25,I25,M25,N25,O25,P25,R25)&gt;0),"",IF(OR(COUNT(Paramètres!$C$8:$C$12)&lt;&gt;5,COUNT(Paramètres!$C$16:$C$25)&lt;&gt;10),"Un paramètre de l'onglet Paramètres est vide.",IF(NOT(ISNUMBER($C$7)),"Date d'analyse manquante.",IF(B25="","Libellé du lot manquant.",IF(ISNA(MATCH(C25,Paramètres!$B$29:$B$34,0)),"Nature hors liste.",IF(ISNA(MATCH(E25,Paramètres!$D$29:$D$30,0)),"Statut hors liste.",IF(NOT(AND(ISNUMBER(F25),F25&gt;0)),"Surface manquante ou nulle.",IF(F25&gt;Paramètres!$C$22,"Surface au-delà du garde-fou de saisie.",IF(AND(I25&lt;&gt;"",NOT(AND(ISNUMBER(I25),I25&gt;=0,I25&lt;=Paramètres!$C$21))),"Valeur locative de marché hors bornes.",IF(AND(E25=Paramètres!$D$29,D25=""),"Lot déclaré loué sans locataire.",IF(AND(E25=Paramètres!$D$29,NOT(AND(ISNUMBER(G25),G25&gt;0))),"Loyer facial manquant ou nul.",IF(AND(E25=Paramètres!$D$29,G25&gt;Paramètres!$C$21),"Loyer facial au-delà du garde-fou de saisie.",IF(AND(E25=Paramètres!$D$29,NOT(ISNUMBER(M25))),"Date de prise d'effet manquante.",IF(AND(E25=Paramètres!$D$29,NOT(ISNUMBER(N25))),"Date d'échéance manquante.",IF(AND(E25=Paramètres!$D$29,N25&lt;=M25),"Échéance antérieure ou égale à la prise d'effet.",IF(AND(E25=Paramètres!$D$29,(N(N25)-N(M25))/365.25&gt;Paramètres!$C$23),"Durée du bail au-delà du garde-fou de saisie.",IF(AND(E25=Paramètres!$D$29,O25&lt;&gt;"",NOT(AND(ISNUMBER(O25),O25&gt;=1,O25&lt;=Paramètres!$C$23,O25=INT(N(O25))))),"Périodicité de sortie hors bornes.",IF(AND(E25=Paramètres!$D$29,P25&lt;&gt;"",NOT(AND(ISNUMBER(P25),P25&gt;$C$7,P25&lt;=N25))),"Sortie forcée hors de l'intervalle admis.",IF(AND(E25=Paramètres!$D$29,R25&lt;&gt;"",NOT(AND(ISNUMBER(R25),R25&gt;=0,R25&lt;=Paramètres!$C$24,R25&lt;=(IF(OR(NOT(ISNUMBER(M25)),NOT(ISNUMBER(N25)),N25&lt;=M25),0,MIN(12*(IF(OR(O25="",NOT(ISNUMBER(O25))),Paramètres!$C$8,O25)),(YEAR(N25)-YEAR(M25))*12+MONTH(N25)-MONTH(M25)+1)))))),"Franchise hors bornes ou plus longue que la période ferme.",IF(AND(E25=Paramètres!$D$30,D25&lt;&gt;""),"Lot vacant avec un locataire renseigné.",IF(AND(E25=Paramètres!$D$30,G25&lt;&gt;"",G25&lt;&gt;0),"Lot vacant avec un loyer renseigné.",IF(AND(E25=Paramètres!$D$29,ISNUMBER(N25),ISNUMBER($C$7),N25&lt;$C$7),"Bail échu, en tacite prolongation.",IF(I25="","Valeur locative de marché non renseignée.","")))))))))))))))))))))))</f>
        <v/>
      </c>
      <c r="X25" s="17">
        <f>IF(AND(V25="OK",E25=Paramètres!$D$29),SUMIFS($H$11:$H$50,$D$11:$D$50,D25,$E$11:$E$50,Paramètres!$D$29,$V$11:$V$50,"OK"),0)</f>
        <v>0</v>
      </c>
    </row>
    <row r="26" spans="2:24" ht="15" customHeight="1" x14ac:dyDescent="0.35">
      <c r="B26" s="14"/>
      <c r="C26" s="14"/>
      <c r="D26" s="14"/>
      <c r="E26" s="14"/>
      <c r="F26" s="15"/>
      <c r="G26" s="16"/>
      <c r="H26" s="17">
        <f t="shared" si="0"/>
        <v>0</v>
      </c>
      <c r="I26" s="16"/>
      <c r="J26" s="17">
        <f t="shared" si="1"/>
        <v>0</v>
      </c>
      <c r="K26" s="17" t="str">
        <f t="shared" si="2"/>
        <v/>
      </c>
      <c r="L26" s="18" t="str">
        <f t="shared" si="3"/>
        <v/>
      </c>
      <c r="M26" s="11"/>
      <c r="N26" s="11"/>
      <c r="O26" s="19"/>
      <c r="P26" s="11"/>
      <c r="Q26" s="20" t="str">
        <f>IF(OR(NOT(ISNUMBER($C$7)),NOT(ISNUMBER(M26)),NOT(ISNUMBER(N26))),"",IF(ISNUMBER(P26),P26,IF((IF(OR(O26="",NOT(ISNUMBER(O26))),Paramètres!$C$8,O26))&lt;=0,"",MIN(EDATE(M26,(12*(IF(OR(O26="",NOT(ISNUMBER(O26))),Paramètres!$C$8,O26)))*MAX(1,INT(((YEAR($C$7+1)-YEAR(M26))*12+MONTH($C$7+1)-MONTH(M26)-(DAY($C$7+1)&lt;DAY(M26)))/(12*(IF(OR(O26="",NOT(ISNUMBER(O26))),Paramètres!$C$8,O26))))+1))-1,N26))))</f>
        <v/>
      </c>
      <c r="R26" s="21"/>
      <c r="S26" s="17">
        <f>IF(H26=0,0,IF(OR(R26="",R26=0),H26,IF(OR(NOT(ISNUMBER(R26)),(IF(OR(NOT(ISNUMBER(M26)),NOT(ISNUMBER(N26)),N26&lt;=M26),0,MIN(12*(IF(OR(O26="",NOT(ISNUMBER(O26))),Paramètres!$C$8,O26)),(YEAR(N26)-YEAR(M26))*12+MONTH(N26)-MONTH(M26)+1)))&lt;=0),0,MAX(0,H26*(1-R26/(IF(OR(NOT(ISNUMBER(M26)),NOT(ISNUMBER(N26)),N26&lt;=M26),0,MIN(12*(IF(OR(O26="",NOT(ISNUMBER(O26))),Paramètres!$C$8,O26)),(YEAR(N26)-YEAR(M26))*12+MONTH(N26)-MONTH(M26)+1))))))))</f>
        <v>0</v>
      </c>
      <c r="T26" s="22">
        <f t="shared" si="4"/>
        <v>0</v>
      </c>
      <c r="U26" s="22">
        <f t="shared" si="5"/>
        <v>0</v>
      </c>
      <c r="V26" s="12" t="str">
        <f>IF(COUNTA(B26,C26,D26,E26,F26,G26,I26,M26,N26,O26,P26,R26)&gt;0,IF(AND(COUNT(Paramètres!$C$8:$C$12)=5,COUNT(Paramètres!$C$16:$C$25)=10,ISNUMBER($C$7),B26&lt;&gt;"",NOT(ISNA(MATCH(C26,Paramètres!$B$29:$B$34,0))),NOT(ISNA(MATCH(E26,Paramètres!$D$29:$D$30,0))),ISNUMBER(F26),F26&gt;0,F26&lt;=Paramètres!$C$22,OR(I26="",AND(ISNUMBER(I26),I26&gt;=0,I26&lt;=Paramètres!$C$21)),IF(E26=Paramètres!$D$29,AND(D26&lt;&gt;"",ISNUMBER(G26),G26&gt;0,G26&lt;=Paramètres!$C$21,ISNUMBER(M26),ISNUMBER(N26),N26&gt;M26,(N(N26)-N(M26))/365.25&lt;=Paramètres!$C$23,OR(O26="",AND(ISNUMBER(O26),O26&gt;=1,O26&lt;=Paramètres!$C$23,O26=INT(N(O26)))),OR(P26="",AND(ISNUMBER(P26),P26&gt;$C$7,P26&lt;=N26)),OR(R26="",AND(ISNUMBER(R26),R26&gt;=0,R26&lt;=Paramètres!$C$24,R26&lt;=(IF(OR(NOT(ISNUMBER(M26)),NOT(ISNUMBER(N26)),N26&lt;=M26),0,MIN(12*(IF(OR(O26="",NOT(ISNUMBER(O26))),Paramètres!$C$8,O26)),(YEAR(N26)-YEAR(M26))*12+MONTH(N26)-MONTH(M26)+1)))))),AND(D26="",OR(G26="",G26=0)))),"OK","À CORRIGER"),"")</f>
        <v/>
      </c>
      <c r="W26" s="23" t="str">
        <f>IF(NOT(COUNTA(B26,C26,D26,E26,F26,G26,I26,M26,N26,O26,P26,R26)&gt;0),"",IF(OR(COUNT(Paramètres!$C$8:$C$12)&lt;&gt;5,COUNT(Paramètres!$C$16:$C$25)&lt;&gt;10),"Un paramètre de l'onglet Paramètres est vide.",IF(NOT(ISNUMBER($C$7)),"Date d'analyse manquante.",IF(B26="","Libellé du lot manquant.",IF(ISNA(MATCH(C26,Paramètres!$B$29:$B$34,0)),"Nature hors liste.",IF(ISNA(MATCH(E26,Paramètres!$D$29:$D$30,0)),"Statut hors liste.",IF(NOT(AND(ISNUMBER(F26),F26&gt;0)),"Surface manquante ou nulle.",IF(F26&gt;Paramètres!$C$22,"Surface au-delà du garde-fou de saisie.",IF(AND(I26&lt;&gt;"",NOT(AND(ISNUMBER(I26),I26&gt;=0,I26&lt;=Paramètres!$C$21))),"Valeur locative de marché hors bornes.",IF(AND(E26=Paramètres!$D$29,D26=""),"Lot déclaré loué sans locataire.",IF(AND(E26=Paramètres!$D$29,NOT(AND(ISNUMBER(G26),G26&gt;0))),"Loyer facial manquant ou nul.",IF(AND(E26=Paramètres!$D$29,G26&gt;Paramètres!$C$21),"Loyer facial au-delà du garde-fou de saisie.",IF(AND(E26=Paramètres!$D$29,NOT(ISNUMBER(M26))),"Date de prise d'effet manquante.",IF(AND(E26=Paramètres!$D$29,NOT(ISNUMBER(N26))),"Date d'échéance manquante.",IF(AND(E26=Paramètres!$D$29,N26&lt;=M26),"Échéance antérieure ou égale à la prise d'effet.",IF(AND(E26=Paramètres!$D$29,(N(N26)-N(M26))/365.25&gt;Paramètres!$C$23),"Durée du bail au-delà du garde-fou de saisie.",IF(AND(E26=Paramètres!$D$29,O26&lt;&gt;"",NOT(AND(ISNUMBER(O26),O26&gt;=1,O26&lt;=Paramètres!$C$23,O26=INT(N(O26))))),"Périodicité de sortie hors bornes.",IF(AND(E26=Paramètres!$D$29,P26&lt;&gt;"",NOT(AND(ISNUMBER(P26),P26&gt;$C$7,P26&lt;=N26))),"Sortie forcée hors de l'intervalle admis.",IF(AND(E26=Paramètres!$D$29,R26&lt;&gt;"",NOT(AND(ISNUMBER(R26),R26&gt;=0,R26&lt;=Paramètres!$C$24,R26&lt;=(IF(OR(NOT(ISNUMBER(M26)),NOT(ISNUMBER(N26)),N26&lt;=M26),0,MIN(12*(IF(OR(O26="",NOT(ISNUMBER(O26))),Paramètres!$C$8,O26)),(YEAR(N26)-YEAR(M26))*12+MONTH(N26)-MONTH(M26)+1)))))),"Franchise hors bornes ou plus longue que la période ferme.",IF(AND(E26=Paramètres!$D$30,D26&lt;&gt;""),"Lot vacant avec un locataire renseigné.",IF(AND(E26=Paramètres!$D$30,G26&lt;&gt;"",G26&lt;&gt;0),"Lot vacant avec un loyer renseigné.",IF(AND(E26=Paramètres!$D$29,ISNUMBER(N26),ISNUMBER($C$7),N26&lt;$C$7),"Bail échu, en tacite prolongation.",IF(I26="","Valeur locative de marché non renseignée.","")))))))))))))))))))))))</f>
        <v/>
      </c>
      <c r="X26" s="17">
        <f>IF(AND(V26="OK",E26=Paramètres!$D$29),SUMIFS($H$11:$H$50,$D$11:$D$50,D26,$E$11:$E$50,Paramètres!$D$29,$V$11:$V$50,"OK"),0)</f>
        <v>0</v>
      </c>
    </row>
    <row r="27" spans="2:24" ht="15" customHeight="1" x14ac:dyDescent="0.35">
      <c r="B27" s="14"/>
      <c r="C27" s="14"/>
      <c r="D27" s="14"/>
      <c r="E27" s="14"/>
      <c r="F27" s="15"/>
      <c r="G27" s="16"/>
      <c r="H27" s="17">
        <f t="shared" si="0"/>
        <v>0</v>
      </c>
      <c r="I27" s="16"/>
      <c r="J27" s="17">
        <f t="shared" si="1"/>
        <v>0</v>
      </c>
      <c r="K27" s="17" t="str">
        <f t="shared" si="2"/>
        <v/>
      </c>
      <c r="L27" s="18" t="str">
        <f t="shared" si="3"/>
        <v/>
      </c>
      <c r="M27" s="11"/>
      <c r="N27" s="11"/>
      <c r="O27" s="19"/>
      <c r="P27" s="11"/>
      <c r="Q27" s="20" t="str">
        <f>IF(OR(NOT(ISNUMBER($C$7)),NOT(ISNUMBER(M27)),NOT(ISNUMBER(N27))),"",IF(ISNUMBER(P27),P27,IF((IF(OR(O27="",NOT(ISNUMBER(O27))),Paramètres!$C$8,O27))&lt;=0,"",MIN(EDATE(M27,(12*(IF(OR(O27="",NOT(ISNUMBER(O27))),Paramètres!$C$8,O27)))*MAX(1,INT(((YEAR($C$7+1)-YEAR(M27))*12+MONTH($C$7+1)-MONTH(M27)-(DAY($C$7+1)&lt;DAY(M27)))/(12*(IF(OR(O27="",NOT(ISNUMBER(O27))),Paramètres!$C$8,O27))))+1))-1,N27))))</f>
        <v/>
      </c>
      <c r="R27" s="21"/>
      <c r="S27" s="17">
        <f>IF(H27=0,0,IF(OR(R27="",R27=0),H27,IF(OR(NOT(ISNUMBER(R27)),(IF(OR(NOT(ISNUMBER(M27)),NOT(ISNUMBER(N27)),N27&lt;=M27),0,MIN(12*(IF(OR(O27="",NOT(ISNUMBER(O27))),Paramètres!$C$8,O27)),(YEAR(N27)-YEAR(M27))*12+MONTH(N27)-MONTH(M27)+1)))&lt;=0),0,MAX(0,H27*(1-R27/(IF(OR(NOT(ISNUMBER(M27)),NOT(ISNUMBER(N27)),N27&lt;=M27),0,MIN(12*(IF(OR(O27="",NOT(ISNUMBER(O27))),Paramètres!$C$8,O27)),(YEAR(N27)-YEAR(M27))*12+MONTH(N27)-MONTH(M27)+1))))))))</f>
        <v>0</v>
      </c>
      <c r="T27" s="22">
        <f t="shared" si="4"/>
        <v>0</v>
      </c>
      <c r="U27" s="22">
        <f t="shared" si="5"/>
        <v>0</v>
      </c>
      <c r="V27" s="12" t="str">
        <f>IF(COUNTA(B27,C27,D27,E27,F27,G27,I27,M27,N27,O27,P27,R27)&gt;0,IF(AND(COUNT(Paramètres!$C$8:$C$12)=5,COUNT(Paramètres!$C$16:$C$25)=10,ISNUMBER($C$7),B27&lt;&gt;"",NOT(ISNA(MATCH(C27,Paramètres!$B$29:$B$34,0))),NOT(ISNA(MATCH(E27,Paramètres!$D$29:$D$30,0))),ISNUMBER(F27),F27&gt;0,F27&lt;=Paramètres!$C$22,OR(I27="",AND(ISNUMBER(I27),I27&gt;=0,I27&lt;=Paramètres!$C$21)),IF(E27=Paramètres!$D$29,AND(D27&lt;&gt;"",ISNUMBER(G27),G27&gt;0,G27&lt;=Paramètres!$C$21,ISNUMBER(M27),ISNUMBER(N27),N27&gt;M27,(N(N27)-N(M27))/365.25&lt;=Paramètres!$C$23,OR(O27="",AND(ISNUMBER(O27),O27&gt;=1,O27&lt;=Paramètres!$C$23,O27=INT(N(O27)))),OR(P27="",AND(ISNUMBER(P27),P27&gt;$C$7,P27&lt;=N27)),OR(R27="",AND(ISNUMBER(R27),R27&gt;=0,R27&lt;=Paramètres!$C$24,R27&lt;=(IF(OR(NOT(ISNUMBER(M27)),NOT(ISNUMBER(N27)),N27&lt;=M27),0,MIN(12*(IF(OR(O27="",NOT(ISNUMBER(O27))),Paramètres!$C$8,O27)),(YEAR(N27)-YEAR(M27))*12+MONTH(N27)-MONTH(M27)+1)))))),AND(D27="",OR(G27="",G27=0)))),"OK","À CORRIGER"),"")</f>
        <v/>
      </c>
      <c r="W27" s="23" t="str">
        <f>IF(NOT(COUNTA(B27,C27,D27,E27,F27,G27,I27,M27,N27,O27,P27,R27)&gt;0),"",IF(OR(COUNT(Paramètres!$C$8:$C$12)&lt;&gt;5,COUNT(Paramètres!$C$16:$C$25)&lt;&gt;10),"Un paramètre de l'onglet Paramètres est vide.",IF(NOT(ISNUMBER($C$7)),"Date d'analyse manquante.",IF(B27="","Libellé du lot manquant.",IF(ISNA(MATCH(C27,Paramètres!$B$29:$B$34,0)),"Nature hors liste.",IF(ISNA(MATCH(E27,Paramètres!$D$29:$D$30,0)),"Statut hors liste.",IF(NOT(AND(ISNUMBER(F27),F27&gt;0)),"Surface manquante ou nulle.",IF(F27&gt;Paramètres!$C$22,"Surface au-delà du garde-fou de saisie.",IF(AND(I27&lt;&gt;"",NOT(AND(ISNUMBER(I27),I27&gt;=0,I27&lt;=Paramètres!$C$21))),"Valeur locative de marché hors bornes.",IF(AND(E27=Paramètres!$D$29,D27=""),"Lot déclaré loué sans locataire.",IF(AND(E27=Paramètres!$D$29,NOT(AND(ISNUMBER(G27),G27&gt;0))),"Loyer facial manquant ou nul.",IF(AND(E27=Paramètres!$D$29,G27&gt;Paramètres!$C$21),"Loyer facial au-delà du garde-fou de saisie.",IF(AND(E27=Paramètres!$D$29,NOT(ISNUMBER(M27))),"Date de prise d'effet manquante.",IF(AND(E27=Paramètres!$D$29,NOT(ISNUMBER(N27))),"Date d'échéance manquante.",IF(AND(E27=Paramètres!$D$29,N27&lt;=M27),"Échéance antérieure ou égale à la prise d'effet.",IF(AND(E27=Paramètres!$D$29,(N(N27)-N(M27))/365.25&gt;Paramètres!$C$23),"Durée du bail au-delà du garde-fou de saisie.",IF(AND(E27=Paramètres!$D$29,O27&lt;&gt;"",NOT(AND(ISNUMBER(O27),O27&gt;=1,O27&lt;=Paramètres!$C$23,O27=INT(N(O27))))),"Périodicité de sortie hors bornes.",IF(AND(E27=Paramètres!$D$29,P27&lt;&gt;"",NOT(AND(ISNUMBER(P27),P27&gt;$C$7,P27&lt;=N27))),"Sortie forcée hors de l'intervalle admis.",IF(AND(E27=Paramètres!$D$29,R27&lt;&gt;"",NOT(AND(ISNUMBER(R27),R27&gt;=0,R27&lt;=Paramètres!$C$24,R27&lt;=(IF(OR(NOT(ISNUMBER(M27)),NOT(ISNUMBER(N27)),N27&lt;=M27),0,MIN(12*(IF(OR(O27="",NOT(ISNUMBER(O27))),Paramètres!$C$8,O27)),(YEAR(N27)-YEAR(M27))*12+MONTH(N27)-MONTH(M27)+1)))))),"Franchise hors bornes ou plus longue que la période ferme.",IF(AND(E27=Paramètres!$D$30,D27&lt;&gt;""),"Lot vacant avec un locataire renseigné.",IF(AND(E27=Paramètres!$D$30,G27&lt;&gt;"",G27&lt;&gt;0),"Lot vacant avec un loyer renseigné.",IF(AND(E27=Paramètres!$D$29,ISNUMBER(N27),ISNUMBER($C$7),N27&lt;$C$7),"Bail échu, en tacite prolongation.",IF(I27="","Valeur locative de marché non renseignée.","")))))))))))))))))))))))</f>
        <v/>
      </c>
      <c r="X27" s="17">
        <f>IF(AND(V27="OK",E27=Paramètres!$D$29),SUMIFS($H$11:$H$50,$D$11:$D$50,D27,$E$11:$E$50,Paramètres!$D$29,$V$11:$V$50,"OK"),0)</f>
        <v>0</v>
      </c>
    </row>
    <row r="28" spans="2:24" ht="15" customHeight="1" x14ac:dyDescent="0.35">
      <c r="B28" s="14"/>
      <c r="C28" s="14"/>
      <c r="D28" s="14"/>
      <c r="E28" s="14"/>
      <c r="F28" s="15"/>
      <c r="G28" s="16"/>
      <c r="H28" s="17">
        <f t="shared" si="0"/>
        <v>0</v>
      </c>
      <c r="I28" s="16"/>
      <c r="J28" s="17">
        <f t="shared" si="1"/>
        <v>0</v>
      </c>
      <c r="K28" s="17" t="str">
        <f t="shared" si="2"/>
        <v/>
      </c>
      <c r="L28" s="18" t="str">
        <f t="shared" si="3"/>
        <v/>
      </c>
      <c r="M28" s="11"/>
      <c r="N28" s="11"/>
      <c r="O28" s="19"/>
      <c r="P28" s="11"/>
      <c r="Q28" s="20" t="str">
        <f>IF(OR(NOT(ISNUMBER($C$7)),NOT(ISNUMBER(M28)),NOT(ISNUMBER(N28))),"",IF(ISNUMBER(P28),P28,IF((IF(OR(O28="",NOT(ISNUMBER(O28))),Paramètres!$C$8,O28))&lt;=0,"",MIN(EDATE(M28,(12*(IF(OR(O28="",NOT(ISNUMBER(O28))),Paramètres!$C$8,O28)))*MAX(1,INT(((YEAR($C$7+1)-YEAR(M28))*12+MONTH($C$7+1)-MONTH(M28)-(DAY($C$7+1)&lt;DAY(M28)))/(12*(IF(OR(O28="",NOT(ISNUMBER(O28))),Paramètres!$C$8,O28))))+1))-1,N28))))</f>
        <v/>
      </c>
      <c r="R28" s="21"/>
      <c r="S28" s="17">
        <f>IF(H28=0,0,IF(OR(R28="",R28=0),H28,IF(OR(NOT(ISNUMBER(R28)),(IF(OR(NOT(ISNUMBER(M28)),NOT(ISNUMBER(N28)),N28&lt;=M28),0,MIN(12*(IF(OR(O28="",NOT(ISNUMBER(O28))),Paramètres!$C$8,O28)),(YEAR(N28)-YEAR(M28))*12+MONTH(N28)-MONTH(M28)+1)))&lt;=0),0,MAX(0,H28*(1-R28/(IF(OR(NOT(ISNUMBER(M28)),NOT(ISNUMBER(N28)),N28&lt;=M28),0,MIN(12*(IF(OR(O28="",NOT(ISNUMBER(O28))),Paramètres!$C$8,O28)),(YEAR(N28)-YEAR(M28))*12+MONTH(N28)-MONTH(M28)+1))))))))</f>
        <v>0</v>
      </c>
      <c r="T28" s="22">
        <f t="shared" si="4"/>
        <v>0</v>
      </c>
      <c r="U28" s="22">
        <f t="shared" si="5"/>
        <v>0</v>
      </c>
      <c r="V28" s="12" t="str">
        <f>IF(COUNTA(B28,C28,D28,E28,F28,G28,I28,M28,N28,O28,P28,R28)&gt;0,IF(AND(COUNT(Paramètres!$C$8:$C$12)=5,COUNT(Paramètres!$C$16:$C$25)=10,ISNUMBER($C$7),B28&lt;&gt;"",NOT(ISNA(MATCH(C28,Paramètres!$B$29:$B$34,0))),NOT(ISNA(MATCH(E28,Paramètres!$D$29:$D$30,0))),ISNUMBER(F28),F28&gt;0,F28&lt;=Paramètres!$C$22,OR(I28="",AND(ISNUMBER(I28),I28&gt;=0,I28&lt;=Paramètres!$C$21)),IF(E28=Paramètres!$D$29,AND(D28&lt;&gt;"",ISNUMBER(G28),G28&gt;0,G28&lt;=Paramètres!$C$21,ISNUMBER(M28),ISNUMBER(N28),N28&gt;M28,(N(N28)-N(M28))/365.25&lt;=Paramètres!$C$23,OR(O28="",AND(ISNUMBER(O28),O28&gt;=1,O28&lt;=Paramètres!$C$23,O28=INT(N(O28)))),OR(P28="",AND(ISNUMBER(P28),P28&gt;$C$7,P28&lt;=N28)),OR(R28="",AND(ISNUMBER(R28),R28&gt;=0,R28&lt;=Paramètres!$C$24,R28&lt;=(IF(OR(NOT(ISNUMBER(M28)),NOT(ISNUMBER(N28)),N28&lt;=M28),0,MIN(12*(IF(OR(O28="",NOT(ISNUMBER(O28))),Paramètres!$C$8,O28)),(YEAR(N28)-YEAR(M28))*12+MONTH(N28)-MONTH(M28)+1)))))),AND(D28="",OR(G28="",G28=0)))),"OK","À CORRIGER"),"")</f>
        <v/>
      </c>
      <c r="W28" s="23" t="str">
        <f>IF(NOT(COUNTA(B28,C28,D28,E28,F28,G28,I28,M28,N28,O28,P28,R28)&gt;0),"",IF(OR(COUNT(Paramètres!$C$8:$C$12)&lt;&gt;5,COUNT(Paramètres!$C$16:$C$25)&lt;&gt;10),"Un paramètre de l'onglet Paramètres est vide.",IF(NOT(ISNUMBER($C$7)),"Date d'analyse manquante.",IF(B28="","Libellé du lot manquant.",IF(ISNA(MATCH(C28,Paramètres!$B$29:$B$34,0)),"Nature hors liste.",IF(ISNA(MATCH(E28,Paramètres!$D$29:$D$30,0)),"Statut hors liste.",IF(NOT(AND(ISNUMBER(F28),F28&gt;0)),"Surface manquante ou nulle.",IF(F28&gt;Paramètres!$C$22,"Surface au-delà du garde-fou de saisie.",IF(AND(I28&lt;&gt;"",NOT(AND(ISNUMBER(I28),I28&gt;=0,I28&lt;=Paramètres!$C$21))),"Valeur locative de marché hors bornes.",IF(AND(E28=Paramètres!$D$29,D28=""),"Lot déclaré loué sans locataire.",IF(AND(E28=Paramètres!$D$29,NOT(AND(ISNUMBER(G28),G28&gt;0))),"Loyer facial manquant ou nul.",IF(AND(E28=Paramètres!$D$29,G28&gt;Paramètres!$C$21),"Loyer facial au-delà du garde-fou de saisie.",IF(AND(E28=Paramètres!$D$29,NOT(ISNUMBER(M28))),"Date de prise d'effet manquante.",IF(AND(E28=Paramètres!$D$29,NOT(ISNUMBER(N28))),"Date d'échéance manquante.",IF(AND(E28=Paramètres!$D$29,N28&lt;=M28),"Échéance antérieure ou égale à la prise d'effet.",IF(AND(E28=Paramètres!$D$29,(N(N28)-N(M28))/365.25&gt;Paramètres!$C$23),"Durée du bail au-delà du garde-fou de saisie.",IF(AND(E28=Paramètres!$D$29,O28&lt;&gt;"",NOT(AND(ISNUMBER(O28),O28&gt;=1,O28&lt;=Paramètres!$C$23,O28=INT(N(O28))))),"Périodicité de sortie hors bornes.",IF(AND(E28=Paramètres!$D$29,P28&lt;&gt;"",NOT(AND(ISNUMBER(P28),P28&gt;$C$7,P28&lt;=N28))),"Sortie forcée hors de l'intervalle admis.",IF(AND(E28=Paramètres!$D$29,R28&lt;&gt;"",NOT(AND(ISNUMBER(R28),R28&gt;=0,R28&lt;=Paramètres!$C$24,R28&lt;=(IF(OR(NOT(ISNUMBER(M28)),NOT(ISNUMBER(N28)),N28&lt;=M28),0,MIN(12*(IF(OR(O28="",NOT(ISNUMBER(O28))),Paramètres!$C$8,O28)),(YEAR(N28)-YEAR(M28))*12+MONTH(N28)-MONTH(M28)+1)))))),"Franchise hors bornes ou plus longue que la période ferme.",IF(AND(E28=Paramètres!$D$30,D28&lt;&gt;""),"Lot vacant avec un locataire renseigné.",IF(AND(E28=Paramètres!$D$30,G28&lt;&gt;"",G28&lt;&gt;0),"Lot vacant avec un loyer renseigné.",IF(AND(E28=Paramètres!$D$29,ISNUMBER(N28),ISNUMBER($C$7),N28&lt;$C$7),"Bail échu, en tacite prolongation.",IF(I28="","Valeur locative de marché non renseignée.","")))))))))))))))))))))))</f>
        <v/>
      </c>
      <c r="X28" s="17">
        <f>IF(AND(V28="OK",E28=Paramètres!$D$29),SUMIFS($H$11:$H$50,$D$11:$D$50,D28,$E$11:$E$50,Paramètres!$D$29,$V$11:$V$50,"OK"),0)</f>
        <v>0</v>
      </c>
    </row>
    <row r="29" spans="2:24" ht="15" customHeight="1" x14ac:dyDescent="0.35">
      <c r="B29" s="14"/>
      <c r="C29" s="14"/>
      <c r="D29" s="14"/>
      <c r="E29" s="14"/>
      <c r="F29" s="15"/>
      <c r="G29" s="16"/>
      <c r="H29" s="17">
        <f t="shared" si="0"/>
        <v>0</v>
      </c>
      <c r="I29" s="16"/>
      <c r="J29" s="17">
        <f t="shared" si="1"/>
        <v>0</v>
      </c>
      <c r="K29" s="17" t="str">
        <f t="shared" si="2"/>
        <v/>
      </c>
      <c r="L29" s="18" t="str">
        <f t="shared" si="3"/>
        <v/>
      </c>
      <c r="M29" s="11"/>
      <c r="N29" s="11"/>
      <c r="O29" s="19"/>
      <c r="P29" s="11"/>
      <c r="Q29" s="20" t="str">
        <f>IF(OR(NOT(ISNUMBER($C$7)),NOT(ISNUMBER(M29)),NOT(ISNUMBER(N29))),"",IF(ISNUMBER(P29),P29,IF((IF(OR(O29="",NOT(ISNUMBER(O29))),Paramètres!$C$8,O29))&lt;=0,"",MIN(EDATE(M29,(12*(IF(OR(O29="",NOT(ISNUMBER(O29))),Paramètres!$C$8,O29)))*MAX(1,INT(((YEAR($C$7+1)-YEAR(M29))*12+MONTH($C$7+1)-MONTH(M29)-(DAY($C$7+1)&lt;DAY(M29)))/(12*(IF(OR(O29="",NOT(ISNUMBER(O29))),Paramètres!$C$8,O29))))+1))-1,N29))))</f>
        <v/>
      </c>
      <c r="R29" s="21"/>
      <c r="S29" s="17">
        <f>IF(H29=0,0,IF(OR(R29="",R29=0),H29,IF(OR(NOT(ISNUMBER(R29)),(IF(OR(NOT(ISNUMBER(M29)),NOT(ISNUMBER(N29)),N29&lt;=M29),0,MIN(12*(IF(OR(O29="",NOT(ISNUMBER(O29))),Paramètres!$C$8,O29)),(YEAR(N29)-YEAR(M29))*12+MONTH(N29)-MONTH(M29)+1)))&lt;=0),0,MAX(0,H29*(1-R29/(IF(OR(NOT(ISNUMBER(M29)),NOT(ISNUMBER(N29)),N29&lt;=M29),0,MIN(12*(IF(OR(O29="",NOT(ISNUMBER(O29))),Paramètres!$C$8,O29)),(YEAR(N29)-YEAR(M29))*12+MONTH(N29)-MONTH(M29)+1))))))))</f>
        <v>0</v>
      </c>
      <c r="T29" s="22">
        <f t="shared" si="4"/>
        <v>0</v>
      </c>
      <c r="U29" s="22">
        <f t="shared" si="5"/>
        <v>0</v>
      </c>
      <c r="V29" s="12" t="str">
        <f>IF(COUNTA(B29,C29,D29,E29,F29,G29,I29,M29,N29,O29,P29,R29)&gt;0,IF(AND(COUNT(Paramètres!$C$8:$C$12)=5,COUNT(Paramètres!$C$16:$C$25)=10,ISNUMBER($C$7),B29&lt;&gt;"",NOT(ISNA(MATCH(C29,Paramètres!$B$29:$B$34,0))),NOT(ISNA(MATCH(E29,Paramètres!$D$29:$D$30,0))),ISNUMBER(F29),F29&gt;0,F29&lt;=Paramètres!$C$22,OR(I29="",AND(ISNUMBER(I29),I29&gt;=0,I29&lt;=Paramètres!$C$21)),IF(E29=Paramètres!$D$29,AND(D29&lt;&gt;"",ISNUMBER(G29),G29&gt;0,G29&lt;=Paramètres!$C$21,ISNUMBER(M29),ISNUMBER(N29),N29&gt;M29,(N(N29)-N(M29))/365.25&lt;=Paramètres!$C$23,OR(O29="",AND(ISNUMBER(O29),O29&gt;=1,O29&lt;=Paramètres!$C$23,O29=INT(N(O29)))),OR(P29="",AND(ISNUMBER(P29),P29&gt;$C$7,P29&lt;=N29)),OR(R29="",AND(ISNUMBER(R29),R29&gt;=0,R29&lt;=Paramètres!$C$24,R29&lt;=(IF(OR(NOT(ISNUMBER(M29)),NOT(ISNUMBER(N29)),N29&lt;=M29),0,MIN(12*(IF(OR(O29="",NOT(ISNUMBER(O29))),Paramètres!$C$8,O29)),(YEAR(N29)-YEAR(M29))*12+MONTH(N29)-MONTH(M29)+1)))))),AND(D29="",OR(G29="",G29=0)))),"OK","À CORRIGER"),"")</f>
        <v/>
      </c>
      <c r="W29" s="23" t="str">
        <f>IF(NOT(COUNTA(B29,C29,D29,E29,F29,G29,I29,M29,N29,O29,P29,R29)&gt;0),"",IF(OR(COUNT(Paramètres!$C$8:$C$12)&lt;&gt;5,COUNT(Paramètres!$C$16:$C$25)&lt;&gt;10),"Un paramètre de l'onglet Paramètres est vide.",IF(NOT(ISNUMBER($C$7)),"Date d'analyse manquante.",IF(B29="","Libellé du lot manquant.",IF(ISNA(MATCH(C29,Paramètres!$B$29:$B$34,0)),"Nature hors liste.",IF(ISNA(MATCH(E29,Paramètres!$D$29:$D$30,0)),"Statut hors liste.",IF(NOT(AND(ISNUMBER(F29),F29&gt;0)),"Surface manquante ou nulle.",IF(F29&gt;Paramètres!$C$22,"Surface au-delà du garde-fou de saisie.",IF(AND(I29&lt;&gt;"",NOT(AND(ISNUMBER(I29),I29&gt;=0,I29&lt;=Paramètres!$C$21))),"Valeur locative de marché hors bornes.",IF(AND(E29=Paramètres!$D$29,D29=""),"Lot déclaré loué sans locataire.",IF(AND(E29=Paramètres!$D$29,NOT(AND(ISNUMBER(G29),G29&gt;0))),"Loyer facial manquant ou nul.",IF(AND(E29=Paramètres!$D$29,G29&gt;Paramètres!$C$21),"Loyer facial au-delà du garde-fou de saisie.",IF(AND(E29=Paramètres!$D$29,NOT(ISNUMBER(M29))),"Date de prise d'effet manquante.",IF(AND(E29=Paramètres!$D$29,NOT(ISNUMBER(N29))),"Date d'échéance manquante.",IF(AND(E29=Paramètres!$D$29,N29&lt;=M29),"Échéance antérieure ou égale à la prise d'effet.",IF(AND(E29=Paramètres!$D$29,(N(N29)-N(M29))/365.25&gt;Paramètres!$C$23),"Durée du bail au-delà du garde-fou de saisie.",IF(AND(E29=Paramètres!$D$29,O29&lt;&gt;"",NOT(AND(ISNUMBER(O29),O29&gt;=1,O29&lt;=Paramètres!$C$23,O29=INT(N(O29))))),"Périodicité de sortie hors bornes.",IF(AND(E29=Paramètres!$D$29,P29&lt;&gt;"",NOT(AND(ISNUMBER(P29),P29&gt;$C$7,P29&lt;=N29))),"Sortie forcée hors de l'intervalle admis.",IF(AND(E29=Paramètres!$D$29,R29&lt;&gt;"",NOT(AND(ISNUMBER(R29),R29&gt;=0,R29&lt;=Paramètres!$C$24,R29&lt;=(IF(OR(NOT(ISNUMBER(M29)),NOT(ISNUMBER(N29)),N29&lt;=M29),0,MIN(12*(IF(OR(O29="",NOT(ISNUMBER(O29))),Paramètres!$C$8,O29)),(YEAR(N29)-YEAR(M29))*12+MONTH(N29)-MONTH(M29)+1)))))),"Franchise hors bornes ou plus longue que la période ferme.",IF(AND(E29=Paramètres!$D$30,D29&lt;&gt;""),"Lot vacant avec un locataire renseigné.",IF(AND(E29=Paramètres!$D$30,G29&lt;&gt;"",G29&lt;&gt;0),"Lot vacant avec un loyer renseigné.",IF(AND(E29=Paramètres!$D$29,ISNUMBER(N29),ISNUMBER($C$7),N29&lt;$C$7),"Bail échu, en tacite prolongation.",IF(I29="","Valeur locative de marché non renseignée.","")))))))))))))))))))))))</f>
        <v/>
      </c>
      <c r="X29" s="17">
        <f>IF(AND(V29="OK",E29=Paramètres!$D$29),SUMIFS($H$11:$H$50,$D$11:$D$50,D29,$E$11:$E$50,Paramètres!$D$29,$V$11:$V$50,"OK"),0)</f>
        <v>0</v>
      </c>
    </row>
    <row r="30" spans="2:24" ht="15" customHeight="1" x14ac:dyDescent="0.35">
      <c r="B30" s="14"/>
      <c r="C30" s="14"/>
      <c r="D30" s="14"/>
      <c r="E30" s="14"/>
      <c r="F30" s="15"/>
      <c r="G30" s="16"/>
      <c r="H30" s="17">
        <f t="shared" si="0"/>
        <v>0</v>
      </c>
      <c r="I30" s="16"/>
      <c r="J30" s="17">
        <f t="shared" si="1"/>
        <v>0</v>
      </c>
      <c r="K30" s="17" t="str">
        <f t="shared" si="2"/>
        <v/>
      </c>
      <c r="L30" s="18" t="str">
        <f t="shared" si="3"/>
        <v/>
      </c>
      <c r="M30" s="11"/>
      <c r="N30" s="11"/>
      <c r="O30" s="19"/>
      <c r="P30" s="11"/>
      <c r="Q30" s="20" t="str">
        <f>IF(OR(NOT(ISNUMBER($C$7)),NOT(ISNUMBER(M30)),NOT(ISNUMBER(N30))),"",IF(ISNUMBER(P30),P30,IF((IF(OR(O30="",NOT(ISNUMBER(O30))),Paramètres!$C$8,O30))&lt;=0,"",MIN(EDATE(M30,(12*(IF(OR(O30="",NOT(ISNUMBER(O30))),Paramètres!$C$8,O30)))*MAX(1,INT(((YEAR($C$7+1)-YEAR(M30))*12+MONTH($C$7+1)-MONTH(M30)-(DAY($C$7+1)&lt;DAY(M30)))/(12*(IF(OR(O30="",NOT(ISNUMBER(O30))),Paramètres!$C$8,O30))))+1))-1,N30))))</f>
        <v/>
      </c>
      <c r="R30" s="21"/>
      <c r="S30" s="17">
        <f>IF(H30=0,0,IF(OR(R30="",R30=0),H30,IF(OR(NOT(ISNUMBER(R30)),(IF(OR(NOT(ISNUMBER(M30)),NOT(ISNUMBER(N30)),N30&lt;=M30),0,MIN(12*(IF(OR(O30="",NOT(ISNUMBER(O30))),Paramètres!$C$8,O30)),(YEAR(N30)-YEAR(M30))*12+MONTH(N30)-MONTH(M30)+1)))&lt;=0),0,MAX(0,H30*(1-R30/(IF(OR(NOT(ISNUMBER(M30)),NOT(ISNUMBER(N30)),N30&lt;=M30),0,MIN(12*(IF(OR(O30="",NOT(ISNUMBER(O30))),Paramètres!$C$8,O30)),(YEAR(N30)-YEAR(M30))*12+MONTH(N30)-MONTH(M30)+1))))))))</f>
        <v>0</v>
      </c>
      <c r="T30" s="22">
        <f t="shared" si="4"/>
        <v>0</v>
      </c>
      <c r="U30" s="22">
        <f t="shared" si="5"/>
        <v>0</v>
      </c>
      <c r="V30" s="12" t="str">
        <f>IF(COUNTA(B30,C30,D30,E30,F30,G30,I30,M30,N30,O30,P30,R30)&gt;0,IF(AND(COUNT(Paramètres!$C$8:$C$12)=5,COUNT(Paramètres!$C$16:$C$25)=10,ISNUMBER($C$7),B30&lt;&gt;"",NOT(ISNA(MATCH(C30,Paramètres!$B$29:$B$34,0))),NOT(ISNA(MATCH(E30,Paramètres!$D$29:$D$30,0))),ISNUMBER(F30),F30&gt;0,F30&lt;=Paramètres!$C$22,OR(I30="",AND(ISNUMBER(I30),I30&gt;=0,I30&lt;=Paramètres!$C$21)),IF(E30=Paramètres!$D$29,AND(D30&lt;&gt;"",ISNUMBER(G30),G30&gt;0,G30&lt;=Paramètres!$C$21,ISNUMBER(M30),ISNUMBER(N30),N30&gt;M30,(N(N30)-N(M30))/365.25&lt;=Paramètres!$C$23,OR(O30="",AND(ISNUMBER(O30),O30&gt;=1,O30&lt;=Paramètres!$C$23,O30=INT(N(O30)))),OR(P30="",AND(ISNUMBER(P30),P30&gt;$C$7,P30&lt;=N30)),OR(R30="",AND(ISNUMBER(R30),R30&gt;=0,R30&lt;=Paramètres!$C$24,R30&lt;=(IF(OR(NOT(ISNUMBER(M30)),NOT(ISNUMBER(N30)),N30&lt;=M30),0,MIN(12*(IF(OR(O30="",NOT(ISNUMBER(O30))),Paramètres!$C$8,O30)),(YEAR(N30)-YEAR(M30))*12+MONTH(N30)-MONTH(M30)+1)))))),AND(D30="",OR(G30="",G30=0)))),"OK","À CORRIGER"),"")</f>
        <v/>
      </c>
      <c r="W30" s="23" t="str">
        <f>IF(NOT(COUNTA(B30,C30,D30,E30,F30,G30,I30,M30,N30,O30,P30,R30)&gt;0),"",IF(OR(COUNT(Paramètres!$C$8:$C$12)&lt;&gt;5,COUNT(Paramètres!$C$16:$C$25)&lt;&gt;10),"Un paramètre de l'onglet Paramètres est vide.",IF(NOT(ISNUMBER($C$7)),"Date d'analyse manquante.",IF(B30="","Libellé du lot manquant.",IF(ISNA(MATCH(C30,Paramètres!$B$29:$B$34,0)),"Nature hors liste.",IF(ISNA(MATCH(E30,Paramètres!$D$29:$D$30,0)),"Statut hors liste.",IF(NOT(AND(ISNUMBER(F30),F30&gt;0)),"Surface manquante ou nulle.",IF(F30&gt;Paramètres!$C$22,"Surface au-delà du garde-fou de saisie.",IF(AND(I30&lt;&gt;"",NOT(AND(ISNUMBER(I30),I30&gt;=0,I30&lt;=Paramètres!$C$21))),"Valeur locative de marché hors bornes.",IF(AND(E30=Paramètres!$D$29,D30=""),"Lot déclaré loué sans locataire.",IF(AND(E30=Paramètres!$D$29,NOT(AND(ISNUMBER(G30),G30&gt;0))),"Loyer facial manquant ou nul.",IF(AND(E30=Paramètres!$D$29,G30&gt;Paramètres!$C$21),"Loyer facial au-delà du garde-fou de saisie.",IF(AND(E30=Paramètres!$D$29,NOT(ISNUMBER(M30))),"Date de prise d'effet manquante.",IF(AND(E30=Paramètres!$D$29,NOT(ISNUMBER(N30))),"Date d'échéance manquante.",IF(AND(E30=Paramètres!$D$29,N30&lt;=M30),"Échéance antérieure ou égale à la prise d'effet.",IF(AND(E30=Paramètres!$D$29,(N(N30)-N(M30))/365.25&gt;Paramètres!$C$23),"Durée du bail au-delà du garde-fou de saisie.",IF(AND(E30=Paramètres!$D$29,O30&lt;&gt;"",NOT(AND(ISNUMBER(O30),O30&gt;=1,O30&lt;=Paramètres!$C$23,O30=INT(N(O30))))),"Périodicité de sortie hors bornes.",IF(AND(E30=Paramètres!$D$29,P30&lt;&gt;"",NOT(AND(ISNUMBER(P30),P30&gt;$C$7,P30&lt;=N30))),"Sortie forcée hors de l'intervalle admis.",IF(AND(E30=Paramètres!$D$29,R30&lt;&gt;"",NOT(AND(ISNUMBER(R30),R30&gt;=0,R30&lt;=Paramètres!$C$24,R30&lt;=(IF(OR(NOT(ISNUMBER(M30)),NOT(ISNUMBER(N30)),N30&lt;=M30),0,MIN(12*(IF(OR(O30="",NOT(ISNUMBER(O30))),Paramètres!$C$8,O30)),(YEAR(N30)-YEAR(M30))*12+MONTH(N30)-MONTH(M30)+1)))))),"Franchise hors bornes ou plus longue que la période ferme.",IF(AND(E30=Paramètres!$D$30,D30&lt;&gt;""),"Lot vacant avec un locataire renseigné.",IF(AND(E30=Paramètres!$D$30,G30&lt;&gt;"",G30&lt;&gt;0),"Lot vacant avec un loyer renseigné.",IF(AND(E30=Paramètres!$D$29,ISNUMBER(N30),ISNUMBER($C$7),N30&lt;$C$7),"Bail échu, en tacite prolongation.",IF(I30="","Valeur locative de marché non renseignée.","")))))))))))))))))))))))</f>
        <v/>
      </c>
      <c r="X30" s="17">
        <f>IF(AND(V30="OK",E30=Paramètres!$D$29),SUMIFS($H$11:$H$50,$D$11:$D$50,D30,$E$11:$E$50,Paramètres!$D$29,$V$11:$V$50,"OK"),0)</f>
        <v>0</v>
      </c>
    </row>
    <row r="31" spans="2:24" ht="15" customHeight="1" x14ac:dyDescent="0.35">
      <c r="B31" s="14"/>
      <c r="C31" s="14"/>
      <c r="D31" s="14"/>
      <c r="E31" s="14"/>
      <c r="F31" s="15"/>
      <c r="G31" s="16"/>
      <c r="H31" s="17">
        <f t="shared" si="0"/>
        <v>0</v>
      </c>
      <c r="I31" s="16"/>
      <c r="J31" s="17">
        <f t="shared" si="1"/>
        <v>0</v>
      </c>
      <c r="K31" s="17" t="str">
        <f t="shared" si="2"/>
        <v/>
      </c>
      <c r="L31" s="18" t="str">
        <f t="shared" si="3"/>
        <v/>
      </c>
      <c r="M31" s="11"/>
      <c r="N31" s="11"/>
      <c r="O31" s="19"/>
      <c r="P31" s="11"/>
      <c r="Q31" s="20" t="str">
        <f>IF(OR(NOT(ISNUMBER($C$7)),NOT(ISNUMBER(M31)),NOT(ISNUMBER(N31))),"",IF(ISNUMBER(P31),P31,IF((IF(OR(O31="",NOT(ISNUMBER(O31))),Paramètres!$C$8,O31))&lt;=0,"",MIN(EDATE(M31,(12*(IF(OR(O31="",NOT(ISNUMBER(O31))),Paramètres!$C$8,O31)))*MAX(1,INT(((YEAR($C$7+1)-YEAR(M31))*12+MONTH($C$7+1)-MONTH(M31)-(DAY($C$7+1)&lt;DAY(M31)))/(12*(IF(OR(O31="",NOT(ISNUMBER(O31))),Paramètres!$C$8,O31))))+1))-1,N31))))</f>
        <v/>
      </c>
      <c r="R31" s="21"/>
      <c r="S31" s="17">
        <f>IF(H31=0,0,IF(OR(R31="",R31=0),H31,IF(OR(NOT(ISNUMBER(R31)),(IF(OR(NOT(ISNUMBER(M31)),NOT(ISNUMBER(N31)),N31&lt;=M31),0,MIN(12*(IF(OR(O31="",NOT(ISNUMBER(O31))),Paramètres!$C$8,O31)),(YEAR(N31)-YEAR(M31))*12+MONTH(N31)-MONTH(M31)+1)))&lt;=0),0,MAX(0,H31*(1-R31/(IF(OR(NOT(ISNUMBER(M31)),NOT(ISNUMBER(N31)),N31&lt;=M31),0,MIN(12*(IF(OR(O31="",NOT(ISNUMBER(O31))),Paramètres!$C$8,O31)),(YEAR(N31)-YEAR(M31))*12+MONTH(N31)-MONTH(M31)+1))))))))</f>
        <v>0</v>
      </c>
      <c r="T31" s="22">
        <f t="shared" si="4"/>
        <v>0</v>
      </c>
      <c r="U31" s="22">
        <f t="shared" si="5"/>
        <v>0</v>
      </c>
      <c r="V31" s="12" t="str">
        <f>IF(COUNTA(B31,C31,D31,E31,F31,G31,I31,M31,N31,O31,P31,R31)&gt;0,IF(AND(COUNT(Paramètres!$C$8:$C$12)=5,COUNT(Paramètres!$C$16:$C$25)=10,ISNUMBER($C$7),B31&lt;&gt;"",NOT(ISNA(MATCH(C31,Paramètres!$B$29:$B$34,0))),NOT(ISNA(MATCH(E31,Paramètres!$D$29:$D$30,0))),ISNUMBER(F31),F31&gt;0,F31&lt;=Paramètres!$C$22,OR(I31="",AND(ISNUMBER(I31),I31&gt;=0,I31&lt;=Paramètres!$C$21)),IF(E31=Paramètres!$D$29,AND(D31&lt;&gt;"",ISNUMBER(G31),G31&gt;0,G31&lt;=Paramètres!$C$21,ISNUMBER(M31),ISNUMBER(N31),N31&gt;M31,(N(N31)-N(M31))/365.25&lt;=Paramètres!$C$23,OR(O31="",AND(ISNUMBER(O31),O31&gt;=1,O31&lt;=Paramètres!$C$23,O31=INT(N(O31)))),OR(P31="",AND(ISNUMBER(P31),P31&gt;$C$7,P31&lt;=N31)),OR(R31="",AND(ISNUMBER(R31),R31&gt;=0,R31&lt;=Paramètres!$C$24,R31&lt;=(IF(OR(NOT(ISNUMBER(M31)),NOT(ISNUMBER(N31)),N31&lt;=M31),0,MIN(12*(IF(OR(O31="",NOT(ISNUMBER(O31))),Paramètres!$C$8,O31)),(YEAR(N31)-YEAR(M31))*12+MONTH(N31)-MONTH(M31)+1)))))),AND(D31="",OR(G31="",G31=0)))),"OK","À CORRIGER"),"")</f>
        <v/>
      </c>
      <c r="W31" s="23" t="str">
        <f>IF(NOT(COUNTA(B31,C31,D31,E31,F31,G31,I31,M31,N31,O31,P31,R31)&gt;0),"",IF(OR(COUNT(Paramètres!$C$8:$C$12)&lt;&gt;5,COUNT(Paramètres!$C$16:$C$25)&lt;&gt;10),"Un paramètre de l'onglet Paramètres est vide.",IF(NOT(ISNUMBER($C$7)),"Date d'analyse manquante.",IF(B31="","Libellé du lot manquant.",IF(ISNA(MATCH(C31,Paramètres!$B$29:$B$34,0)),"Nature hors liste.",IF(ISNA(MATCH(E31,Paramètres!$D$29:$D$30,0)),"Statut hors liste.",IF(NOT(AND(ISNUMBER(F31),F31&gt;0)),"Surface manquante ou nulle.",IF(F31&gt;Paramètres!$C$22,"Surface au-delà du garde-fou de saisie.",IF(AND(I31&lt;&gt;"",NOT(AND(ISNUMBER(I31),I31&gt;=0,I31&lt;=Paramètres!$C$21))),"Valeur locative de marché hors bornes.",IF(AND(E31=Paramètres!$D$29,D31=""),"Lot déclaré loué sans locataire.",IF(AND(E31=Paramètres!$D$29,NOT(AND(ISNUMBER(G31),G31&gt;0))),"Loyer facial manquant ou nul.",IF(AND(E31=Paramètres!$D$29,G31&gt;Paramètres!$C$21),"Loyer facial au-delà du garde-fou de saisie.",IF(AND(E31=Paramètres!$D$29,NOT(ISNUMBER(M31))),"Date de prise d'effet manquante.",IF(AND(E31=Paramètres!$D$29,NOT(ISNUMBER(N31))),"Date d'échéance manquante.",IF(AND(E31=Paramètres!$D$29,N31&lt;=M31),"Échéance antérieure ou égale à la prise d'effet.",IF(AND(E31=Paramètres!$D$29,(N(N31)-N(M31))/365.25&gt;Paramètres!$C$23),"Durée du bail au-delà du garde-fou de saisie.",IF(AND(E31=Paramètres!$D$29,O31&lt;&gt;"",NOT(AND(ISNUMBER(O31),O31&gt;=1,O31&lt;=Paramètres!$C$23,O31=INT(N(O31))))),"Périodicité de sortie hors bornes.",IF(AND(E31=Paramètres!$D$29,P31&lt;&gt;"",NOT(AND(ISNUMBER(P31),P31&gt;$C$7,P31&lt;=N31))),"Sortie forcée hors de l'intervalle admis.",IF(AND(E31=Paramètres!$D$29,R31&lt;&gt;"",NOT(AND(ISNUMBER(R31),R31&gt;=0,R31&lt;=Paramètres!$C$24,R31&lt;=(IF(OR(NOT(ISNUMBER(M31)),NOT(ISNUMBER(N31)),N31&lt;=M31),0,MIN(12*(IF(OR(O31="",NOT(ISNUMBER(O31))),Paramètres!$C$8,O31)),(YEAR(N31)-YEAR(M31))*12+MONTH(N31)-MONTH(M31)+1)))))),"Franchise hors bornes ou plus longue que la période ferme.",IF(AND(E31=Paramètres!$D$30,D31&lt;&gt;""),"Lot vacant avec un locataire renseigné.",IF(AND(E31=Paramètres!$D$30,G31&lt;&gt;"",G31&lt;&gt;0),"Lot vacant avec un loyer renseigné.",IF(AND(E31=Paramètres!$D$29,ISNUMBER(N31),ISNUMBER($C$7),N31&lt;$C$7),"Bail échu, en tacite prolongation.",IF(I31="","Valeur locative de marché non renseignée.","")))))))))))))))))))))))</f>
        <v/>
      </c>
      <c r="X31" s="17">
        <f>IF(AND(V31="OK",E31=Paramètres!$D$29),SUMIFS($H$11:$H$50,$D$11:$D$50,D31,$E$11:$E$50,Paramètres!$D$29,$V$11:$V$50,"OK"),0)</f>
        <v>0</v>
      </c>
    </row>
    <row r="32" spans="2:24" ht="15" customHeight="1" x14ac:dyDescent="0.35">
      <c r="B32" s="14"/>
      <c r="C32" s="14"/>
      <c r="D32" s="14"/>
      <c r="E32" s="14"/>
      <c r="F32" s="15"/>
      <c r="G32" s="16"/>
      <c r="H32" s="17">
        <f t="shared" si="0"/>
        <v>0</v>
      </c>
      <c r="I32" s="16"/>
      <c r="J32" s="17">
        <f t="shared" si="1"/>
        <v>0</v>
      </c>
      <c r="K32" s="17" t="str">
        <f t="shared" si="2"/>
        <v/>
      </c>
      <c r="L32" s="18" t="str">
        <f t="shared" si="3"/>
        <v/>
      </c>
      <c r="M32" s="11"/>
      <c r="N32" s="11"/>
      <c r="O32" s="19"/>
      <c r="P32" s="11"/>
      <c r="Q32" s="20" t="str">
        <f>IF(OR(NOT(ISNUMBER($C$7)),NOT(ISNUMBER(M32)),NOT(ISNUMBER(N32))),"",IF(ISNUMBER(P32),P32,IF((IF(OR(O32="",NOT(ISNUMBER(O32))),Paramètres!$C$8,O32))&lt;=0,"",MIN(EDATE(M32,(12*(IF(OR(O32="",NOT(ISNUMBER(O32))),Paramètres!$C$8,O32)))*MAX(1,INT(((YEAR($C$7+1)-YEAR(M32))*12+MONTH($C$7+1)-MONTH(M32)-(DAY($C$7+1)&lt;DAY(M32)))/(12*(IF(OR(O32="",NOT(ISNUMBER(O32))),Paramètres!$C$8,O32))))+1))-1,N32))))</f>
        <v/>
      </c>
      <c r="R32" s="21"/>
      <c r="S32" s="17">
        <f>IF(H32=0,0,IF(OR(R32="",R32=0),H32,IF(OR(NOT(ISNUMBER(R32)),(IF(OR(NOT(ISNUMBER(M32)),NOT(ISNUMBER(N32)),N32&lt;=M32),0,MIN(12*(IF(OR(O32="",NOT(ISNUMBER(O32))),Paramètres!$C$8,O32)),(YEAR(N32)-YEAR(M32))*12+MONTH(N32)-MONTH(M32)+1)))&lt;=0),0,MAX(0,H32*(1-R32/(IF(OR(NOT(ISNUMBER(M32)),NOT(ISNUMBER(N32)),N32&lt;=M32),0,MIN(12*(IF(OR(O32="",NOT(ISNUMBER(O32))),Paramètres!$C$8,O32)),(YEAR(N32)-YEAR(M32))*12+MONTH(N32)-MONTH(M32)+1))))))))</f>
        <v>0</v>
      </c>
      <c r="T32" s="22">
        <f t="shared" si="4"/>
        <v>0</v>
      </c>
      <c r="U32" s="22">
        <f t="shared" si="5"/>
        <v>0</v>
      </c>
      <c r="V32" s="12" t="str">
        <f>IF(COUNTA(B32,C32,D32,E32,F32,G32,I32,M32,N32,O32,P32,R32)&gt;0,IF(AND(COUNT(Paramètres!$C$8:$C$12)=5,COUNT(Paramètres!$C$16:$C$25)=10,ISNUMBER($C$7),B32&lt;&gt;"",NOT(ISNA(MATCH(C32,Paramètres!$B$29:$B$34,0))),NOT(ISNA(MATCH(E32,Paramètres!$D$29:$D$30,0))),ISNUMBER(F32),F32&gt;0,F32&lt;=Paramètres!$C$22,OR(I32="",AND(ISNUMBER(I32),I32&gt;=0,I32&lt;=Paramètres!$C$21)),IF(E32=Paramètres!$D$29,AND(D32&lt;&gt;"",ISNUMBER(G32),G32&gt;0,G32&lt;=Paramètres!$C$21,ISNUMBER(M32),ISNUMBER(N32),N32&gt;M32,(N(N32)-N(M32))/365.25&lt;=Paramètres!$C$23,OR(O32="",AND(ISNUMBER(O32),O32&gt;=1,O32&lt;=Paramètres!$C$23,O32=INT(N(O32)))),OR(P32="",AND(ISNUMBER(P32),P32&gt;$C$7,P32&lt;=N32)),OR(R32="",AND(ISNUMBER(R32),R32&gt;=0,R32&lt;=Paramètres!$C$24,R32&lt;=(IF(OR(NOT(ISNUMBER(M32)),NOT(ISNUMBER(N32)),N32&lt;=M32),0,MIN(12*(IF(OR(O32="",NOT(ISNUMBER(O32))),Paramètres!$C$8,O32)),(YEAR(N32)-YEAR(M32))*12+MONTH(N32)-MONTH(M32)+1)))))),AND(D32="",OR(G32="",G32=0)))),"OK","À CORRIGER"),"")</f>
        <v/>
      </c>
      <c r="W32" s="23" t="str">
        <f>IF(NOT(COUNTA(B32,C32,D32,E32,F32,G32,I32,M32,N32,O32,P32,R32)&gt;0),"",IF(OR(COUNT(Paramètres!$C$8:$C$12)&lt;&gt;5,COUNT(Paramètres!$C$16:$C$25)&lt;&gt;10),"Un paramètre de l'onglet Paramètres est vide.",IF(NOT(ISNUMBER($C$7)),"Date d'analyse manquante.",IF(B32="","Libellé du lot manquant.",IF(ISNA(MATCH(C32,Paramètres!$B$29:$B$34,0)),"Nature hors liste.",IF(ISNA(MATCH(E32,Paramètres!$D$29:$D$30,0)),"Statut hors liste.",IF(NOT(AND(ISNUMBER(F32),F32&gt;0)),"Surface manquante ou nulle.",IF(F32&gt;Paramètres!$C$22,"Surface au-delà du garde-fou de saisie.",IF(AND(I32&lt;&gt;"",NOT(AND(ISNUMBER(I32),I32&gt;=0,I32&lt;=Paramètres!$C$21))),"Valeur locative de marché hors bornes.",IF(AND(E32=Paramètres!$D$29,D32=""),"Lot déclaré loué sans locataire.",IF(AND(E32=Paramètres!$D$29,NOT(AND(ISNUMBER(G32),G32&gt;0))),"Loyer facial manquant ou nul.",IF(AND(E32=Paramètres!$D$29,G32&gt;Paramètres!$C$21),"Loyer facial au-delà du garde-fou de saisie.",IF(AND(E32=Paramètres!$D$29,NOT(ISNUMBER(M32))),"Date de prise d'effet manquante.",IF(AND(E32=Paramètres!$D$29,NOT(ISNUMBER(N32))),"Date d'échéance manquante.",IF(AND(E32=Paramètres!$D$29,N32&lt;=M32),"Échéance antérieure ou égale à la prise d'effet.",IF(AND(E32=Paramètres!$D$29,(N(N32)-N(M32))/365.25&gt;Paramètres!$C$23),"Durée du bail au-delà du garde-fou de saisie.",IF(AND(E32=Paramètres!$D$29,O32&lt;&gt;"",NOT(AND(ISNUMBER(O32),O32&gt;=1,O32&lt;=Paramètres!$C$23,O32=INT(N(O32))))),"Périodicité de sortie hors bornes.",IF(AND(E32=Paramètres!$D$29,P32&lt;&gt;"",NOT(AND(ISNUMBER(P32),P32&gt;$C$7,P32&lt;=N32))),"Sortie forcée hors de l'intervalle admis.",IF(AND(E32=Paramètres!$D$29,R32&lt;&gt;"",NOT(AND(ISNUMBER(R32),R32&gt;=0,R32&lt;=Paramètres!$C$24,R32&lt;=(IF(OR(NOT(ISNUMBER(M32)),NOT(ISNUMBER(N32)),N32&lt;=M32),0,MIN(12*(IF(OR(O32="",NOT(ISNUMBER(O32))),Paramètres!$C$8,O32)),(YEAR(N32)-YEAR(M32))*12+MONTH(N32)-MONTH(M32)+1)))))),"Franchise hors bornes ou plus longue que la période ferme.",IF(AND(E32=Paramètres!$D$30,D32&lt;&gt;""),"Lot vacant avec un locataire renseigné.",IF(AND(E32=Paramètres!$D$30,G32&lt;&gt;"",G32&lt;&gt;0),"Lot vacant avec un loyer renseigné.",IF(AND(E32=Paramètres!$D$29,ISNUMBER(N32),ISNUMBER($C$7),N32&lt;$C$7),"Bail échu, en tacite prolongation.",IF(I32="","Valeur locative de marché non renseignée.","")))))))))))))))))))))))</f>
        <v/>
      </c>
      <c r="X32" s="17">
        <f>IF(AND(V32="OK",E32=Paramètres!$D$29),SUMIFS($H$11:$H$50,$D$11:$D$50,D32,$E$11:$E$50,Paramètres!$D$29,$V$11:$V$50,"OK"),0)</f>
        <v>0</v>
      </c>
    </row>
    <row r="33" spans="2:24" ht="15" customHeight="1" x14ac:dyDescent="0.35">
      <c r="B33" s="14"/>
      <c r="C33" s="14"/>
      <c r="D33" s="14"/>
      <c r="E33" s="14"/>
      <c r="F33" s="15"/>
      <c r="G33" s="16"/>
      <c r="H33" s="17">
        <f t="shared" si="0"/>
        <v>0</v>
      </c>
      <c r="I33" s="16"/>
      <c r="J33" s="17">
        <f t="shared" si="1"/>
        <v>0</v>
      </c>
      <c r="K33" s="17" t="str">
        <f t="shared" si="2"/>
        <v/>
      </c>
      <c r="L33" s="18" t="str">
        <f t="shared" si="3"/>
        <v/>
      </c>
      <c r="M33" s="11"/>
      <c r="N33" s="11"/>
      <c r="O33" s="19"/>
      <c r="P33" s="11"/>
      <c r="Q33" s="20" t="str">
        <f>IF(OR(NOT(ISNUMBER($C$7)),NOT(ISNUMBER(M33)),NOT(ISNUMBER(N33))),"",IF(ISNUMBER(P33),P33,IF((IF(OR(O33="",NOT(ISNUMBER(O33))),Paramètres!$C$8,O33))&lt;=0,"",MIN(EDATE(M33,(12*(IF(OR(O33="",NOT(ISNUMBER(O33))),Paramètres!$C$8,O33)))*MAX(1,INT(((YEAR($C$7+1)-YEAR(M33))*12+MONTH($C$7+1)-MONTH(M33)-(DAY($C$7+1)&lt;DAY(M33)))/(12*(IF(OR(O33="",NOT(ISNUMBER(O33))),Paramètres!$C$8,O33))))+1))-1,N33))))</f>
        <v/>
      </c>
      <c r="R33" s="21"/>
      <c r="S33" s="17">
        <f>IF(H33=0,0,IF(OR(R33="",R33=0),H33,IF(OR(NOT(ISNUMBER(R33)),(IF(OR(NOT(ISNUMBER(M33)),NOT(ISNUMBER(N33)),N33&lt;=M33),0,MIN(12*(IF(OR(O33="",NOT(ISNUMBER(O33))),Paramètres!$C$8,O33)),(YEAR(N33)-YEAR(M33))*12+MONTH(N33)-MONTH(M33)+1)))&lt;=0),0,MAX(0,H33*(1-R33/(IF(OR(NOT(ISNUMBER(M33)),NOT(ISNUMBER(N33)),N33&lt;=M33),0,MIN(12*(IF(OR(O33="",NOT(ISNUMBER(O33))),Paramètres!$C$8,O33)),(YEAR(N33)-YEAR(M33))*12+MONTH(N33)-MONTH(M33)+1))))))))</f>
        <v>0</v>
      </c>
      <c r="T33" s="22">
        <f t="shared" si="4"/>
        <v>0</v>
      </c>
      <c r="U33" s="22">
        <f t="shared" si="5"/>
        <v>0</v>
      </c>
      <c r="V33" s="12" t="str">
        <f>IF(COUNTA(B33,C33,D33,E33,F33,G33,I33,M33,N33,O33,P33,R33)&gt;0,IF(AND(COUNT(Paramètres!$C$8:$C$12)=5,COUNT(Paramètres!$C$16:$C$25)=10,ISNUMBER($C$7),B33&lt;&gt;"",NOT(ISNA(MATCH(C33,Paramètres!$B$29:$B$34,0))),NOT(ISNA(MATCH(E33,Paramètres!$D$29:$D$30,0))),ISNUMBER(F33),F33&gt;0,F33&lt;=Paramètres!$C$22,OR(I33="",AND(ISNUMBER(I33),I33&gt;=0,I33&lt;=Paramètres!$C$21)),IF(E33=Paramètres!$D$29,AND(D33&lt;&gt;"",ISNUMBER(G33),G33&gt;0,G33&lt;=Paramètres!$C$21,ISNUMBER(M33),ISNUMBER(N33),N33&gt;M33,(N(N33)-N(M33))/365.25&lt;=Paramètres!$C$23,OR(O33="",AND(ISNUMBER(O33),O33&gt;=1,O33&lt;=Paramètres!$C$23,O33=INT(N(O33)))),OR(P33="",AND(ISNUMBER(P33),P33&gt;$C$7,P33&lt;=N33)),OR(R33="",AND(ISNUMBER(R33),R33&gt;=0,R33&lt;=Paramètres!$C$24,R33&lt;=(IF(OR(NOT(ISNUMBER(M33)),NOT(ISNUMBER(N33)),N33&lt;=M33),0,MIN(12*(IF(OR(O33="",NOT(ISNUMBER(O33))),Paramètres!$C$8,O33)),(YEAR(N33)-YEAR(M33))*12+MONTH(N33)-MONTH(M33)+1)))))),AND(D33="",OR(G33="",G33=0)))),"OK","À CORRIGER"),"")</f>
        <v/>
      </c>
      <c r="W33" s="23" t="str">
        <f>IF(NOT(COUNTA(B33,C33,D33,E33,F33,G33,I33,M33,N33,O33,P33,R33)&gt;0),"",IF(OR(COUNT(Paramètres!$C$8:$C$12)&lt;&gt;5,COUNT(Paramètres!$C$16:$C$25)&lt;&gt;10),"Un paramètre de l'onglet Paramètres est vide.",IF(NOT(ISNUMBER($C$7)),"Date d'analyse manquante.",IF(B33="","Libellé du lot manquant.",IF(ISNA(MATCH(C33,Paramètres!$B$29:$B$34,0)),"Nature hors liste.",IF(ISNA(MATCH(E33,Paramètres!$D$29:$D$30,0)),"Statut hors liste.",IF(NOT(AND(ISNUMBER(F33),F33&gt;0)),"Surface manquante ou nulle.",IF(F33&gt;Paramètres!$C$22,"Surface au-delà du garde-fou de saisie.",IF(AND(I33&lt;&gt;"",NOT(AND(ISNUMBER(I33),I33&gt;=0,I33&lt;=Paramètres!$C$21))),"Valeur locative de marché hors bornes.",IF(AND(E33=Paramètres!$D$29,D33=""),"Lot déclaré loué sans locataire.",IF(AND(E33=Paramètres!$D$29,NOT(AND(ISNUMBER(G33),G33&gt;0))),"Loyer facial manquant ou nul.",IF(AND(E33=Paramètres!$D$29,G33&gt;Paramètres!$C$21),"Loyer facial au-delà du garde-fou de saisie.",IF(AND(E33=Paramètres!$D$29,NOT(ISNUMBER(M33))),"Date de prise d'effet manquante.",IF(AND(E33=Paramètres!$D$29,NOT(ISNUMBER(N33))),"Date d'échéance manquante.",IF(AND(E33=Paramètres!$D$29,N33&lt;=M33),"Échéance antérieure ou égale à la prise d'effet.",IF(AND(E33=Paramètres!$D$29,(N(N33)-N(M33))/365.25&gt;Paramètres!$C$23),"Durée du bail au-delà du garde-fou de saisie.",IF(AND(E33=Paramètres!$D$29,O33&lt;&gt;"",NOT(AND(ISNUMBER(O33),O33&gt;=1,O33&lt;=Paramètres!$C$23,O33=INT(N(O33))))),"Périodicité de sortie hors bornes.",IF(AND(E33=Paramètres!$D$29,P33&lt;&gt;"",NOT(AND(ISNUMBER(P33),P33&gt;$C$7,P33&lt;=N33))),"Sortie forcée hors de l'intervalle admis.",IF(AND(E33=Paramètres!$D$29,R33&lt;&gt;"",NOT(AND(ISNUMBER(R33),R33&gt;=0,R33&lt;=Paramètres!$C$24,R33&lt;=(IF(OR(NOT(ISNUMBER(M33)),NOT(ISNUMBER(N33)),N33&lt;=M33),0,MIN(12*(IF(OR(O33="",NOT(ISNUMBER(O33))),Paramètres!$C$8,O33)),(YEAR(N33)-YEAR(M33))*12+MONTH(N33)-MONTH(M33)+1)))))),"Franchise hors bornes ou plus longue que la période ferme.",IF(AND(E33=Paramètres!$D$30,D33&lt;&gt;""),"Lot vacant avec un locataire renseigné.",IF(AND(E33=Paramètres!$D$30,G33&lt;&gt;"",G33&lt;&gt;0),"Lot vacant avec un loyer renseigné.",IF(AND(E33=Paramètres!$D$29,ISNUMBER(N33),ISNUMBER($C$7),N33&lt;$C$7),"Bail échu, en tacite prolongation.",IF(I33="","Valeur locative de marché non renseignée.","")))))))))))))))))))))))</f>
        <v/>
      </c>
      <c r="X33" s="17">
        <f>IF(AND(V33="OK",E33=Paramètres!$D$29),SUMIFS($H$11:$H$50,$D$11:$D$50,D33,$E$11:$E$50,Paramètres!$D$29,$V$11:$V$50,"OK"),0)</f>
        <v>0</v>
      </c>
    </row>
    <row r="34" spans="2:24" ht="15" customHeight="1" x14ac:dyDescent="0.35">
      <c r="B34" s="14"/>
      <c r="C34" s="14"/>
      <c r="D34" s="14"/>
      <c r="E34" s="14"/>
      <c r="F34" s="15"/>
      <c r="G34" s="16"/>
      <c r="H34" s="17">
        <f t="shared" si="0"/>
        <v>0</v>
      </c>
      <c r="I34" s="16"/>
      <c r="J34" s="17">
        <f t="shared" si="1"/>
        <v>0</v>
      </c>
      <c r="K34" s="17" t="str">
        <f t="shared" si="2"/>
        <v/>
      </c>
      <c r="L34" s="18" t="str">
        <f t="shared" si="3"/>
        <v/>
      </c>
      <c r="M34" s="11"/>
      <c r="N34" s="11"/>
      <c r="O34" s="19"/>
      <c r="P34" s="11"/>
      <c r="Q34" s="20" t="str">
        <f>IF(OR(NOT(ISNUMBER($C$7)),NOT(ISNUMBER(M34)),NOT(ISNUMBER(N34))),"",IF(ISNUMBER(P34),P34,IF((IF(OR(O34="",NOT(ISNUMBER(O34))),Paramètres!$C$8,O34))&lt;=0,"",MIN(EDATE(M34,(12*(IF(OR(O34="",NOT(ISNUMBER(O34))),Paramètres!$C$8,O34)))*MAX(1,INT(((YEAR($C$7+1)-YEAR(M34))*12+MONTH($C$7+1)-MONTH(M34)-(DAY($C$7+1)&lt;DAY(M34)))/(12*(IF(OR(O34="",NOT(ISNUMBER(O34))),Paramètres!$C$8,O34))))+1))-1,N34))))</f>
        <v/>
      </c>
      <c r="R34" s="21"/>
      <c r="S34" s="17">
        <f>IF(H34=0,0,IF(OR(R34="",R34=0),H34,IF(OR(NOT(ISNUMBER(R34)),(IF(OR(NOT(ISNUMBER(M34)),NOT(ISNUMBER(N34)),N34&lt;=M34),0,MIN(12*(IF(OR(O34="",NOT(ISNUMBER(O34))),Paramètres!$C$8,O34)),(YEAR(N34)-YEAR(M34))*12+MONTH(N34)-MONTH(M34)+1)))&lt;=0),0,MAX(0,H34*(1-R34/(IF(OR(NOT(ISNUMBER(M34)),NOT(ISNUMBER(N34)),N34&lt;=M34),0,MIN(12*(IF(OR(O34="",NOT(ISNUMBER(O34))),Paramètres!$C$8,O34)),(YEAR(N34)-YEAR(M34))*12+MONTH(N34)-MONTH(M34)+1))))))))</f>
        <v>0</v>
      </c>
      <c r="T34" s="22">
        <f t="shared" si="4"/>
        <v>0</v>
      </c>
      <c r="U34" s="22">
        <f t="shared" si="5"/>
        <v>0</v>
      </c>
      <c r="V34" s="12" t="str">
        <f>IF(COUNTA(B34,C34,D34,E34,F34,G34,I34,M34,N34,O34,P34,R34)&gt;0,IF(AND(COUNT(Paramètres!$C$8:$C$12)=5,COUNT(Paramètres!$C$16:$C$25)=10,ISNUMBER($C$7),B34&lt;&gt;"",NOT(ISNA(MATCH(C34,Paramètres!$B$29:$B$34,0))),NOT(ISNA(MATCH(E34,Paramètres!$D$29:$D$30,0))),ISNUMBER(F34),F34&gt;0,F34&lt;=Paramètres!$C$22,OR(I34="",AND(ISNUMBER(I34),I34&gt;=0,I34&lt;=Paramètres!$C$21)),IF(E34=Paramètres!$D$29,AND(D34&lt;&gt;"",ISNUMBER(G34),G34&gt;0,G34&lt;=Paramètres!$C$21,ISNUMBER(M34),ISNUMBER(N34),N34&gt;M34,(N(N34)-N(M34))/365.25&lt;=Paramètres!$C$23,OR(O34="",AND(ISNUMBER(O34),O34&gt;=1,O34&lt;=Paramètres!$C$23,O34=INT(N(O34)))),OR(P34="",AND(ISNUMBER(P34),P34&gt;$C$7,P34&lt;=N34)),OR(R34="",AND(ISNUMBER(R34),R34&gt;=0,R34&lt;=Paramètres!$C$24,R34&lt;=(IF(OR(NOT(ISNUMBER(M34)),NOT(ISNUMBER(N34)),N34&lt;=M34),0,MIN(12*(IF(OR(O34="",NOT(ISNUMBER(O34))),Paramètres!$C$8,O34)),(YEAR(N34)-YEAR(M34))*12+MONTH(N34)-MONTH(M34)+1)))))),AND(D34="",OR(G34="",G34=0)))),"OK","À CORRIGER"),"")</f>
        <v/>
      </c>
      <c r="W34" s="23" t="str">
        <f>IF(NOT(COUNTA(B34,C34,D34,E34,F34,G34,I34,M34,N34,O34,P34,R34)&gt;0),"",IF(OR(COUNT(Paramètres!$C$8:$C$12)&lt;&gt;5,COUNT(Paramètres!$C$16:$C$25)&lt;&gt;10),"Un paramètre de l'onglet Paramètres est vide.",IF(NOT(ISNUMBER($C$7)),"Date d'analyse manquante.",IF(B34="","Libellé du lot manquant.",IF(ISNA(MATCH(C34,Paramètres!$B$29:$B$34,0)),"Nature hors liste.",IF(ISNA(MATCH(E34,Paramètres!$D$29:$D$30,0)),"Statut hors liste.",IF(NOT(AND(ISNUMBER(F34),F34&gt;0)),"Surface manquante ou nulle.",IF(F34&gt;Paramètres!$C$22,"Surface au-delà du garde-fou de saisie.",IF(AND(I34&lt;&gt;"",NOT(AND(ISNUMBER(I34),I34&gt;=0,I34&lt;=Paramètres!$C$21))),"Valeur locative de marché hors bornes.",IF(AND(E34=Paramètres!$D$29,D34=""),"Lot déclaré loué sans locataire.",IF(AND(E34=Paramètres!$D$29,NOT(AND(ISNUMBER(G34),G34&gt;0))),"Loyer facial manquant ou nul.",IF(AND(E34=Paramètres!$D$29,G34&gt;Paramètres!$C$21),"Loyer facial au-delà du garde-fou de saisie.",IF(AND(E34=Paramètres!$D$29,NOT(ISNUMBER(M34))),"Date de prise d'effet manquante.",IF(AND(E34=Paramètres!$D$29,NOT(ISNUMBER(N34))),"Date d'échéance manquante.",IF(AND(E34=Paramètres!$D$29,N34&lt;=M34),"Échéance antérieure ou égale à la prise d'effet.",IF(AND(E34=Paramètres!$D$29,(N(N34)-N(M34))/365.25&gt;Paramètres!$C$23),"Durée du bail au-delà du garde-fou de saisie.",IF(AND(E34=Paramètres!$D$29,O34&lt;&gt;"",NOT(AND(ISNUMBER(O34),O34&gt;=1,O34&lt;=Paramètres!$C$23,O34=INT(N(O34))))),"Périodicité de sortie hors bornes.",IF(AND(E34=Paramètres!$D$29,P34&lt;&gt;"",NOT(AND(ISNUMBER(P34),P34&gt;$C$7,P34&lt;=N34))),"Sortie forcée hors de l'intervalle admis.",IF(AND(E34=Paramètres!$D$29,R34&lt;&gt;"",NOT(AND(ISNUMBER(R34),R34&gt;=0,R34&lt;=Paramètres!$C$24,R34&lt;=(IF(OR(NOT(ISNUMBER(M34)),NOT(ISNUMBER(N34)),N34&lt;=M34),0,MIN(12*(IF(OR(O34="",NOT(ISNUMBER(O34))),Paramètres!$C$8,O34)),(YEAR(N34)-YEAR(M34))*12+MONTH(N34)-MONTH(M34)+1)))))),"Franchise hors bornes ou plus longue que la période ferme.",IF(AND(E34=Paramètres!$D$30,D34&lt;&gt;""),"Lot vacant avec un locataire renseigné.",IF(AND(E34=Paramètres!$D$30,G34&lt;&gt;"",G34&lt;&gt;0),"Lot vacant avec un loyer renseigné.",IF(AND(E34=Paramètres!$D$29,ISNUMBER(N34),ISNUMBER($C$7),N34&lt;$C$7),"Bail échu, en tacite prolongation.",IF(I34="","Valeur locative de marché non renseignée.","")))))))))))))))))))))))</f>
        <v/>
      </c>
      <c r="X34" s="17">
        <f>IF(AND(V34="OK",E34=Paramètres!$D$29),SUMIFS($H$11:$H$50,$D$11:$D$50,D34,$E$11:$E$50,Paramètres!$D$29,$V$11:$V$50,"OK"),0)</f>
        <v>0</v>
      </c>
    </row>
    <row r="35" spans="2:24" ht="15" customHeight="1" x14ac:dyDescent="0.35">
      <c r="B35" s="14"/>
      <c r="C35" s="14"/>
      <c r="D35" s="14"/>
      <c r="E35" s="14"/>
      <c r="F35" s="15"/>
      <c r="G35" s="16"/>
      <c r="H35" s="17">
        <f t="shared" si="0"/>
        <v>0</v>
      </c>
      <c r="I35" s="16"/>
      <c r="J35" s="17">
        <f t="shared" si="1"/>
        <v>0</v>
      </c>
      <c r="K35" s="17" t="str">
        <f t="shared" si="2"/>
        <v/>
      </c>
      <c r="L35" s="18" t="str">
        <f t="shared" si="3"/>
        <v/>
      </c>
      <c r="M35" s="11"/>
      <c r="N35" s="11"/>
      <c r="O35" s="19"/>
      <c r="P35" s="11"/>
      <c r="Q35" s="20" t="str">
        <f>IF(OR(NOT(ISNUMBER($C$7)),NOT(ISNUMBER(M35)),NOT(ISNUMBER(N35))),"",IF(ISNUMBER(P35),P35,IF((IF(OR(O35="",NOT(ISNUMBER(O35))),Paramètres!$C$8,O35))&lt;=0,"",MIN(EDATE(M35,(12*(IF(OR(O35="",NOT(ISNUMBER(O35))),Paramètres!$C$8,O35)))*MAX(1,INT(((YEAR($C$7+1)-YEAR(M35))*12+MONTH($C$7+1)-MONTH(M35)-(DAY($C$7+1)&lt;DAY(M35)))/(12*(IF(OR(O35="",NOT(ISNUMBER(O35))),Paramètres!$C$8,O35))))+1))-1,N35))))</f>
        <v/>
      </c>
      <c r="R35" s="21"/>
      <c r="S35" s="17">
        <f>IF(H35=0,0,IF(OR(R35="",R35=0),H35,IF(OR(NOT(ISNUMBER(R35)),(IF(OR(NOT(ISNUMBER(M35)),NOT(ISNUMBER(N35)),N35&lt;=M35),0,MIN(12*(IF(OR(O35="",NOT(ISNUMBER(O35))),Paramètres!$C$8,O35)),(YEAR(N35)-YEAR(M35))*12+MONTH(N35)-MONTH(M35)+1)))&lt;=0),0,MAX(0,H35*(1-R35/(IF(OR(NOT(ISNUMBER(M35)),NOT(ISNUMBER(N35)),N35&lt;=M35),0,MIN(12*(IF(OR(O35="",NOT(ISNUMBER(O35))),Paramètres!$C$8,O35)),(YEAR(N35)-YEAR(M35))*12+MONTH(N35)-MONTH(M35)+1))))))))</f>
        <v>0</v>
      </c>
      <c r="T35" s="22">
        <f t="shared" si="4"/>
        <v>0</v>
      </c>
      <c r="U35" s="22">
        <f t="shared" si="5"/>
        <v>0</v>
      </c>
      <c r="V35" s="12" t="str">
        <f>IF(COUNTA(B35,C35,D35,E35,F35,G35,I35,M35,N35,O35,P35,R35)&gt;0,IF(AND(COUNT(Paramètres!$C$8:$C$12)=5,COUNT(Paramètres!$C$16:$C$25)=10,ISNUMBER($C$7),B35&lt;&gt;"",NOT(ISNA(MATCH(C35,Paramètres!$B$29:$B$34,0))),NOT(ISNA(MATCH(E35,Paramètres!$D$29:$D$30,0))),ISNUMBER(F35),F35&gt;0,F35&lt;=Paramètres!$C$22,OR(I35="",AND(ISNUMBER(I35),I35&gt;=0,I35&lt;=Paramètres!$C$21)),IF(E35=Paramètres!$D$29,AND(D35&lt;&gt;"",ISNUMBER(G35),G35&gt;0,G35&lt;=Paramètres!$C$21,ISNUMBER(M35),ISNUMBER(N35),N35&gt;M35,(N(N35)-N(M35))/365.25&lt;=Paramètres!$C$23,OR(O35="",AND(ISNUMBER(O35),O35&gt;=1,O35&lt;=Paramètres!$C$23,O35=INT(N(O35)))),OR(P35="",AND(ISNUMBER(P35),P35&gt;$C$7,P35&lt;=N35)),OR(R35="",AND(ISNUMBER(R35),R35&gt;=0,R35&lt;=Paramètres!$C$24,R35&lt;=(IF(OR(NOT(ISNUMBER(M35)),NOT(ISNUMBER(N35)),N35&lt;=M35),0,MIN(12*(IF(OR(O35="",NOT(ISNUMBER(O35))),Paramètres!$C$8,O35)),(YEAR(N35)-YEAR(M35))*12+MONTH(N35)-MONTH(M35)+1)))))),AND(D35="",OR(G35="",G35=0)))),"OK","À CORRIGER"),"")</f>
        <v/>
      </c>
      <c r="W35" s="23" t="str">
        <f>IF(NOT(COUNTA(B35,C35,D35,E35,F35,G35,I35,M35,N35,O35,P35,R35)&gt;0),"",IF(OR(COUNT(Paramètres!$C$8:$C$12)&lt;&gt;5,COUNT(Paramètres!$C$16:$C$25)&lt;&gt;10),"Un paramètre de l'onglet Paramètres est vide.",IF(NOT(ISNUMBER($C$7)),"Date d'analyse manquante.",IF(B35="","Libellé du lot manquant.",IF(ISNA(MATCH(C35,Paramètres!$B$29:$B$34,0)),"Nature hors liste.",IF(ISNA(MATCH(E35,Paramètres!$D$29:$D$30,0)),"Statut hors liste.",IF(NOT(AND(ISNUMBER(F35),F35&gt;0)),"Surface manquante ou nulle.",IF(F35&gt;Paramètres!$C$22,"Surface au-delà du garde-fou de saisie.",IF(AND(I35&lt;&gt;"",NOT(AND(ISNUMBER(I35),I35&gt;=0,I35&lt;=Paramètres!$C$21))),"Valeur locative de marché hors bornes.",IF(AND(E35=Paramètres!$D$29,D35=""),"Lot déclaré loué sans locataire.",IF(AND(E35=Paramètres!$D$29,NOT(AND(ISNUMBER(G35),G35&gt;0))),"Loyer facial manquant ou nul.",IF(AND(E35=Paramètres!$D$29,G35&gt;Paramètres!$C$21),"Loyer facial au-delà du garde-fou de saisie.",IF(AND(E35=Paramètres!$D$29,NOT(ISNUMBER(M35))),"Date de prise d'effet manquante.",IF(AND(E35=Paramètres!$D$29,NOT(ISNUMBER(N35))),"Date d'échéance manquante.",IF(AND(E35=Paramètres!$D$29,N35&lt;=M35),"Échéance antérieure ou égale à la prise d'effet.",IF(AND(E35=Paramètres!$D$29,(N(N35)-N(M35))/365.25&gt;Paramètres!$C$23),"Durée du bail au-delà du garde-fou de saisie.",IF(AND(E35=Paramètres!$D$29,O35&lt;&gt;"",NOT(AND(ISNUMBER(O35),O35&gt;=1,O35&lt;=Paramètres!$C$23,O35=INT(N(O35))))),"Périodicité de sortie hors bornes.",IF(AND(E35=Paramètres!$D$29,P35&lt;&gt;"",NOT(AND(ISNUMBER(P35),P35&gt;$C$7,P35&lt;=N35))),"Sortie forcée hors de l'intervalle admis.",IF(AND(E35=Paramètres!$D$29,R35&lt;&gt;"",NOT(AND(ISNUMBER(R35),R35&gt;=0,R35&lt;=Paramètres!$C$24,R35&lt;=(IF(OR(NOT(ISNUMBER(M35)),NOT(ISNUMBER(N35)),N35&lt;=M35),0,MIN(12*(IF(OR(O35="",NOT(ISNUMBER(O35))),Paramètres!$C$8,O35)),(YEAR(N35)-YEAR(M35))*12+MONTH(N35)-MONTH(M35)+1)))))),"Franchise hors bornes ou plus longue que la période ferme.",IF(AND(E35=Paramètres!$D$30,D35&lt;&gt;""),"Lot vacant avec un locataire renseigné.",IF(AND(E35=Paramètres!$D$30,G35&lt;&gt;"",G35&lt;&gt;0),"Lot vacant avec un loyer renseigné.",IF(AND(E35=Paramètres!$D$29,ISNUMBER(N35),ISNUMBER($C$7),N35&lt;$C$7),"Bail échu, en tacite prolongation.",IF(I35="","Valeur locative de marché non renseignée.","")))))))))))))))))))))))</f>
        <v/>
      </c>
      <c r="X35" s="17">
        <f>IF(AND(V35="OK",E35=Paramètres!$D$29),SUMIFS($H$11:$H$50,$D$11:$D$50,D35,$E$11:$E$50,Paramètres!$D$29,$V$11:$V$50,"OK"),0)</f>
        <v>0</v>
      </c>
    </row>
    <row r="36" spans="2:24" ht="15" customHeight="1" x14ac:dyDescent="0.35">
      <c r="B36" s="14"/>
      <c r="C36" s="14"/>
      <c r="D36" s="14"/>
      <c r="E36" s="14"/>
      <c r="F36" s="15"/>
      <c r="G36" s="16"/>
      <c r="H36" s="17">
        <f t="shared" si="0"/>
        <v>0</v>
      </c>
      <c r="I36" s="16"/>
      <c r="J36" s="17">
        <f t="shared" si="1"/>
        <v>0</v>
      </c>
      <c r="K36" s="17" t="str">
        <f t="shared" si="2"/>
        <v/>
      </c>
      <c r="L36" s="18" t="str">
        <f t="shared" si="3"/>
        <v/>
      </c>
      <c r="M36" s="11"/>
      <c r="N36" s="11"/>
      <c r="O36" s="19"/>
      <c r="P36" s="11"/>
      <c r="Q36" s="20" t="str">
        <f>IF(OR(NOT(ISNUMBER($C$7)),NOT(ISNUMBER(M36)),NOT(ISNUMBER(N36))),"",IF(ISNUMBER(P36),P36,IF((IF(OR(O36="",NOT(ISNUMBER(O36))),Paramètres!$C$8,O36))&lt;=0,"",MIN(EDATE(M36,(12*(IF(OR(O36="",NOT(ISNUMBER(O36))),Paramètres!$C$8,O36)))*MAX(1,INT(((YEAR($C$7+1)-YEAR(M36))*12+MONTH($C$7+1)-MONTH(M36)-(DAY($C$7+1)&lt;DAY(M36)))/(12*(IF(OR(O36="",NOT(ISNUMBER(O36))),Paramètres!$C$8,O36))))+1))-1,N36))))</f>
        <v/>
      </c>
      <c r="R36" s="21"/>
      <c r="S36" s="17">
        <f>IF(H36=0,0,IF(OR(R36="",R36=0),H36,IF(OR(NOT(ISNUMBER(R36)),(IF(OR(NOT(ISNUMBER(M36)),NOT(ISNUMBER(N36)),N36&lt;=M36),0,MIN(12*(IF(OR(O36="",NOT(ISNUMBER(O36))),Paramètres!$C$8,O36)),(YEAR(N36)-YEAR(M36))*12+MONTH(N36)-MONTH(M36)+1)))&lt;=0),0,MAX(0,H36*(1-R36/(IF(OR(NOT(ISNUMBER(M36)),NOT(ISNUMBER(N36)),N36&lt;=M36),0,MIN(12*(IF(OR(O36="",NOT(ISNUMBER(O36))),Paramètres!$C$8,O36)),(YEAR(N36)-YEAR(M36))*12+MONTH(N36)-MONTH(M36)+1))))))))</f>
        <v>0</v>
      </c>
      <c r="T36" s="22">
        <f t="shared" si="4"/>
        <v>0</v>
      </c>
      <c r="U36" s="22">
        <f t="shared" si="5"/>
        <v>0</v>
      </c>
      <c r="V36" s="12" t="str">
        <f>IF(COUNTA(B36,C36,D36,E36,F36,G36,I36,M36,N36,O36,P36,R36)&gt;0,IF(AND(COUNT(Paramètres!$C$8:$C$12)=5,COUNT(Paramètres!$C$16:$C$25)=10,ISNUMBER($C$7),B36&lt;&gt;"",NOT(ISNA(MATCH(C36,Paramètres!$B$29:$B$34,0))),NOT(ISNA(MATCH(E36,Paramètres!$D$29:$D$30,0))),ISNUMBER(F36),F36&gt;0,F36&lt;=Paramètres!$C$22,OR(I36="",AND(ISNUMBER(I36),I36&gt;=0,I36&lt;=Paramètres!$C$21)),IF(E36=Paramètres!$D$29,AND(D36&lt;&gt;"",ISNUMBER(G36),G36&gt;0,G36&lt;=Paramètres!$C$21,ISNUMBER(M36),ISNUMBER(N36),N36&gt;M36,(N(N36)-N(M36))/365.25&lt;=Paramètres!$C$23,OR(O36="",AND(ISNUMBER(O36),O36&gt;=1,O36&lt;=Paramètres!$C$23,O36=INT(N(O36)))),OR(P36="",AND(ISNUMBER(P36),P36&gt;$C$7,P36&lt;=N36)),OR(R36="",AND(ISNUMBER(R36),R36&gt;=0,R36&lt;=Paramètres!$C$24,R36&lt;=(IF(OR(NOT(ISNUMBER(M36)),NOT(ISNUMBER(N36)),N36&lt;=M36),0,MIN(12*(IF(OR(O36="",NOT(ISNUMBER(O36))),Paramètres!$C$8,O36)),(YEAR(N36)-YEAR(M36))*12+MONTH(N36)-MONTH(M36)+1)))))),AND(D36="",OR(G36="",G36=0)))),"OK","À CORRIGER"),"")</f>
        <v/>
      </c>
      <c r="W36" s="23" t="str">
        <f>IF(NOT(COUNTA(B36,C36,D36,E36,F36,G36,I36,M36,N36,O36,P36,R36)&gt;0),"",IF(OR(COUNT(Paramètres!$C$8:$C$12)&lt;&gt;5,COUNT(Paramètres!$C$16:$C$25)&lt;&gt;10),"Un paramètre de l'onglet Paramètres est vide.",IF(NOT(ISNUMBER($C$7)),"Date d'analyse manquante.",IF(B36="","Libellé du lot manquant.",IF(ISNA(MATCH(C36,Paramètres!$B$29:$B$34,0)),"Nature hors liste.",IF(ISNA(MATCH(E36,Paramètres!$D$29:$D$30,0)),"Statut hors liste.",IF(NOT(AND(ISNUMBER(F36),F36&gt;0)),"Surface manquante ou nulle.",IF(F36&gt;Paramètres!$C$22,"Surface au-delà du garde-fou de saisie.",IF(AND(I36&lt;&gt;"",NOT(AND(ISNUMBER(I36),I36&gt;=0,I36&lt;=Paramètres!$C$21))),"Valeur locative de marché hors bornes.",IF(AND(E36=Paramètres!$D$29,D36=""),"Lot déclaré loué sans locataire.",IF(AND(E36=Paramètres!$D$29,NOT(AND(ISNUMBER(G36),G36&gt;0))),"Loyer facial manquant ou nul.",IF(AND(E36=Paramètres!$D$29,G36&gt;Paramètres!$C$21),"Loyer facial au-delà du garde-fou de saisie.",IF(AND(E36=Paramètres!$D$29,NOT(ISNUMBER(M36))),"Date de prise d'effet manquante.",IF(AND(E36=Paramètres!$D$29,NOT(ISNUMBER(N36))),"Date d'échéance manquante.",IF(AND(E36=Paramètres!$D$29,N36&lt;=M36),"Échéance antérieure ou égale à la prise d'effet.",IF(AND(E36=Paramètres!$D$29,(N(N36)-N(M36))/365.25&gt;Paramètres!$C$23),"Durée du bail au-delà du garde-fou de saisie.",IF(AND(E36=Paramètres!$D$29,O36&lt;&gt;"",NOT(AND(ISNUMBER(O36),O36&gt;=1,O36&lt;=Paramètres!$C$23,O36=INT(N(O36))))),"Périodicité de sortie hors bornes.",IF(AND(E36=Paramètres!$D$29,P36&lt;&gt;"",NOT(AND(ISNUMBER(P36),P36&gt;$C$7,P36&lt;=N36))),"Sortie forcée hors de l'intervalle admis.",IF(AND(E36=Paramètres!$D$29,R36&lt;&gt;"",NOT(AND(ISNUMBER(R36),R36&gt;=0,R36&lt;=Paramètres!$C$24,R36&lt;=(IF(OR(NOT(ISNUMBER(M36)),NOT(ISNUMBER(N36)),N36&lt;=M36),0,MIN(12*(IF(OR(O36="",NOT(ISNUMBER(O36))),Paramètres!$C$8,O36)),(YEAR(N36)-YEAR(M36))*12+MONTH(N36)-MONTH(M36)+1)))))),"Franchise hors bornes ou plus longue que la période ferme.",IF(AND(E36=Paramètres!$D$30,D36&lt;&gt;""),"Lot vacant avec un locataire renseigné.",IF(AND(E36=Paramètres!$D$30,G36&lt;&gt;"",G36&lt;&gt;0),"Lot vacant avec un loyer renseigné.",IF(AND(E36=Paramètres!$D$29,ISNUMBER(N36),ISNUMBER($C$7),N36&lt;$C$7),"Bail échu, en tacite prolongation.",IF(I36="","Valeur locative de marché non renseignée.","")))))))))))))))))))))))</f>
        <v/>
      </c>
      <c r="X36" s="17">
        <f>IF(AND(V36="OK",E36=Paramètres!$D$29),SUMIFS($H$11:$H$50,$D$11:$D$50,D36,$E$11:$E$50,Paramètres!$D$29,$V$11:$V$50,"OK"),0)</f>
        <v>0</v>
      </c>
    </row>
    <row r="37" spans="2:24" ht="15" customHeight="1" x14ac:dyDescent="0.35">
      <c r="B37" s="14"/>
      <c r="C37" s="14"/>
      <c r="D37" s="14"/>
      <c r="E37" s="14"/>
      <c r="F37" s="15"/>
      <c r="G37" s="16"/>
      <c r="H37" s="17">
        <f t="shared" si="0"/>
        <v>0</v>
      </c>
      <c r="I37" s="16"/>
      <c r="J37" s="17">
        <f t="shared" si="1"/>
        <v>0</v>
      </c>
      <c r="K37" s="17" t="str">
        <f t="shared" si="2"/>
        <v/>
      </c>
      <c r="L37" s="18" t="str">
        <f t="shared" si="3"/>
        <v/>
      </c>
      <c r="M37" s="11"/>
      <c r="N37" s="11"/>
      <c r="O37" s="19"/>
      <c r="P37" s="11"/>
      <c r="Q37" s="20" t="str">
        <f>IF(OR(NOT(ISNUMBER($C$7)),NOT(ISNUMBER(M37)),NOT(ISNUMBER(N37))),"",IF(ISNUMBER(P37),P37,IF((IF(OR(O37="",NOT(ISNUMBER(O37))),Paramètres!$C$8,O37))&lt;=0,"",MIN(EDATE(M37,(12*(IF(OR(O37="",NOT(ISNUMBER(O37))),Paramètres!$C$8,O37)))*MAX(1,INT(((YEAR($C$7+1)-YEAR(M37))*12+MONTH($C$7+1)-MONTH(M37)-(DAY($C$7+1)&lt;DAY(M37)))/(12*(IF(OR(O37="",NOT(ISNUMBER(O37))),Paramètres!$C$8,O37))))+1))-1,N37))))</f>
        <v/>
      </c>
      <c r="R37" s="21"/>
      <c r="S37" s="17">
        <f>IF(H37=0,0,IF(OR(R37="",R37=0),H37,IF(OR(NOT(ISNUMBER(R37)),(IF(OR(NOT(ISNUMBER(M37)),NOT(ISNUMBER(N37)),N37&lt;=M37),0,MIN(12*(IF(OR(O37="",NOT(ISNUMBER(O37))),Paramètres!$C$8,O37)),(YEAR(N37)-YEAR(M37))*12+MONTH(N37)-MONTH(M37)+1)))&lt;=0),0,MAX(0,H37*(1-R37/(IF(OR(NOT(ISNUMBER(M37)),NOT(ISNUMBER(N37)),N37&lt;=M37),0,MIN(12*(IF(OR(O37="",NOT(ISNUMBER(O37))),Paramètres!$C$8,O37)),(YEAR(N37)-YEAR(M37))*12+MONTH(N37)-MONTH(M37)+1))))))))</f>
        <v>0</v>
      </c>
      <c r="T37" s="22">
        <f t="shared" si="4"/>
        <v>0</v>
      </c>
      <c r="U37" s="22">
        <f t="shared" si="5"/>
        <v>0</v>
      </c>
      <c r="V37" s="12" t="str">
        <f>IF(COUNTA(B37,C37,D37,E37,F37,G37,I37,M37,N37,O37,P37,R37)&gt;0,IF(AND(COUNT(Paramètres!$C$8:$C$12)=5,COUNT(Paramètres!$C$16:$C$25)=10,ISNUMBER($C$7),B37&lt;&gt;"",NOT(ISNA(MATCH(C37,Paramètres!$B$29:$B$34,0))),NOT(ISNA(MATCH(E37,Paramètres!$D$29:$D$30,0))),ISNUMBER(F37),F37&gt;0,F37&lt;=Paramètres!$C$22,OR(I37="",AND(ISNUMBER(I37),I37&gt;=0,I37&lt;=Paramètres!$C$21)),IF(E37=Paramètres!$D$29,AND(D37&lt;&gt;"",ISNUMBER(G37),G37&gt;0,G37&lt;=Paramètres!$C$21,ISNUMBER(M37),ISNUMBER(N37),N37&gt;M37,(N(N37)-N(M37))/365.25&lt;=Paramètres!$C$23,OR(O37="",AND(ISNUMBER(O37),O37&gt;=1,O37&lt;=Paramètres!$C$23,O37=INT(N(O37)))),OR(P37="",AND(ISNUMBER(P37),P37&gt;$C$7,P37&lt;=N37)),OR(R37="",AND(ISNUMBER(R37),R37&gt;=0,R37&lt;=Paramètres!$C$24,R37&lt;=(IF(OR(NOT(ISNUMBER(M37)),NOT(ISNUMBER(N37)),N37&lt;=M37),0,MIN(12*(IF(OR(O37="",NOT(ISNUMBER(O37))),Paramètres!$C$8,O37)),(YEAR(N37)-YEAR(M37))*12+MONTH(N37)-MONTH(M37)+1)))))),AND(D37="",OR(G37="",G37=0)))),"OK","À CORRIGER"),"")</f>
        <v/>
      </c>
      <c r="W37" s="23" t="str">
        <f>IF(NOT(COUNTA(B37,C37,D37,E37,F37,G37,I37,M37,N37,O37,P37,R37)&gt;0),"",IF(OR(COUNT(Paramètres!$C$8:$C$12)&lt;&gt;5,COUNT(Paramètres!$C$16:$C$25)&lt;&gt;10),"Un paramètre de l'onglet Paramètres est vide.",IF(NOT(ISNUMBER($C$7)),"Date d'analyse manquante.",IF(B37="","Libellé du lot manquant.",IF(ISNA(MATCH(C37,Paramètres!$B$29:$B$34,0)),"Nature hors liste.",IF(ISNA(MATCH(E37,Paramètres!$D$29:$D$30,0)),"Statut hors liste.",IF(NOT(AND(ISNUMBER(F37),F37&gt;0)),"Surface manquante ou nulle.",IF(F37&gt;Paramètres!$C$22,"Surface au-delà du garde-fou de saisie.",IF(AND(I37&lt;&gt;"",NOT(AND(ISNUMBER(I37),I37&gt;=0,I37&lt;=Paramètres!$C$21))),"Valeur locative de marché hors bornes.",IF(AND(E37=Paramètres!$D$29,D37=""),"Lot déclaré loué sans locataire.",IF(AND(E37=Paramètres!$D$29,NOT(AND(ISNUMBER(G37),G37&gt;0))),"Loyer facial manquant ou nul.",IF(AND(E37=Paramètres!$D$29,G37&gt;Paramètres!$C$21),"Loyer facial au-delà du garde-fou de saisie.",IF(AND(E37=Paramètres!$D$29,NOT(ISNUMBER(M37))),"Date de prise d'effet manquante.",IF(AND(E37=Paramètres!$D$29,NOT(ISNUMBER(N37))),"Date d'échéance manquante.",IF(AND(E37=Paramètres!$D$29,N37&lt;=M37),"Échéance antérieure ou égale à la prise d'effet.",IF(AND(E37=Paramètres!$D$29,(N(N37)-N(M37))/365.25&gt;Paramètres!$C$23),"Durée du bail au-delà du garde-fou de saisie.",IF(AND(E37=Paramètres!$D$29,O37&lt;&gt;"",NOT(AND(ISNUMBER(O37),O37&gt;=1,O37&lt;=Paramètres!$C$23,O37=INT(N(O37))))),"Périodicité de sortie hors bornes.",IF(AND(E37=Paramètres!$D$29,P37&lt;&gt;"",NOT(AND(ISNUMBER(P37),P37&gt;$C$7,P37&lt;=N37))),"Sortie forcée hors de l'intervalle admis.",IF(AND(E37=Paramètres!$D$29,R37&lt;&gt;"",NOT(AND(ISNUMBER(R37),R37&gt;=0,R37&lt;=Paramètres!$C$24,R37&lt;=(IF(OR(NOT(ISNUMBER(M37)),NOT(ISNUMBER(N37)),N37&lt;=M37),0,MIN(12*(IF(OR(O37="",NOT(ISNUMBER(O37))),Paramètres!$C$8,O37)),(YEAR(N37)-YEAR(M37))*12+MONTH(N37)-MONTH(M37)+1)))))),"Franchise hors bornes ou plus longue que la période ferme.",IF(AND(E37=Paramètres!$D$30,D37&lt;&gt;""),"Lot vacant avec un locataire renseigné.",IF(AND(E37=Paramètres!$D$30,G37&lt;&gt;"",G37&lt;&gt;0),"Lot vacant avec un loyer renseigné.",IF(AND(E37=Paramètres!$D$29,ISNUMBER(N37),ISNUMBER($C$7),N37&lt;$C$7),"Bail échu, en tacite prolongation.",IF(I37="","Valeur locative de marché non renseignée.","")))))))))))))))))))))))</f>
        <v/>
      </c>
      <c r="X37" s="17">
        <f>IF(AND(V37="OK",E37=Paramètres!$D$29),SUMIFS($H$11:$H$50,$D$11:$D$50,D37,$E$11:$E$50,Paramètres!$D$29,$V$11:$V$50,"OK"),0)</f>
        <v>0</v>
      </c>
    </row>
    <row r="38" spans="2:24" ht="15" customHeight="1" x14ac:dyDescent="0.35">
      <c r="B38" s="14"/>
      <c r="C38" s="14"/>
      <c r="D38" s="14"/>
      <c r="E38" s="14"/>
      <c r="F38" s="15"/>
      <c r="G38" s="16"/>
      <c r="H38" s="17">
        <f t="shared" si="0"/>
        <v>0</v>
      </c>
      <c r="I38" s="16"/>
      <c r="J38" s="17">
        <f t="shared" si="1"/>
        <v>0</v>
      </c>
      <c r="K38" s="17" t="str">
        <f t="shared" si="2"/>
        <v/>
      </c>
      <c r="L38" s="18" t="str">
        <f t="shared" si="3"/>
        <v/>
      </c>
      <c r="M38" s="11"/>
      <c r="N38" s="11"/>
      <c r="O38" s="19"/>
      <c r="P38" s="11"/>
      <c r="Q38" s="20" t="str">
        <f>IF(OR(NOT(ISNUMBER($C$7)),NOT(ISNUMBER(M38)),NOT(ISNUMBER(N38))),"",IF(ISNUMBER(P38),P38,IF((IF(OR(O38="",NOT(ISNUMBER(O38))),Paramètres!$C$8,O38))&lt;=0,"",MIN(EDATE(M38,(12*(IF(OR(O38="",NOT(ISNUMBER(O38))),Paramètres!$C$8,O38)))*MAX(1,INT(((YEAR($C$7+1)-YEAR(M38))*12+MONTH($C$7+1)-MONTH(M38)-(DAY($C$7+1)&lt;DAY(M38)))/(12*(IF(OR(O38="",NOT(ISNUMBER(O38))),Paramètres!$C$8,O38))))+1))-1,N38))))</f>
        <v/>
      </c>
      <c r="R38" s="21"/>
      <c r="S38" s="17">
        <f>IF(H38=0,0,IF(OR(R38="",R38=0),H38,IF(OR(NOT(ISNUMBER(R38)),(IF(OR(NOT(ISNUMBER(M38)),NOT(ISNUMBER(N38)),N38&lt;=M38),0,MIN(12*(IF(OR(O38="",NOT(ISNUMBER(O38))),Paramètres!$C$8,O38)),(YEAR(N38)-YEAR(M38))*12+MONTH(N38)-MONTH(M38)+1)))&lt;=0),0,MAX(0,H38*(1-R38/(IF(OR(NOT(ISNUMBER(M38)),NOT(ISNUMBER(N38)),N38&lt;=M38),0,MIN(12*(IF(OR(O38="",NOT(ISNUMBER(O38))),Paramètres!$C$8,O38)),(YEAR(N38)-YEAR(M38))*12+MONTH(N38)-MONTH(M38)+1))))))))</f>
        <v>0</v>
      </c>
      <c r="T38" s="22">
        <f t="shared" si="4"/>
        <v>0</v>
      </c>
      <c r="U38" s="22">
        <f t="shared" si="5"/>
        <v>0</v>
      </c>
      <c r="V38" s="12" t="str">
        <f>IF(COUNTA(B38,C38,D38,E38,F38,G38,I38,M38,N38,O38,P38,R38)&gt;0,IF(AND(COUNT(Paramètres!$C$8:$C$12)=5,COUNT(Paramètres!$C$16:$C$25)=10,ISNUMBER($C$7),B38&lt;&gt;"",NOT(ISNA(MATCH(C38,Paramètres!$B$29:$B$34,0))),NOT(ISNA(MATCH(E38,Paramètres!$D$29:$D$30,0))),ISNUMBER(F38),F38&gt;0,F38&lt;=Paramètres!$C$22,OR(I38="",AND(ISNUMBER(I38),I38&gt;=0,I38&lt;=Paramètres!$C$21)),IF(E38=Paramètres!$D$29,AND(D38&lt;&gt;"",ISNUMBER(G38),G38&gt;0,G38&lt;=Paramètres!$C$21,ISNUMBER(M38),ISNUMBER(N38),N38&gt;M38,(N(N38)-N(M38))/365.25&lt;=Paramètres!$C$23,OR(O38="",AND(ISNUMBER(O38),O38&gt;=1,O38&lt;=Paramètres!$C$23,O38=INT(N(O38)))),OR(P38="",AND(ISNUMBER(P38),P38&gt;$C$7,P38&lt;=N38)),OR(R38="",AND(ISNUMBER(R38),R38&gt;=0,R38&lt;=Paramètres!$C$24,R38&lt;=(IF(OR(NOT(ISNUMBER(M38)),NOT(ISNUMBER(N38)),N38&lt;=M38),0,MIN(12*(IF(OR(O38="",NOT(ISNUMBER(O38))),Paramètres!$C$8,O38)),(YEAR(N38)-YEAR(M38))*12+MONTH(N38)-MONTH(M38)+1)))))),AND(D38="",OR(G38="",G38=0)))),"OK","À CORRIGER"),"")</f>
        <v/>
      </c>
      <c r="W38" s="23" t="str">
        <f>IF(NOT(COUNTA(B38,C38,D38,E38,F38,G38,I38,M38,N38,O38,P38,R38)&gt;0),"",IF(OR(COUNT(Paramètres!$C$8:$C$12)&lt;&gt;5,COUNT(Paramètres!$C$16:$C$25)&lt;&gt;10),"Un paramètre de l'onglet Paramètres est vide.",IF(NOT(ISNUMBER($C$7)),"Date d'analyse manquante.",IF(B38="","Libellé du lot manquant.",IF(ISNA(MATCH(C38,Paramètres!$B$29:$B$34,0)),"Nature hors liste.",IF(ISNA(MATCH(E38,Paramètres!$D$29:$D$30,0)),"Statut hors liste.",IF(NOT(AND(ISNUMBER(F38),F38&gt;0)),"Surface manquante ou nulle.",IF(F38&gt;Paramètres!$C$22,"Surface au-delà du garde-fou de saisie.",IF(AND(I38&lt;&gt;"",NOT(AND(ISNUMBER(I38),I38&gt;=0,I38&lt;=Paramètres!$C$21))),"Valeur locative de marché hors bornes.",IF(AND(E38=Paramètres!$D$29,D38=""),"Lot déclaré loué sans locataire.",IF(AND(E38=Paramètres!$D$29,NOT(AND(ISNUMBER(G38),G38&gt;0))),"Loyer facial manquant ou nul.",IF(AND(E38=Paramètres!$D$29,G38&gt;Paramètres!$C$21),"Loyer facial au-delà du garde-fou de saisie.",IF(AND(E38=Paramètres!$D$29,NOT(ISNUMBER(M38))),"Date de prise d'effet manquante.",IF(AND(E38=Paramètres!$D$29,NOT(ISNUMBER(N38))),"Date d'échéance manquante.",IF(AND(E38=Paramètres!$D$29,N38&lt;=M38),"Échéance antérieure ou égale à la prise d'effet.",IF(AND(E38=Paramètres!$D$29,(N(N38)-N(M38))/365.25&gt;Paramètres!$C$23),"Durée du bail au-delà du garde-fou de saisie.",IF(AND(E38=Paramètres!$D$29,O38&lt;&gt;"",NOT(AND(ISNUMBER(O38),O38&gt;=1,O38&lt;=Paramètres!$C$23,O38=INT(N(O38))))),"Périodicité de sortie hors bornes.",IF(AND(E38=Paramètres!$D$29,P38&lt;&gt;"",NOT(AND(ISNUMBER(P38),P38&gt;$C$7,P38&lt;=N38))),"Sortie forcée hors de l'intervalle admis.",IF(AND(E38=Paramètres!$D$29,R38&lt;&gt;"",NOT(AND(ISNUMBER(R38),R38&gt;=0,R38&lt;=Paramètres!$C$24,R38&lt;=(IF(OR(NOT(ISNUMBER(M38)),NOT(ISNUMBER(N38)),N38&lt;=M38),0,MIN(12*(IF(OR(O38="",NOT(ISNUMBER(O38))),Paramètres!$C$8,O38)),(YEAR(N38)-YEAR(M38))*12+MONTH(N38)-MONTH(M38)+1)))))),"Franchise hors bornes ou plus longue que la période ferme.",IF(AND(E38=Paramètres!$D$30,D38&lt;&gt;""),"Lot vacant avec un locataire renseigné.",IF(AND(E38=Paramètres!$D$30,G38&lt;&gt;"",G38&lt;&gt;0),"Lot vacant avec un loyer renseigné.",IF(AND(E38=Paramètres!$D$29,ISNUMBER(N38),ISNUMBER($C$7),N38&lt;$C$7),"Bail échu, en tacite prolongation.",IF(I38="","Valeur locative de marché non renseignée.","")))))))))))))))))))))))</f>
        <v/>
      </c>
      <c r="X38" s="17">
        <f>IF(AND(V38="OK",E38=Paramètres!$D$29),SUMIFS($H$11:$H$50,$D$11:$D$50,D38,$E$11:$E$50,Paramètres!$D$29,$V$11:$V$50,"OK"),0)</f>
        <v>0</v>
      </c>
    </row>
    <row r="39" spans="2:24" ht="15" customHeight="1" x14ac:dyDescent="0.35">
      <c r="B39" s="14"/>
      <c r="C39" s="14"/>
      <c r="D39" s="14"/>
      <c r="E39" s="14"/>
      <c r="F39" s="15"/>
      <c r="G39" s="16"/>
      <c r="H39" s="17">
        <f t="shared" si="0"/>
        <v>0</v>
      </c>
      <c r="I39" s="16"/>
      <c r="J39" s="17">
        <f t="shared" si="1"/>
        <v>0</v>
      </c>
      <c r="K39" s="17" t="str">
        <f t="shared" si="2"/>
        <v/>
      </c>
      <c r="L39" s="18" t="str">
        <f t="shared" si="3"/>
        <v/>
      </c>
      <c r="M39" s="11"/>
      <c r="N39" s="11"/>
      <c r="O39" s="19"/>
      <c r="P39" s="11"/>
      <c r="Q39" s="20" t="str">
        <f>IF(OR(NOT(ISNUMBER($C$7)),NOT(ISNUMBER(M39)),NOT(ISNUMBER(N39))),"",IF(ISNUMBER(P39),P39,IF((IF(OR(O39="",NOT(ISNUMBER(O39))),Paramètres!$C$8,O39))&lt;=0,"",MIN(EDATE(M39,(12*(IF(OR(O39="",NOT(ISNUMBER(O39))),Paramètres!$C$8,O39)))*MAX(1,INT(((YEAR($C$7+1)-YEAR(M39))*12+MONTH($C$7+1)-MONTH(M39)-(DAY($C$7+1)&lt;DAY(M39)))/(12*(IF(OR(O39="",NOT(ISNUMBER(O39))),Paramètres!$C$8,O39))))+1))-1,N39))))</f>
        <v/>
      </c>
      <c r="R39" s="21"/>
      <c r="S39" s="17">
        <f>IF(H39=0,0,IF(OR(R39="",R39=0),H39,IF(OR(NOT(ISNUMBER(R39)),(IF(OR(NOT(ISNUMBER(M39)),NOT(ISNUMBER(N39)),N39&lt;=M39),0,MIN(12*(IF(OR(O39="",NOT(ISNUMBER(O39))),Paramètres!$C$8,O39)),(YEAR(N39)-YEAR(M39))*12+MONTH(N39)-MONTH(M39)+1)))&lt;=0),0,MAX(0,H39*(1-R39/(IF(OR(NOT(ISNUMBER(M39)),NOT(ISNUMBER(N39)),N39&lt;=M39),0,MIN(12*(IF(OR(O39="",NOT(ISNUMBER(O39))),Paramètres!$C$8,O39)),(YEAR(N39)-YEAR(M39))*12+MONTH(N39)-MONTH(M39)+1))))))))</f>
        <v>0</v>
      </c>
      <c r="T39" s="22">
        <f t="shared" si="4"/>
        <v>0</v>
      </c>
      <c r="U39" s="22">
        <f t="shared" si="5"/>
        <v>0</v>
      </c>
      <c r="V39" s="12" t="str">
        <f>IF(COUNTA(B39,C39,D39,E39,F39,G39,I39,M39,N39,O39,P39,R39)&gt;0,IF(AND(COUNT(Paramètres!$C$8:$C$12)=5,COUNT(Paramètres!$C$16:$C$25)=10,ISNUMBER($C$7),B39&lt;&gt;"",NOT(ISNA(MATCH(C39,Paramètres!$B$29:$B$34,0))),NOT(ISNA(MATCH(E39,Paramètres!$D$29:$D$30,0))),ISNUMBER(F39),F39&gt;0,F39&lt;=Paramètres!$C$22,OR(I39="",AND(ISNUMBER(I39),I39&gt;=0,I39&lt;=Paramètres!$C$21)),IF(E39=Paramètres!$D$29,AND(D39&lt;&gt;"",ISNUMBER(G39),G39&gt;0,G39&lt;=Paramètres!$C$21,ISNUMBER(M39),ISNUMBER(N39),N39&gt;M39,(N(N39)-N(M39))/365.25&lt;=Paramètres!$C$23,OR(O39="",AND(ISNUMBER(O39),O39&gt;=1,O39&lt;=Paramètres!$C$23,O39=INT(N(O39)))),OR(P39="",AND(ISNUMBER(P39),P39&gt;$C$7,P39&lt;=N39)),OR(R39="",AND(ISNUMBER(R39),R39&gt;=0,R39&lt;=Paramètres!$C$24,R39&lt;=(IF(OR(NOT(ISNUMBER(M39)),NOT(ISNUMBER(N39)),N39&lt;=M39),0,MIN(12*(IF(OR(O39="",NOT(ISNUMBER(O39))),Paramètres!$C$8,O39)),(YEAR(N39)-YEAR(M39))*12+MONTH(N39)-MONTH(M39)+1)))))),AND(D39="",OR(G39="",G39=0)))),"OK","À CORRIGER"),"")</f>
        <v/>
      </c>
      <c r="W39" s="23" t="str">
        <f>IF(NOT(COUNTA(B39,C39,D39,E39,F39,G39,I39,M39,N39,O39,P39,R39)&gt;0),"",IF(OR(COUNT(Paramètres!$C$8:$C$12)&lt;&gt;5,COUNT(Paramètres!$C$16:$C$25)&lt;&gt;10),"Un paramètre de l'onglet Paramètres est vide.",IF(NOT(ISNUMBER($C$7)),"Date d'analyse manquante.",IF(B39="","Libellé du lot manquant.",IF(ISNA(MATCH(C39,Paramètres!$B$29:$B$34,0)),"Nature hors liste.",IF(ISNA(MATCH(E39,Paramètres!$D$29:$D$30,0)),"Statut hors liste.",IF(NOT(AND(ISNUMBER(F39),F39&gt;0)),"Surface manquante ou nulle.",IF(F39&gt;Paramètres!$C$22,"Surface au-delà du garde-fou de saisie.",IF(AND(I39&lt;&gt;"",NOT(AND(ISNUMBER(I39),I39&gt;=0,I39&lt;=Paramètres!$C$21))),"Valeur locative de marché hors bornes.",IF(AND(E39=Paramètres!$D$29,D39=""),"Lot déclaré loué sans locataire.",IF(AND(E39=Paramètres!$D$29,NOT(AND(ISNUMBER(G39),G39&gt;0))),"Loyer facial manquant ou nul.",IF(AND(E39=Paramètres!$D$29,G39&gt;Paramètres!$C$21),"Loyer facial au-delà du garde-fou de saisie.",IF(AND(E39=Paramètres!$D$29,NOT(ISNUMBER(M39))),"Date de prise d'effet manquante.",IF(AND(E39=Paramètres!$D$29,NOT(ISNUMBER(N39))),"Date d'échéance manquante.",IF(AND(E39=Paramètres!$D$29,N39&lt;=M39),"Échéance antérieure ou égale à la prise d'effet.",IF(AND(E39=Paramètres!$D$29,(N(N39)-N(M39))/365.25&gt;Paramètres!$C$23),"Durée du bail au-delà du garde-fou de saisie.",IF(AND(E39=Paramètres!$D$29,O39&lt;&gt;"",NOT(AND(ISNUMBER(O39),O39&gt;=1,O39&lt;=Paramètres!$C$23,O39=INT(N(O39))))),"Périodicité de sortie hors bornes.",IF(AND(E39=Paramètres!$D$29,P39&lt;&gt;"",NOT(AND(ISNUMBER(P39),P39&gt;$C$7,P39&lt;=N39))),"Sortie forcée hors de l'intervalle admis.",IF(AND(E39=Paramètres!$D$29,R39&lt;&gt;"",NOT(AND(ISNUMBER(R39),R39&gt;=0,R39&lt;=Paramètres!$C$24,R39&lt;=(IF(OR(NOT(ISNUMBER(M39)),NOT(ISNUMBER(N39)),N39&lt;=M39),0,MIN(12*(IF(OR(O39="",NOT(ISNUMBER(O39))),Paramètres!$C$8,O39)),(YEAR(N39)-YEAR(M39))*12+MONTH(N39)-MONTH(M39)+1)))))),"Franchise hors bornes ou plus longue que la période ferme.",IF(AND(E39=Paramètres!$D$30,D39&lt;&gt;""),"Lot vacant avec un locataire renseigné.",IF(AND(E39=Paramètres!$D$30,G39&lt;&gt;"",G39&lt;&gt;0),"Lot vacant avec un loyer renseigné.",IF(AND(E39=Paramètres!$D$29,ISNUMBER(N39),ISNUMBER($C$7),N39&lt;$C$7),"Bail échu, en tacite prolongation.",IF(I39="","Valeur locative de marché non renseignée.","")))))))))))))))))))))))</f>
        <v/>
      </c>
      <c r="X39" s="17">
        <f>IF(AND(V39="OK",E39=Paramètres!$D$29),SUMIFS($H$11:$H$50,$D$11:$D$50,D39,$E$11:$E$50,Paramètres!$D$29,$V$11:$V$50,"OK"),0)</f>
        <v>0</v>
      </c>
    </row>
    <row r="40" spans="2:24" ht="15" customHeight="1" x14ac:dyDescent="0.35">
      <c r="B40" s="14"/>
      <c r="C40" s="14"/>
      <c r="D40" s="14"/>
      <c r="E40" s="14"/>
      <c r="F40" s="15"/>
      <c r="G40" s="16"/>
      <c r="H40" s="17">
        <f t="shared" si="0"/>
        <v>0</v>
      </c>
      <c r="I40" s="16"/>
      <c r="J40" s="17">
        <f t="shared" si="1"/>
        <v>0</v>
      </c>
      <c r="K40" s="17" t="str">
        <f t="shared" si="2"/>
        <v/>
      </c>
      <c r="L40" s="18" t="str">
        <f t="shared" si="3"/>
        <v/>
      </c>
      <c r="M40" s="11"/>
      <c r="N40" s="11"/>
      <c r="O40" s="19"/>
      <c r="P40" s="11"/>
      <c r="Q40" s="20" t="str">
        <f>IF(OR(NOT(ISNUMBER($C$7)),NOT(ISNUMBER(M40)),NOT(ISNUMBER(N40))),"",IF(ISNUMBER(P40),P40,IF((IF(OR(O40="",NOT(ISNUMBER(O40))),Paramètres!$C$8,O40))&lt;=0,"",MIN(EDATE(M40,(12*(IF(OR(O40="",NOT(ISNUMBER(O40))),Paramètres!$C$8,O40)))*MAX(1,INT(((YEAR($C$7+1)-YEAR(M40))*12+MONTH($C$7+1)-MONTH(M40)-(DAY($C$7+1)&lt;DAY(M40)))/(12*(IF(OR(O40="",NOT(ISNUMBER(O40))),Paramètres!$C$8,O40))))+1))-1,N40))))</f>
        <v/>
      </c>
      <c r="R40" s="21"/>
      <c r="S40" s="17">
        <f>IF(H40=0,0,IF(OR(R40="",R40=0),H40,IF(OR(NOT(ISNUMBER(R40)),(IF(OR(NOT(ISNUMBER(M40)),NOT(ISNUMBER(N40)),N40&lt;=M40),0,MIN(12*(IF(OR(O40="",NOT(ISNUMBER(O40))),Paramètres!$C$8,O40)),(YEAR(N40)-YEAR(M40))*12+MONTH(N40)-MONTH(M40)+1)))&lt;=0),0,MAX(0,H40*(1-R40/(IF(OR(NOT(ISNUMBER(M40)),NOT(ISNUMBER(N40)),N40&lt;=M40),0,MIN(12*(IF(OR(O40="",NOT(ISNUMBER(O40))),Paramètres!$C$8,O40)),(YEAR(N40)-YEAR(M40))*12+MONTH(N40)-MONTH(M40)+1))))))))</f>
        <v>0</v>
      </c>
      <c r="T40" s="22">
        <f t="shared" si="4"/>
        <v>0</v>
      </c>
      <c r="U40" s="22">
        <f t="shared" si="5"/>
        <v>0</v>
      </c>
      <c r="V40" s="12" t="str">
        <f>IF(COUNTA(B40,C40,D40,E40,F40,G40,I40,M40,N40,O40,P40,R40)&gt;0,IF(AND(COUNT(Paramètres!$C$8:$C$12)=5,COUNT(Paramètres!$C$16:$C$25)=10,ISNUMBER($C$7),B40&lt;&gt;"",NOT(ISNA(MATCH(C40,Paramètres!$B$29:$B$34,0))),NOT(ISNA(MATCH(E40,Paramètres!$D$29:$D$30,0))),ISNUMBER(F40),F40&gt;0,F40&lt;=Paramètres!$C$22,OR(I40="",AND(ISNUMBER(I40),I40&gt;=0,I40&lt;=Paramètres!$C$21)),IF(E40=Paramètres!$D$29,AND(D40&lt;&gt;"",ISNUMBER(G40),G40&gt;0,G40&lt;=Paramètres!$C$21,ISNUMBER(M40),ISNUMBER(N40),N40&gt;M40,(N(N40)-N(M40))/365.25&lt;=Paramètres!$C$23,OR(O40="",AND(ISNUMBER(O40),O40&gt;=1,O40&lt;=Paramètres!$C$23,O40=INT(N(O40)))),OR(P40="",AND(ISNUMBER(P40),P40&gt;$C$7,P40&lt;=N40)),OR(R40="",AND(ISNUMBER(R40),R40&gt;=0,R40&lt;=Paramètres!$C$24,R40&lt;=(IF(OR(NOT(ISNUMBER(M40)),NOT(ISNUMBER(N40)),N40&lt;=M40),0,MIN(12*(IF(OR(O40="",NOT(ISNUMBER(O40))),Paramètres!$C$8,O40)),(YEAR(N40)-YEAR(M40))*12+MONTH(N40)-MONTH(M40)+1)))))),AND(D40="",OR(G40="",G40=0)))),"OK","À CORRIGER"),"")</f>
        <v/>
      </c>
      <c r="W40" s="23" t="str">
        <f>IF(NOT(COUNTA(B40,C40,D40,E40,F40,G40,I40,M40,N40,O40,P40,R40)&gt;0),"",IF(OR(COUNT(Paramètres!$C$8:$C$12)&lt;&gt;5,COUNT(Paramètres!$C$16:$C$25)&lt;&gt;10),"Un paramètre de l'onglet Paramètres est vide.",IF(NOT(ISNUMBER($C$7)),"Date d'analyse manquante.",IF(B40="","Libellé du lot manquant.",IF(ISNA(MATCH(C40,Paramètres!$B$29:$B$34,0)),"Nature hors liste.",IF(ISNA(MATCH(E40,Paramètres!$D$29:$D$30,0)),"Statut hors liste.",IF(NOT(AND(ISNUMBER(F40),F40&gt;0)),"Surface manquante ou nulle.",IF(F40&gt;Paramètres!$C$22,"Surface au-delà du garde-fou de saisie.",IF(AND(I40&lt;&gt;"",NOT(AND(ISNUMBER(I40),I40&gt;=0,I40&lt;=Paramètres!$C$21))),"Valeur locative de marché hors bornes.",IF(AND(E40=Paramètres!$D$29,D40=""),"Lot déclaré loué sans locataire.",IF(AND(E40=Paramètres!$D$29,NOT(AND(ISNUMBER(G40),G40&gt;0))),"Loyer facial manquant ou nul.",IF(AND(E40=Paramètres!$D$29,G40&gt;Paramètres!$C$21),"Loyer facial au-delà du garde-fou de saisie.",IF(AND(E40=Paramètres!$D$29,NOT(ISNUMBER(M40))),"Date de prise d'effet manquante.",IF(AND(E40=Paramètres!$D$29,NOT(ISNUMBER(N40))),"Date d'échéance manquante.",IF(AND(E40=Paramètres!$D$29,N40&lt;=M40),"Échéance antérieure ou égale à la prise d'effet.",IF(AND(E40=Paramètres!$D$29,(N(N40)-N(M40))/365.25&gt;Paramètres!$C$23),"Durée du bail au-delà du garde-fou de saisie.",IF(AND(E40=Paramètres!$D$29,O40&lt;&gt;"",NOT(AND(ISNUMBER(O40),O40&gt;=1,O40&lt;=Paramètres!$C$23,O40=INT(N(O40))))),"Périodicité de sortie hors bornes.",IF(AND(E40=Paramètres!$D$29,P40&lt;&gt;"",NOT(AND(ISNUMBER(P40),P40&gt;$C$7,P40&lt;=N40))),"Sortie forcée hors de l'intervalle admis.",IF(AND(E40=Paramètres!$D$29,R40&lt;&gt;"",NOT(AND(ISNUMBER(R40),R40&gt;=0,R40&lt;=Paramètres!$C$24,R40&lt;=(IF(OR(NOT(ISNUMBER(M40)),NOT(ISNUMBER(N40)),N40&lt;=M40),0,MIN(12*(IF(OR(O40="",NOT(ISNUMBER(O40))),Paramètres!$C$8,O40)),(YEAR(N40)-YEAR(M40))*12+MONTH(N40)-MONTH(M40)+1)))))),"Franchise hors bornes ou plus longue que la période ferme.",IF(AND(E40=Paramètres!$D$30,D40&lt;&gt;""),"Lot vacant avec un locataire renseigné.",IF(AND(E40=Paramètres!$D$30,G40&lt;&gt;"",G40&lt;&gt;0),"Lot vacant avec un loyer renseigné.",IF(AND(E40=Paramètres!$D$29,ISNUMBER(N40),ISNUMBER($C$7),N40&lt;$C$7),"Bail échu, en tacite prolongation.",IF(I40="","Valeur locative de marché non renseignée.","")))))))))))))))))))))))</f>
        <v/>
      </c>
      <c r="X40" s="17">
        <f>IF(AND(V40="OK",E40=Paramètres!$D$29),SUMIFS($H$11:$H$50,$D$11:$D$50,D40,$E$11:$E$50,Paramètres!$D$29,$V$11:$V$50,"OK"),0)</f>
        <v>0</v>
      </c>
    </row>
    <row r="41" spans="2:24" ht="15" customHeight="1" x14ac:dyDescent="0.35">
      <c r="B41" s="14"/>
      <c r="C41" s="14"/>
      <c r="D41" s="14"/>
      <c r="E41" s="14"/>
      <c r="F41" s="15"/>
      <c r="G41" s="16"/>
      <c r="H41" s="17">
        <f t="shared" si="0"/>
        <v>0</v>
      </c>
      <c r="I41" s="16"/>
      <c r="J41" s="17">
        <f t="shared" si="1"/>
        <v>0</v>
      </c>
      <c r="K41" s="17" t="str">
        <f t="shared" si="2"/>
        <v/>
      </c>
      <c r="L41" s="18" t="str">
        <f t="shared" si="3"/>
        <v/>
      </c>
      <c r="M41" s="11"/>
      <c r="N41" s="11"/>
      <c r="O41" s="19"/>
      <c r="P41" s="11"/>
      <c r="Q41" s="20" t="str">
        <f>IF(OR(NOT(ISNUMBER($C$7)),NOT(ISNUMBER(M41)),NOT(ISNUMBER(N41))),"",IF(ISNUMBER(P41),P41,IF((IF(OR(O41="",NOT(ISNUMBER(O41))),Paramètres!$C$8,O41))&lt;=0,"",MIN(EDATE(M41,(12*(IF(OR(O41="",NOT(ISNUMBER(O41))),Paramètres!$C$8,O41)))*MAX(1,INT(((YEAR($C$7+1)-YEAR(M41))*12+MONTH($C$7+1)-MONTH(M41)-(DAY($C$7+1)&lt;DAY(M41)))/(12*(IF(OR(O41="",NOT(ISNUMBER(O41))),Paramètres!$C$8,O41))))+1))-1,N41))))</f>
        <v/>
      </c>
      <c r="R41" s="21"/>
      <c r="S41" s="17">
        <f>IF(H41=0,0,IF(OR(R41="",R41=0),H41,IF(OR(NOT(ISNUMBER(R41)),(IF(OR(NOT(ISNUMBER(M41)),NOT(ISNUMBER(N41)),N41&lt;=M41),0,MIN(12*(IF(OR(O41="",NOT(ISNUMBER(O41))),Paramètres!$C$8,O41)),(YEAR(N41)-YEAR(M41))*12+MONTH(N41)-MONTH(M41)+1)))&lt;=0),0,MAX(0,H41*(1-R41/(IF(OR(NOT(ISNUMBER(M41)),NOT(ISNUMBER(N41)),N41&lt;=M41),0,MIN(12*(IF(OR(O41="",NOT(ISNUMBER(O41))),Paramètres!$C$8,O41)),(YEAR(N41)-YEAR(M41))*12+MONTH(N41)-MONTH(M41)+1))))))))</f>
        <v>0</v>
      </c>
      <c r="T41" s="22">
        <f t="shared" si="4"/>
        <v>0</v>
      </c>
      <c r="U41" s="22">
        <f t="shared" si="5"/>
        <v>0</v>
      </c>
      <c r="V41" s="12" t="str">
        <f>IF(COUNTA(B41,C41,D41,E41,F41,G41,I41,M41,N41,O41,P41,R41)&gt;0,IF(AND(COUNT(Paramètres!$C$8:$C$12)=5,COUNT(Paramètres!$C$16:$C$25)=10,ISNUMBER($C$7),B41&lt;&gt;"",NOT(ISNA(MATCH(C41,Paramètres!$B$29:$B$34,0))),NOT(ISNA(MATCH(E41,Paramètres!$D$29:$D$30,0))),ISNUMBER(F41),F41&gt;0,F41&lt;=Paramètres!$C$22,OR(I41="",AND(ISNUMBER(I41),I41&gt;=0,I41&lt;=Paramètres!$C$21)),IF(E41=Paramètres!$D$29,AND(D41&lt;&gt;"",ISNUMBER(G41),G41&gt;0,G41&lt;=Paramètres!$C$21,ISNUMBER(M41),ISNUMBER(N41),N41&gt;M41,(N(N41)-N(M41))/365.25&lt;=Paramètres!$C$23,OR(O41="",AND(ISNUMBER(O41),O41&gt;=1,O41&lt;=Paramètres!$C$23,O41=INT(N(O41)))),OR(P41="",AND(ISNUMBER(P41),P41&gt;$C$7,P41&lt;=N41)),OR(R41="",AND(ISNUMBER(R41),R41&gt;=0,R41&lt;=Paramètres!$C$24,R41&lt;=(IF(OR(NOT(ISNUMBER(M41)),NOT(ISNUMBER(N41)),N41&lt;=M41),0,MIN(12*(IF(OR(O41="",NOT(ISNUMBER(O41))),Paramètres!$C$8,O41)),(YEAR(N41)-YEAR(M41))*12+MONTH(N41)-MONTH(M41)+1)))))),AND(D41="",OR(G41="",G41=0)))),"OK","À CORRIGER"),"")</f>
        <v/>
      </c>
      <c r="W41" s="23" t="str">
        <f>IF(NOT(COUNTA(B41,C41,D41,E41,F41,G41,I41,M41,N41,O41,P41,R41)&gt;0),"",IF(OR(COUNT(Paramètres!$C$8:$C$12)&lt;&gt;5,COUNT(Paramètres!$C$16:$C$25)&lt;&gt;10),"Un paramètre de l'onglet Paramètres est vide.",IF(NOT(ISNUMBER($C$7)),"Date d'analyse manquante.",IF(B41="","Libellé du lot manquant.",IF(ISNA(MATCH(C41,Paramètres!$B$29:$B$34,0)),"Nature hors liste.",IF(ISNA(MATCH(E41,Paramètres!$D$29:$D$30,0)),"Statut hors liste.",IF(NOT(AND(ISNUMBER(F41),F41&gt;0)),"Surface manquante ou nulle.",IF(F41&gt;Paramètres!$C$22,"Surface au-delà du garde-fou de saisie.",IF(AND(I41&lt;&gt;"",NOT(AND(ISNUMBER(I41),I41&gt;=0,I41&lt;=Paramètres!$C$21))),"Valeur locative de marché hors bornes.",IF(AND(E41=Paramètres!$D$29,D41=""),"Lot déclaré loué sans locataire.",IF(AND(E41=Paramètres!$D$29,NOT(AND(ISNUMBER(G41),G41&gt;0))),"Loyer facial manquant ou nul.",IF(AND(E41=Paramètres!$D$29,G41&gt;Paramètres!$C$21),"Loyer facial au-delà du garde-fou de saisie.",IF(AND(E41=Paramètres!$D$29,NOT(ISNUMBER(M41))),"Date de prise d'effet manquante.",IF(AND(E41=Paramètres!$D$29,NOT(ISNUMBER(N41))),"Date d'échéance manquante.",IF(AND(E41=Paramètres!$D$29,N41&lt;=M41),"Échéance antérieure ou égale à la prise d'effet.",IF(AND(E41=Paramètres!$D$29,(N(N41)-N(M41))/365.25&gt;Paramètres!$C$23),"Durée du bail au-delà du garde-fou de saisie.",IF(AND(E41=Paramètres!$D$29,O41&lt;&gt;"",NOT(AND(ISNUMBER(O41),O41&gt;=1,O41&lt;=Paramètres!$C$23,O41=INT(N(O41))))),"Périodicité de sortie hors bornes.",IF(AND(E41=Paramètres!$D$29,P41&lt;&gt;"",NOT(AND(ISNUMBER(P41),P41&gt;$C$7,P41&lt;=N41))),"Sortie forcée hors de l'intervalle admis.",IF(AND(E41=Paramètres!$D$29,R41&lt;&gt;"",NOT(AND(ISNUMBER(R41),R41&gt;=0,R41&lt;=Paramètres!$C$24,R41&lt;=(IF(OR(NOT(ISNUMBER(M41)),NOT(ISNUMBER(N41)),N41&lt;=M41),0,MIN(12*(IF(OR(O41="",NOT(ISNUMBER(O41))),Paramètres!$C$8,O41)),(YEAR(N41)-YEAR(M41))*12+MONTH(N41)-MONTH(M41)+1)))))),"Franchise hors bornes ou plus longue que la période ferme.",IF(AND(E41=Paramètres!$D$30,D41&lt;&gt;""),"Lot vacant avec un locataire renseigné.",IF(AND(E41=Paramètres!$D$30,G41&lt;&gt;"",G41&lt;&gt;0),"Lot vacant avec un loyer renseigné.",IF(AND(E41=Paramètres!$D$29,ISNUMBER(N41),ISNUMBER($C$7),N41&lt;$C$7),"Bail échu, en tacite prolongation.",IF(I41="","Valeur locative de marché non renseignée.","")))))))))))))))))))))))</f>
        <v/>
      </c>
      <c r="X41" s="17">
        <f>IF(AND(V41="OK",E41=Paramètres!$D$29),SUMIFS($H$11:$H$50,$D$11:$D$50,D41,$E$11:$E$50,Paramètres!$D$29,$V$11:$V$50,"OK"),0)</f>
        <v>0</v>
      </c>
    </row>
    <row r="42" spans="2:24" ht="15" customHeight="1" x14ac:dyDescent="0.35">
      <c r="B42" s="14"/>
      <c r="C42" s="14"/>
      <c r="D42" s="14"/>
      <c r="E42" s="14"/>
      <c r="F42" s="15"/>
      <c r="G42" s="16"/>
      <c r="H42" s="17">
        <f t="shared" si="0"/>
        <v>0</v>
      </c>
      <c r="I42" s="16"/>
      <c r="J42" s="17">
        <f t="shared" si="1"/>
        <v>0</v>
      </c>
      <c r="K42" s="17" t="str">
        <f t="shared" si="2"/>
        <v/>
      </c>
      <c r="L42" s="18" t="str">
        <f t="shared" si="3"/>
        <v/>
      </c>
      <c r="M42" s="11"/>
      <c r="N42" s="11"/>
      <c r="O42" s="19"/>
      <c r="P42" s="11"/>
      <c r="Q42" s="20" t="str">
        <f>IF(OR(NOT(ISNUMBER($C$7)),NOT(ISNUMBER(M42)),NOT(ISNUMBER(N42))),"",IF(ISNUMBER(P42),P42,IF((IF(OR(O42="",NOT(ISNUMBER(O42))),Paramètres!$C$8,O42))&lt;=0,"",MIN(EDATE(M42,(12*(IF(OR(O42="",NOT(ISNUMBER(O42))),Paramètres!$C$8,O42)))*MAX(1,INT(((YEAR($C$7+1)-YEAR(M42))*12+MONTH($C$7+1)-MONTH(M42)-(DAY($C$7+1)&lt;DAY(M42)))/(12*(IF(OR(O42="",NOT(ISNUMBER(O42))),Paramètres!$C$8,O42))))+1))-1,N42))))</f>
        <v/>
      </c>
      <c r="R42" s="21"/>
      <c r="S42" s="17">
        <f>IF(H42=0,0,IF(OR(R42="",R42=0),H42,IF(OR(NOT(ISNUMBER(R42)),(IF(OR(NOT(ISNUMBER(M42)),NOT(ISNUMBER(N42)),N42&lt;=M42),0,MIN(12*(IF(OR(O42="",NOT(ISNUMBER(O42))),Paramètres!$C$8,O42)),(YEAR(N42)-YEAR(M42))*12+MONTH(N42)-MONTH(M42)+1)))&lt;=0),0,MAX(0,H42*(1-R42/(IF(OR(NOT(ISNUMBER(M42)),NOT(ISNUMBER(N42)),N42&lt;=M42),0,MIN(12*(IF(OR(O42="",NOT(ISNUMBER(O42))),Paramètres!$C$8,O42)),(YEAR(N42)-YEAR(M42))*12+MONTH(N42)-MONTH(M42)+1))))))))</f>
        <v>0</v>
      </c>
      <c r="T42" s="22">
        <f t="shared" si="4"/>
        <v>0</v>
      </c>
      <c r="U42" s="22">
        <f t="shared" si="5"/>
        <v>0</v>
      </c>
      <c r="V42" s="12" t="str">
        <f>IF(COUNTA(B42,C42,D42,E42,F42,G42,I42,M42,N42,O42,P42,R42)&gt;0,IF(AND(COUNT(Paramètres!$C$8:$C$12)=5,COUNT(Paramètres!$C$16:$C$25)=10,ISNUMBER($C$7),B42&lt;&gt;"",NOT(ISNA(MATCH(C42,Paramètres!$B$29:$B$34,0))),NOT(ISNA(MATCH(E42,Paramètres!$D$29:$D$30,0))),ISNUMBER(F42),F42&gt;0,F42&lt;=Paramètres!$C$22,OR(I42="",AND(ISNUMBER(I42),I42&gt;=0,I42&lt;=Paramètres!$C$21)),IF(E42=Paramètres!$D$29,AND(D42&lt;&gt;"",ISNUMBER(G42),G42&gt;0,G42&lt;=Paramètres!$C$21,ISNUMBER(M42),ISNUMBER(N42),N42&gt;M42,(N(N42)-N(M42))/365.25&lt;=Paramètres!$C$23,OR(O42="",AND(ISNUMBER(O42),O42&gt;=1,O42&lt;=Paramètres!$C$23,O42=INT(N(O42)))),OR(P42="",AND(ISNUMBER(P42),P42&gt;$C$7,P42&lt;=N42)),OR(R42="",AND(ISNUMBER(R42),R42&gt;=0,R42&lt;=Paramètres!$C$24,R42&lt;=(IF(OR(NOT(ISNUMBER(M42)),NOT(ISNUMBER(N42)),N42&lt;=M42),0,MIN(12*(IF(OR(O42="",NOT(ISNUMBER(O42))),Paramètres!$C$8,O42)),(YEAR(N42)-YEAR(M42))*12+MONTH(N42)-MONTH(M42)+1)))))),AND(D42="",OR(G42="",G42=0)))),"OK","À CORRIGER"),"")</f>
        <v/>
      </c>
      <c r="W42" s="23" t="str">
        <f>IF(NOT(COUNTA(B42,C42,D42,E42,F42,G42,I42,M42,N42,O42,P42,R42)&gt;0),"",IF(OR(COUNT(Paramètres!$C$8:$C$12)&lt;&gt;5,COUNT(Paramètres!$C$16:$C$25)&lt;&gt;10),"Un paramètre de l'onglet Paramètres est vide.",IF(NOT(ISNUMBER($C$7)),"Date d'analyse manquante.",IF(B42="","Libellé du lot manquant.",IF(ISNA(MATCH(C42,Paramètres!$B$29:$B$34,0)),"Nature hors liste.",IF(ISNA(MATCH(E42,Paramètres!$D$29:$D$30,0)),"Statut hors liste.",IF(NOT(AND(ISNUMBER(F42),F42&gt;0)),"Surface manquante ou nulle.",IF(F42&gt;Paramètres!$C$22,"Surface au-delà du garde-fou de saisie.",IF(AND(I42&lt;&gt;"",NOT(AND(ISNUMBER(I42),I42&gt;=0,I42&lt;=Paramètres!$C$21))),"Valeur locative de marché hors bornes.",IF(AND(E42=Paramètres!$D$29,D42=""),"Lot déclaré loué sans locataire.",IF(AND(E42=Paramètres!$D$29,NOT(AND(ISNUMBER(G42),G42&gt;0))),"Loyer facial manquant ou nul.",IF(AND(E42=Paramètres!$D$29,G42&gt;Paramètres!$C$21),"Loyer facial au-delà du garde-fou de saisie.",IF(AND(E42=Paramètres!$D$29,NOT(ISNUMBER(M42))),"Date de prise d'effet manquante.",IF(AND(E42=Paramètres!$D$29,NOT(ISNUMBER(N42))),"Date d'échéance manquante.",IF(AND(E42=Paramètres!$D$29,N42&lt;=M42),"Échéance antérieure ou égale à la prise d'effet.",IF(AND(E42=Paramètres!$D$29,(N(N42)-N(M42))/365.25&gt;Paramètres!$C$23),"Durée du bail au-delà du garde-fou de saisie.",IF(AND(E42=Paramètres!$D$29,O42&lt;&gt;"",NOT(AND(ISNUMBER(O42),O42&gt;=1,O42&lt;=Paramètres!$C$23,O42=INT(N(O42))))),"Périodicité de sortie hors bornes.",IF(AND(E42=Paramètres!$D$29,P42&lt;&gt;"",NOT(AND(ISNUMBER(P42),P42&gt;$C$7,P42&lt;=N42))),"Sortie forcée hors de l'intervalle admis.",IF(AND(E42=Paramètres!$D$29,R42&lt;&gt;"",NOT(AND(ISNUMBER(R42),R42&gt;=0,R42&lt;=Paramètres!$C$24,R42&lt;=(IF(OR(NOT(ISNUMBER(M42)),NOT(ISNUMBER(N42)),N42&lt;=M42),0,MIN(12*(IF(OR(O42="",NOT(ISNUMBER(O42))),Paramètres!$C$8,O42)),(YEAR(N42)-YEAR(M42))*12+MONTH(N42)-MONTH(M42)+1)))))),"Franchise hors bornes ou plus longue que la période ferme.",IF(AND(E42=Paramètres!$D$30,D42&lt;&gt;""),"Lot vacant avec un locataire renseigné.",IF(AND(E42=Paramètres!$D$30,G42&lt;&gt;"",G42&lt;&gt;0),"Lot vacant avec un loyer renseigné.",IF(AND(E42=Paramètres!$D$29,ISNUMBER(N42),ISNUMBER($C$7),N42&lt;$C$7),"Bail échu, en tacite prolongation.",IF(I42="","Valeur locative de marché non renseignée.","")))))))))))))))))))))))</f>
        <v/>
      </c>
      <c r="X42" s="17">
        <f>IF(AND(V42="OK",E42=Paramètres!$D$29),SUMIFS($H$11:$H$50,$D$11:$D$50,D42,$E$11:$E$50,Paramètres!$D$29,$V$11:$V$50,"OK"),0)</f>
        <v>0</v>
      </c>
    </row>
    <row r="43" spans="2:24" ht="15" customHeight="1" x14ac:dyDescent="0.35">
      <c r="B43" s="14"/>
      <c r="C43" s="14"/>
      <c r="D43" s="14"/>
      <c r="E43" s="14"/>
      <c r="F43" s="15"/>
      <c r="G43" s="16"/>
      <c r="H43" s="17">
        <f t="shared" si="0"/>
        <v>0</v>
      </c>
      <c r="I43" s="16"/>
      <c r="J43" s="17">
        <f t="shared" si="1"/>
        <v>0</v>
      </c>
      <c r="K43" s="17" t="str">
        <f t="shared" si="2"/>
        <v/>
      </c>
      <c r="L43" s="18" t="str">
        <f t="shared" si="3"/>
        <v/>
      </c>
      <c r="M43" s="11"/>
      <c r="N43" s="11"/>
      <c r="O43" s="19"/>
      <c r="P43" s="11"/>
      <c r="Q43" s="20" t="str">
        <f>IF(OR(NOT(ISNUMBER($C$7)),NOT(ISNUMBER(M43)),NOT(ISNUMBER(N43))),"",IF(ISNUMBER(P43),P43,IF((IF(OR(O43="",NOT(ISNUMBER(O43))),Paramètres!$C$8,O43))&lt;=0,"",MIN(EDATE(M43,(12*(IF(OR(O43="",NOT(ISNUMBER(O43))),Paramètres!$C$8,O43)))*MAX(1,INT(((YEAR($C$7+1)-YEAR(M43))*12+MONTH($C$7+1)-MONTH(M43)-(DAY($C$7+1)&lt;DAY(M43)))/(12*(IF(OR(O43="",NOT(ISNUMBER(O43))),Paramètres!$C$8,O43))))+1))-1,N43))))</f>
        <v/>
      </c>
      <c r="R43" s="21"/>
      <c r="S43" s="17">
        <f>IF(H43=0,0,IF(OR(R43="",R43=0),H43,IF(OR(NOT(ISNUMBER(R43)),(IF(OR(NOT(ISNUMBER(M43)),NOT(ISNUMBER(N43)),N43&lt;=M43),0,MIN(12*(IF(OR(O43="",NOT(ISNUMBER(O43))),Paramètres!$C$8,O43)),(YEAR(N43)-YEAR(M43))*12+MONTH(N43)-MONTH(M43)+1)))&lt;=0),0,MAX(0,H43*(1-R43/(IF(OR(NOT(ISNUMBER(M43)),NOT(ISNUMBER(N43)),N43&lt;=M43),0,MIN(12*(IF(OR(O43="",NOT(ISNUMBER(O43))),Paramètres!$C$8,O43)),(YEAR(N43)-YEAR(M43))*12+MONTH(N43)-MONTH(M43)+1))))))))</f>
        <v>0</v>
      </c>
      <c r="T43" s="22">
        <f t="shared" si="4"/>
        <v>0</v>
      </c>
      <c r="U43" s="22">
        <f t="shared" si="5"/>
        <v>0</v>
      </c>
      <c r="V43" s="12" t="str">
        <f>IF(COUNTA(B43,C43,D43,E43,F43,G43,I43,M43,N43,O43,P43,R43)&gt;0,IF(AND(COUNT(Paramètres!$C$8:$C$12)=5,COUNT(Paramètres!$C$16:$C$25)=10,ISNUMBER($C$7),B43&lt;&gt;"",NOT(ISNA(MATCH(C43,Paramètres!$B$29:$B$34,0))),NOT(ISNA(MATCH(E43,Paramètres!$D$29:$D$30,0))),ISNUMBER(F43),F43&gt;0,F43&lt;=Paramètres!$C$22,OR(I43="",AND(ISNUMBER(I43),I43&gt;=0,I43&lt;=Paramètres!$C$21)),IF(E43=Paramètres!$D$29,AND(D43&lt;&gt;"",ISNUMBER(G43),G43&gt;0,G43&lt;=Paramètres!$C$21,ISNUMBER(M43),ISNUMBER(N43),N43&gt;M43,(N(N43)-N(M43))/365.25&lt;=Paramètres!$C$23,OR(O43="",AND(ISNUMBER(O43),O43&gt;=1,O43&lt;=Paramètres!$C$23,O43=INT(N(O43)))),OR(P43="",AND(ISNUMBER(P43),P43&gt;$C$7,P43&lt;=N43)),OR(R43="",AND(ISNUMBER(R43),R43&gt;=0,R43&lt;=Paramètres!$C$24,R43&lt;=(IF(OR(NOT(ISNUMBER(M43)),NOT(ISNUMBER(N43)),N43&lt;=M43),0,MIN(12*(IF(OR(O43="",NOT(ISNUMBER(O43))),Paramètres!$C$8,O43)),(YEAR(N43)-YEAR(M43))*12+MONTH(N43)-MONTH(M43)+1)))))),AND(D43="",OR(G43="",G43=0)))),"OK","À CORRIGER"),"")</f>
        <v/>
      </c>
      <c r="W43" s="23" t="str">
        <f>IF(NOT(COUNTA(B43,C43,D43,E43,F43,G43,I43,M43,N43,O43,P43,R43)&gt;0),"",IF(OR(COUNT(Paramètres!$C$8:$C$12)&lt;&gt;5,COUNT(Paramètres!$C$16:$C$25)&lt;&gt;10),"Un paramètre de l'onglet Paramètres est vide.",IF(NOT(ISNUMBER($C$7)),"Date d'analyse manquante.",IF(B43="","Libellé du lot manquant.",IF(ISNA(MATCH(C43,Paramètres!$B$29:$B$34,0)),"Nature hors liste.",IF(ISNA(MATCH(E43,Paramètres!$D$29:$D$30,0)),"Statut hors liste.",IF(NOT(AND(ISNUMBER(F43),F43&gt;0)),"Surface manquante ou nulle.",IF(F43&gt;Paramètres!$C$22,"Surface au-delà du garde-fou de saisie.",IF(AND(I43&lt;&gt;"",NOT(AND(ISNUMBER(I43),I43&gt;=0,I43&lt;=Paramètres!$C$21))),"Valeur locative de marché hors bornes.",IF(AND(E43=Paramètres!$D$29,D43=""),"Lot déclaré loué sans locataire.",IF(AND(E43=Paramètres!$D$29,NOT(AND(ISNUMBER(G43),G43&gt;0))),"Loyer facial manquant ou nul.",IF(AND(E43=Paramètres!$D$29,G43&gt;Paramètres!$C$21),"Loyer facial au-delà du garde-fou de saisie.",IF(AND(E43=Paramètres!$D$29,NOT(ISNUMBER(M43))),"Date de prise d'effet manquante.",IF(AND(E43=Paramètres!$D$29,NOT(ISNUMBER(N43))),"Date d'échéance manquante.",IF(AND(E43=Paramètres!$D$29,N43&lt;=M43),"Échéance antérieure ou égale à la prise d'effet.",IF(AND(E43=Paramètres!$D$29,(N(N43)-N(M43))/365.25&gt;Paramètres!$C$23),"Durée du bail au-delà du garde-fou de saisie.",IF(AND(E43=Paramètres!$D$29,O43&lt;&gt;"",NOT(AND(ISNUMBER(O43),O43&gt;=1,O43&lt;=Paramètres!$C$23,O43=INT(N(O43))))),"Périodicité de sortie hors bornes.",IF(AND(E43=Paramètres!$D$29,P43&lt;&gt;"",NOT(AND(ISNUMBER(P43),P43&gt;$C$7,P43&lt;=N43))),"Sortie forcée hors de l'intervalle admis.",IF(AND(E43=Paramètres!$D$29,R43&lt;&gt;"",NOT(AND(ISNUMBER(R43),R43&gt;=0,R43&lt;=Paramètres!$C$24,R43&lt;=(IF(OR(NOT(ISNUMBER(M43)),NOT(ISNUMBER(N43)),N43&lt;=M43),0,MIN(12*(IF(OR(O43="",NOT(ISNUMBER(O43))),Paramètres!$C$8,O43)),(YEAR(N43)-YEAR(M43))*12+MONTH(N43)-MONTH(M43)+1)))))),"Franchise hors bornes ou plus longue que la période ferme.",IF(AND(E43=Paramètres!$D$30,D43&lt;&gt;""),"Lot vacant avec un locataire renseigné.",IF(AND(E43=Paramètres!$D$30,G43&lt;&gt;"",G43&lt;&gt;0),"Lot vacant avec un loyer renseigné.",IF(AND(E43=Paramètres!$D$29,ISNUMBER(N43),ISNUMBER($C$7),N43&lt;$C$7),"Bail échu, en tacite prolongation.",IF(I43="","Valeur locative de marché non renseignée.","")))))))))))))))))))))))</f>
        <v/>
      </c>
      <c r="X43" s="17">
        <f>IF(AND(V43="OK",E43=Paramètres!$D$29),SUMIFS($H$11:$H$50,$D$11:$D$50,D43,$E$11:$E$50,Paramètres!$D$29,$V$11:$V$50,"OK"),0)</f>
        <v>0</v>
      </c>
    </row>
    <row r="44" spans="2:24" ht="15" customHeight="1" x14ac:dyDescent="0.35">
      <c r="B44" s="14"/>
      <c r="C44" s="14"/>
      <c r="D44" s="14"/>
      <c r="E44" s="14"/>
      <c r="F44" s="15"/>
      <c r="G44" s="16"/>
      <c r="H44" s="17">
        <f t="shared" si="0"/>
        <v>0</v>
      </c>
      <c r="I44" s="16"/>
      <c r="J44" s="17">
        <f t="shared" si="1"/>
        <v>0</v>
      </c>
      <c r="K44" s="17" t="str">
        <f t="shared" si="2"/>
        <v/>
      </c>
      <c r="L44" s="18" t="str">
        <f t="shared" si="3"/>
        <v/>
      </c>
      <c r="M44" s="11"/>
      <c r="N44" s="11"/>
      <c r="O44" s="19"/>
      <c r="P44" s="11"/>
      <c r="Q44" s="20" t="str">
        <f>IF(OR(NOT(ISNUMBER($C$7)),NOT(ISNUMBER(M44)),NOT(ISNUMBER(N44))),"",IF(ISNUMBER(P44),P44,IF((IF(OR(O44="",NOT(ISNUMBER(O44))),Paramètres!$C$8,O44))&lt;=0,"",MIN(EDATE(M44,(12*(IF(OR(O44="",NOT(ISNUMBER(O44))),Paramètres!$C$8,O44)))*MAX(1,INT(((YEAR($C$7+1)-YEAR(M44))*12+MONTH($C$7+1)-MONTH(M44)-(DAY($C$7+1)&lt;DAY(M44)))/(12*(IF(OR(O44="",NOT(ISNUMBER(O44))),Paramètres!$C$8,O44))))+1))-1,N44))))</f>
        <v/>
      </c>
      <c r="R44" s="21"/>
      <c r="S44" s="17">
        <f>IF(H44=0,0,IF(OR(R44="",R44=0),H44,IF(OR(NOT(ISNUMBER(R44)),(IF(OR(NOT(ISNUMBER(M44)),NOT(ISNUMBER(N44)),N44&lt;=M44),0,MIN(12*(IF(OR(O44="",NOT(ISNUMBER(O44))),Paramètres!$C$8,O44)),(YEAR(N44)-YEAR(M44))*12+MONTH(N44)-MONTH(M44)+1)))&lt;=0),0,MAX(0,H44*(1-R44/(IF(OR(NOT(ISNUMBER(M44)),NOT(ISNUMBER(N44)),N44&lt;=M44),0,MIN(12*(IF(OR(O44="",NOT(ISNUMBER(O44))),Paramètres!$C$8,O44)),(YEAR(N44)-YEAR(M44))*12+MONTH(N44)-MONTH(M44)+1))))))))</f>
        <v>0</v>
      </c>
      <c r="T44" s="22">
        <f t="shared" si="4"/>
        <v>0</v>
      </c>
      <c r="U44" s="22">
        <f t="shared" si="5"/>
        <v>0</v>
      </c>
      <c r="V44" s="12" t="str">
        <f>IF(COUNTA(B44,C44,D44,E44,F44,G44,I44,M44,N44,O44,P44,R44)&gt;0,IF(AND(COUNT(Paramètres!$C$8:$C$12)=5,COUNT(Paramètres!$C$16:$C$25)=10,ISNUMBER($C$7),B44&lt;&gt;"",NOT(ISNA(MATCH(C44,Paramètres!$B$29:$B$34,0))),NOT(ISNA(MATCH(E44,Paramètres!$D$29:$D$30,0))),ISNUMBER(F44),F44&gt;0,F44&lt;=Paramètres!$C$22,OR(I44="",AND(ISNUMBER(I44),I44&gt;=0,I44&lt;=Paramètres!$C$21)),IF(E44=Paramètres!$D$29,AND(D44&lt;&gt;"",ISNUMBER(G44),G44&gt;0,G44&lt;=Paramètres!$C$21,ISNUMBER(M44),ISNUMBER(N44),N44&gt;M44,(N(N44)-N(M44))/365.25&lt;=Paramètres!$C$23,OR(O44="",AND(ISNUMBER(O44),O44&gt;=1,O44&lt;=Paramètres!$C$23,O44=INT(N(O44)))),OR(P44="",AND(ISNUMBER(P44),P44&gt;$C$7,P44&lt;=N44)),OR(R44="",AND(ISNUMBER(R44),R44&gt;=0,R44&lt;=Paramètres!$C$24,R44&lt;=(IF(OR(NOT(ISNUMBER(M44)),NOT(ISNUMBER(N44)),N44&lt;=M44),0,MIN(12*(IF(OR(O44="",NOT(ISNUMBER(O44))),Paramètres!$C$8,O44)),(YEAR(N44)-YEAR(M44))*12+MONTH(N44)-MONTH(M44)+1)))))),AND(D44="",OR(G44="",G44=0)))),"OK","À CORRIGER"),"")</f>
        <v/>
      </c>
      <c r="W44" s="23" t="str">
        <f>IF(NOT(COUNTA(B44,C44,D44,E44,F44,G44,I44,M44,N44,O44,P44,R44)&gt;0),"",IF(OR(COUNT(Paramètres!$C$8:$C$12)&lt;&gt;5,COUNT(Paramètres!$C$16:$C$25)&lt;&gt;10),"Un paramètre de l'onglet Paramètres est vide.",IF(NOT(ISNUMBER($C$7)),"Date d'analyse manquante.",IF(B44="","Libellé du lot manquant.",IF(ISNA(MATCH(C44,Paramètres!$B$29:$B$34,0)),"Nature hors liste.",IF(ISNA(MATCH(E44,Paramètres!$D$29:$D$30,0)),"Statut hors liste.",IF(NOT(AND(ISNUMBER(F44),F44&gt;0)),"Surface manquante ou nulle.",IF(F44&gt;Paramètres!$C$22,"Surface au-delà du garde-fou de saisie.",IF(AND(I44&lt;&gt;"",NOT(AND(ISNUMBER(I44),I44&gt;=0,I44&lt;=Paramètres!$C$21))),"Valeur locative de marché hors bornes.",IF(AND(E44=Paramètres!$D$29,D44=""),"Lot déclaré loué sans locataire.",IF(AND(E44=Paramètres!$D$29,NOT(AND(ISNUMBER(G44),G44&gt;0))),"Loyer facial manquant ou nul.",IF(AND(E44=Paramètres!$D$29,G44&gt;Paramètres!$C$21),"Loyer facial au-delà du garde-fou de saisie.",IF(AND(E44=Paramètres!$D$29,NOT(ISNUMBER(M44))),"Date de prise d'effet manquante.",IF(AND(E44=Paramètres!$D$29,NOT(ISNUMBER(N44))),"Date d'échéance manquante.",IF(AND(E44=Paramètres!$D$29,N44&lt;=M44),"Échéance antérieure ou égale à la prise d'effet.",IF(AND(E44=Paramètres!$D$29,(N(N44)-N(M44))/365.25&gt;Paramètres!$C$23),"Durée du bail au-delà du garde-fou de saisie.",IF(AND(E44=Paramètres!$D$29,O44&lt;&gt;"",NOT(AND(ISNUMBER(O44),O44&gt;=1,O44&lt;=Paramètres!$C$23,O44=INT(N(O44))))),"Périodicité de sortie hors bornes.",IF(AND(E44=Paramètres!$D$29,P44&lt;&gt;"",NOT(AND(ISNUMBER(P44),P44&gt;$C$7,P44&lt;=N44))),"Sortie forcée hors de l'intervalle admis.",IF(AND(E44=Paramètres!$D$29,R44&lt;&gt;"",NOT(AND(ISNUMBER(R44),R44&gt;=0,R44&lt;=Paramètres!$C$24,R44&lt;=(IF(OR(NOT(ISNUMBER(M44)),NOT(ISNUMBER(N44)),N44&lt;=M44),0,MIN(12*(IF(OR(O44="",NOT(ISNUMBER(O44))),Paramètres!$C$8,O44)),(YEAR(N44)-YEAR(M44))*12+MONTH(N44)-MONTH(M44)+1)))))),"Franchise hors bornes ou plus longue que la période ferme.",IF(AND(E44=Paramètres!$D$30,D44&lt;&gt;""),"Lot vacant avec un locataire renseigné.",IF(AND(E44=Paramètres!$D$30,G44&lt;&gt;"",G44&lt;&gt;0),"Lot vacant avec un loyer renseigné.",IF(AND(E44=Paramètres!$D$29,ISNUMBER(N44),ISNUMBER($C$7),N44&lt;$C$7),"Bail échu, en tacite prolongation.",IF(I44="","Valeur locative de marché non renseignée.","")))))))))))))))))))))))</f>
        <v/>
      </c>
      <c r="X44" s="17">
        <f>IF(AND(V44="OK",E44=Paramètres!$D$29),SUMIFS($H$11:$H$50,$D$11:$D$50,D44,$E$11:$E$50,Paramètres!$D$29,$V$11:$V$50,"OK"),0)</f>
        <v>0</v>
      </c>
    </row>
    <row r="45" spans="2:24" ht="15" customHeight="1" x14ac:dyDescent="0.35">
      <c r="B45" s="14"/>
      <c r="C45" s="14"/>
      <c r="D45" s="14"/>
      <c r="E45" s="14"/>
      <c r="F45" s="15"/>
      <c r="G45" s="16"/>
      <c r="H45" s="17">
        <f t="shared" si="0"/>
        <v>0</v>
      </c>
      <c r="I45" s="16"/>
      <c r="J45" s="17">
        <f t="shared" si="1"/>
        <v>0</v>
      </c>
      <c r="K45" s="17" t="str">
        <f t="shared" si="2"/>
        <v/>
      </c>
      <c r="L45" s="18" t="str">
        <f t="shared" si="3"/>
        <v/>
      </c>
      <c r="M45" s="11"/>
      <c r="N45" s="11"/>
      <c r="O45" s="19"/>
      <c r="P45" s="11"/>
      <c r="Q45" s="20" t="str">
        <f>IF(OR(NOT(ISNUMBER($C$7)),NOT(ISNUMBER(M45)),NOT(ISNUMBER(N45))),"",IF(ISNUMBER(P45),P45,IF((IF(OR(O45="",NOT(ISNUMBER(O45))),Paramètres!$C$8,O45))&lt;=0,"",MIN(EDATE(M45,(12*(IF(OR(O45="",NOT(ISNUMBER(O45))),Paramètres!$C$8,O45)))*MAX(1,INT(((YEAR($C$7+1)-YEAR(M45))*12+MONTH($C$7+1)-MONTH(M45)-(DAY($C$7+1)&lt;DAY(M45)))/(12*(IF(OR(O45="",NOT(ISNUMBER(O45))),Paramètres!$C$8,O45))))+1))-1,N45))))</f>
        <v/>
      </c>
      <c r="R45" s="21"/>
      <c r="S45" s="17">
        <f>IF(H45=0,0,IF(OR(R45="",R45=0),H45,IF(OR(NOT(ISNUMBER(R45)),(IF(OR(NOT(ISNUMBER(M45)),NOT(ISNUMBER(N45)),N45&lt;=M45),0,MIN(12*(IF(OR(O45="",NOT(ISNUMBER(O45))),Paramètres!$C$8,O45)),(YEAR(N45)-YEAR(M45))*12+MONTH(N45)-MONTH(M45)+1)))&lt;=0),0,MAX(0,H45*(1-R45/(IF(OR(NOT(ISNUMBER(M45)),NOT(ISNUMBER(N45)),N45&lt;=M45),0,MIN(12*(IF(OR(O45="",NOT(ISNUMBER(O45))),Paramètres!$C$8,O45)),(YEAR(N45)-YEAR(M45))*12+MONTH(N45)-MONTH(M45)+1))))))))</f>
        <v>0</v>
      </c>
      <c r="T45" s="22">
        <f t="shared" si="4"/>
        <v>0</v>
      </c>
      <c r="U45" s="22">
        <f t="shared" si="5"/>
        <v>0</v>
      </c>
      <c r="V45" s="12" t="str">
        <f>IF(COUNTA(B45,C45,D45,E45,F45,G45,I45,M45,N45,O45,P45,R45)&gt;0,IF(AND(COUNT(Paramètres!$C$8:$C$12)=5,COUNT(Paramètres!$C$16:$C$25)=10,ISNUMBER($C$7),B45&lt;&gt;"",NOT(ISNA(MATCH(C45,Paramètres!$B$29:$B$34,0))),NOT(ISNA(MATCH(E45,Paramètres!$D$29:$D$30,0))),ISNUMBER(F45),F45&gt;0,F45&lt;=Paramètres!$C$22,OR(I45="",AND(ISNUMBER(I45),I45&gt;=0,I45&lt;=Paramètres!$C$21)),IF(E45=Paramètres!$D$29,AND(D45&lt;&gt;"",ISNUMBER(G45),G45&gt;0,G45&lt;=Paramètres!$C$21,ISNUMBER(M45),ISNUMBER(N45),N45&gt;M45,(N(N45)-N(M45))/365.25&lt;=Paramètres!$C$23,OR(O45="",AND(ISNUMBER(O45),O45&gt;=1,O45&lt;=Paramètres!$C$23,O45=INT(N(O45)))),OR(P45="",AND(ISNUMBER(P45),P45&gt;$C$7,P45&lt;=N45)),OR(R45="",AND(ISNUMBER(R45),R45&gt;=0,R45&lt;=Paramètres!$C$24,R45&lt;=(IF(OR(NOT(ISNUMBER(M45)),NOT(ISNUMBER(N45)),N45&lt;=M45),0,MIN(12*(IF(OR(O45="",NOT(ISNUMBER(O45))),Paramètres!$C$8,O45)),(YEAR(N45)-YEAR(M45))*12+MONTH(N45)-MONTH(M45)+1)))))),AND(D45="",OR(G45="",G45=0)))),"OK","À CORRIGER"),"")</f>
        <v/>
      </c>
      <c r="W45" s="23" t="str">
        <f>IF(NOT(COUNTA(B45,C45,D45,E45,F45,G45,I45,M45,N45,O45,P45,R45)&gt;0),"",IF(OR(COUNT(Paramètres!$C$8:$C$12)&lt;&gt;5,COUNT(Paramètres!$C$16:$C$25)&lt;&gt;10),"Un paramètre de l'onglet Paramètres est vide.",IF(NOT(ISNUMBER($C$7)),"Date d'analyse manquante.",IF(B45="","Libellé du lot manquant.",IF(ISNA(MATCH(C45,Paramètres!$B$29:$B$34,0)),"Nature hors liste.",IF(ISNA(MATCH(E45,Paramètres!$D$29:$D$30,0)),"Statut hors liste.",IF(NOT(AND(ISNUMBER(F45),F45&gt;0)),"Surface manquante ou nulle.",IF(F45&gt;Paramètres!$C$22,"Surface au-delà du garde-fou de saisie.",IF(AND(I45&lt;&gt;"",NOT(AND(ISNUMBER(I45),I45&gt;=0,I45&lt;=Paramètres!$C$21))),"Valeur locative de marché hors bornes.",IF(AND(E45=Paramètres!$D$29,D45=""),"Lot déclaré loué sans locataire.",IF(AND(E45=Paramètres!$D$29,NOT(AND(ISNUMBER(G45),G45&gt;0))),"Loyer facial manquant ou nul.",IF(AND(E45=Paramètres!$D$29,G45&gt;Paramètres!$C$21),"Loyer facial au-delà du garde-fou de saisie.",IF(AND(E45=Paramètres!$D$29,NOT(ISNUMBER(M45))),"Date de prise d'effet manquante.",IF(AND(E45=Paramètres!$D$29,NOT(ISNUMBER(N45))),"Date d'échéance manquante.",IF(AND(E45=Paramètres!$D$29,N45&lt;=M45),"Échéance antérieure ou égale à la prise d'effet.",IF(AND(E45=Paramètres!$D$29,(N(N45)-N(M45))/365.25&gt;Paramètres!$C$23),"Durée du bail au-delà du garde-fou de saisie.",IF(AND(E45=Paramètres!$D$29,O45&lt;&gt;"",NOT(AND(ISNUMBER(O45),O45&gt;=1,O45&lt;=Paramètres!$C$23,O45=INT(N(O45))))),"Périodicité de sortie hors bornes.",IF(AND(E45=Paramètres!$D$29,P45&lt;&gt;"",NOT(AND(ISNUMBER(P45),P45&gt;$C$7,P45&lt;=N45))),"Sortie forcée hors de l'intervalle admis.",IF(AND(E45=Paramètres!$D$29,R45&lt;&gt;"",NOT(AND(ISNUMBER(R45),R45&gt;=0,R45&lt;=Paramètres!$C$24,R45&lt;=(IF(OR(NOT(ISNUMBER(M45)),NOT(ISNUMBER(N45)),N45&lt;=M45),0,MIN(12*(IF(OR(O45="",NOT(ISNUMBER(O45))),Paramètres!$C$8,O45)),(YEAR(N45)-YEAR(M45))*12+MONTH(N45)-MONTH(M45)+1)))))),"Franchise hors bornes ou plus longue que la période ferme.",IF(AND(E45=Paramètres!$D$30,D45&lt;&gt;""),"Lot vacant avec un locataire renseigné.",IF(AND(E45=Paramètres!$D$30,G45&lt;&gt;"",G45&lt;&gt;0),"Lot vacant avec un loyer renseigné.",IF(AND(E45=Paramètres!$D$29,ISNUMBER(N45),ISNUMBER($C$7),N45&lt;$C$7),"Bail échu, en tacite prolongation.",IF(I45="","Valeur locative de marché non renseignée.","")))))))))))))))))))))))</f>
        <v/>
      </c>
      <c r="X45" s="17">
        <f>IF(AND(V45="OK",E45=Paramètres!$D$29),SUMIFS($H$11:$H$50,$D$11:$D$50,D45,$E$11:$E$50,Paramètres!$D$29,$V$11:$V$50,"OK"),0)</f>
        <v>0</v>
      </c>
    </row>
    <row r="46" spans="2:24" ht="15" customHeight="1" x14ac:dyDescent="0.35">
      <c r="B46" s="14"/>
      <c r="C46" s="14"/>
      <c r="D46" s="14"/>
      <c r="E46" s="14"/>
      <c r="F46" s="15"/>
      <c r="G46" s="16"/>
      <c r="H46" s="17">
        <f t="shared" si="0"/>
        <v>0</v>
      </c>
      <c r="I46" s="16"/>
      <c r="J46" s="17">
        <f t="shared" si="1"/>
        <v>0</v>
      </c>
      <c r="K46" s="17" t="str">
        <f t="shared" si="2"/>
        <v/>
      </c>
      <c r="L46" s="18" t="str">
        <f t="shared" si="3"/>
        <v/>
      </c>
      <c r="M46" s="11"/>
      <c r="N46" s="11"/>
      <c r="O46" s="19"/>
      <c r="P46" s="11"/>
      <c r="Q46" s="20" t="str">
        <f>IF(OR(NOT(ISNUMBER($C$7)),NOT(ISNUMBER(M46)),NOT(ISNUMBER(N46))),"",IF(ISNUMBER(P46),P46,IF((IF(OR(O46="",NOT(ISNUMBER(O46))),Paramètres!$C$8,O46))&lt;=0,"",MIN(EDATE(M46,(12*(IF(OR(O46="",NOT(ISNUMBER(O46))),Paramètres!$C$8,O46)))*MAX(1,INT(((YEAR($C$7+1)-YEAR(M46))*12+MONTH($C$7+1)-MONTH(M46)-(DAY($C$7+1)&lt;DAY(M46)))/(12*(IF(OR(O46="",NOT(ISNUMBER(O46))),Paramètres!$C$8,O46))))+1))-1,N46))))</f>
        <v/>
      </c>
      <c r="R46" s="21"/>
      <c r="S46" s="17">
        <f>IF(H46=0,0,IF(OR(R46="",R46=0),H46,IF(OR(NOT(ISNUMBER(R46)),(IF(OR(NOT(ISNUMBER(M46)),NOT(ISNUMBER(N46)),N46&lt;=M46),0,MIN(12*(IF(OR(O46="",NOT(ISNUMBER(O46))),Paramètres!$C$8,O46)),(YEAR(N46)-YEAR(M46))*12+MONTH(N46)-MONTH(M46)+1)))&lt;=0),0,MAX(0,H46*(1-R46/(IF(OR(NOT(ISNUMBER(M46)),NOT(ISNUMBER(N46)),N46&lt;=M46),0,MIN(12*(IF(OR(O46="",NOT(ISNUMBER(O46))),Paramètres!$C$8,O46)),(YEAR(N46)-YEAR(M46))*12+MONTH(N46)-MONTH(M46)+1))))))))</f>
        <v>0</v>
      </c>
      <c r="T46" s="22">
        <f t="shared" si="4"/>
        <v>0</v>
      </c>
      <c r="U46" s="22">
        <f t="shared" si="5"/>
        <v>0</v>
      </c>
      <c r="V46" s="12" t="str">
        <f>IF(COUNTA(B46,C46,D46,E46,F46,G46,I46,M46,N46,O46,P46,R46)&gt;0,IF(AND(COUNT(Paramètres!$C$8:$C$12)=5,COUNT(Paramètres!$C$16:$C$25)=10,ISNUMBER($C$7),B46&lt;&gt;"",NOT(ISNA(MATCH(C46,Paramètres!$B$29:$B$34,0))),NOT(ISNA(MATCH(E46,Paramètres!$D$29:$D$30,0))),ISNUMBER(F46),F46&gt;0,F46&lt;=Paramètres!$C$22,OR(I46="",AND(ISNUMBER(I46),I46&gt;=0,I46&lt;=Paramètres!$C$21)),IF(E46=Paramètres!$D$29,AND(D46&lt;&gt;"",ISNUMBER(G46),G46&gt;0,G46&lt;=Paramètres!$C$21,ISNUMBER(M46),ISNUMBER(N46),N46&gt;M46,(N(N46)-N(M46))/365.25&lt;=Paramètres!$C$23,OR(O46="",AND(ISNUMBER(O46),O46&gt;=1,O46&lt;=Paramètres!$C$23,O46=INT(N(O46)))),OR(P46="",AND(ISNUMBER(P46),P46&gt;$C$7,P46&lt;=N46)),OR(R46="",AND(ISNUMBER(R46),R46&gt;=0,R46&lt;=Paramètres!$C$24,R46&lt;=(IF(OR(NOT(ISNUMBER(M46)),NOT(ISNUMBER(N46)),N46&lt;=M46),0,MIN(12*(IF(OR(O46="",NOT(ISNUMBER(O46))),Paramètres!$C$8,O46)),(YEAR(N46)-YEAR(M46))*12+MONTH(N46)-MONTH(M46)+1)))))),AND(D46="",OR(G46="",G46=0)))),"OK","À CORRIGER"),"")</f>
        <v/>
      </c>
      <c r="W46" s="23" t="str">
        <f>IF(NOT(COUNTA(B46,C46,D46,E46,F46,G46,I46,M46,N46,O46,P46,R46)&gt;0),"",IF(OR(COUNT(Paramètres!$C$8:$C$12)&lt;&gt;5,COUNT(Paramètres!$C$16:$C$25)&lt;&gt;10),"Un paramètre de l'onglet Paramètres est vide.",IF(NOT(ISNUMBER($C$7)),"Date d'analyse manquante.",IF(B46="","Libellé du lot manquant.",IF(ISNA(MATCH(C46,Paramètres!$B$29:$B$34,0)),"Nature hors liste.",IF(ISNA(MATCH(E46,Paramètres!$D$29:$D$30,0)),"Statut hors liste.",IF(NOT(AND(ISNUMBER(F46),F46&gt;0)),"Surface manquante ou nulle.",IF(F46&gt;Paramètres!$C$22,"Surface au-delà du garde-fou de saisie.",IF(AND(I46&lt;&gt;"",NOT(AND(ISNUMBER(I46),I46&gt;=0,I46&lt;=Paramètres!$C$21))),"Valeur locative de marché hors bornes.",IF(AND(E46=Paramètres!$D$29,D46=""),"Lot déclaré loué sans locataire.",IF(AND(E46=Paramètres!$D$29,NOT(AND(ISNUMBER(G46),G46&gt;0))),"Loyer facial manquant ou nul.",IF(AND(E46=Paramètres!$D$29,G46&gt;Paramètres!$C$21),"Loyer facial au-delà du garde-fou de saisie.",IF(AND(E46=Paramètres!$D$29,NOT(ISNUMBER(M46))),"Date de prise d'effet manquante.",IF(AND(E46=Paramètres!$D$29,NOT(ISNUMBER(N46))),"Date d'échéance manquante.",IF(AND(E46=Paramètres!$D$29,N46&lt;=M46),"Échéance antérieure ou égale à la prise d'effet.",IF(AND(E46=Paramètres!$D$29,(N(N46)-N(M46))/365.25&gt;Paramètres!$C$23),"Durée du bail au-delà du garde-fou de saisie.",IF(AND(E46=Paramètres!$D$29,O46&lt;&gt;"",NOT(AND(ISNUMBER(O46),O46&gt;=1,O46&lt;=Paramètres!$C$23,O46=INT(N(O46))))),"Périodicité de sortie hors bornes.",IF(AND(E46=Paramètres!$D$29,P46&lt;&gt;"",NOT(AND(ISNUMBER(P46),P46&gt;$C$7,P46&lt;=N46))),"Sortie forcée hors de l'intervalle admis.",IF(AND(E46=Paramètres!$D$29,R46&lt;&gt;"",NOT(AND(ISNUMBER(R46),R46&gt;=0,R46&lt;=Paramètres!$C$24,R46&lt;=(IF(OR(NOT(ISNUMBER(M46)),NOT(ISNUMBER(N46)),N46&lt;=M46),0,MIN(12*(IF(OR(O46="",NOT(ISNUMBER(O46))),Paramètres!$C$8,O46)),(YEAR(N46)-YEAR(M46))*12+MONTH(N46)-MONTH(M46)+1)))))),"Franchise hors bornes ou plus longue que la période ferme.",IF(AND(E46=Paramètres!$D$30,D46&lt;&gt;""),"Lot vacant avec un locataire renseigné.",IF(AND(E46=Paramètres!$D$30,G46&lt;&gt;"",G46&lt;&gt;0),"Lot vacant avec un loyer renseigné.",IF(AND(E46=Paramètres!$D$29,ISNUMBER(N46),ISNUMBER($C$7),N46&lt;$C$7),"Bail échu, en tacite prolongation.",IF(I46="","Valeur locative de marché non renseignée.","")))))))))))))))))))))))</f>
        <v/>
      </c>
      <c r="X46" s="17">
        <f>IF(AND(V46="OK",E46=Paramètres!$D$29),SUMIFS($H$11:$H$50,$D$11:$D$50,D46,$E$11:$E$50,Paramètres!$D$29,$V$11:$V$50,"OK"),0)</f>
        <v>0</v>
      </c>
    </row>
    <row r="47" spans="2:24" ht="15" customHeight="1" x14ac:dyDescent="0.35">
      <c r="B47" s="14"/>
      <c r="C47" s="14"/>
      <c r="D47" s="14"/>
      <c r="E47" s="14"/>
      <c r="F47" s="15"/>
      <c r="G47" s="16"/>
      <c r="H47" s="17">
        <f t="shared" si="0"/>
        <v>0</v>
      </c>
      <c r="I47" s="16"/>
      <c r="J47" s="17">
        <f t="shared" si="1"/>
        <v>0</v>
      </c>
      <c r="K47" s="17" t="str">
        <f t="shared" si="2"/>
        <v/>
      </c>
      <c r="L47" s="18" t="str">
        <f t="shared" si="3"/>
        <v/>
      </c>
      <c r="M47" s="11"/>
      <c r="N47" s="11"/>
      <c r="O47" s="19"/>
      <c r="P47" s="11"/>
      <c r="Q47" s="20" t="str">
        <f>IF(OR(NOT(ISNUMBER($C$7)),NOT(ISNUMBER(M47)),NOT(ISNUMBER(N47))),"",IF(ISNUMBER(P47),P47,IF((IF(OR(O47="",NOT(ISNUMBER(O47))),Paramètres!$C$8,O47))&lt;=0,"",MIN(EDATE(M47,(12*(IF(OR(O47="",NOT(ISNUMBER(O47))),Paramètres!$C$8,O47)))*MAX(1,INT(((YEAR($C$7+1)-YEAR(M47))*12+MONTH($C$7+1)-MONTH(M47)-(DAY($C$7+1)&lt;DAY(M47)))/(12*(IF(OR(O47="",NOT(ISNUMBER(O47))),Paramètres!$C$8,O47))))+1))-1,N47))))</f>
        <v/>
      </c>
      <c r="R47" s="21"/>
      <c r="S47" s="17">
        <f>IF(H47=0,0,IF(OR(R47="",R47=0),H47,IF(OR(NOT(ISNUMBER(R47)),(IF(OR(NOT(ISNUMBER(M47)),NOT(ISNUMBER(N47)),N47&lt;=M47),0,MIN(12*(IF(OR(O47="",NOT(ISNUMBER(O47))),Paramètres!$C$8,O47)),(YEAR(N47)-YEAR(M47))*12+MONTH(N47)-MONTH(M47)+1)))&lt;=0),0,MAX(0,H47*(1-R47/(IF(OR(NOT(ISNUMBER(M47)),NOT(ISNUMBER(N47)),N47&lt;=M47),0,MIN(12*(IF(OR(O47="",NOT(ISNUMBER(O47))),Paramètres!$C$8,O47)),(YEAR(N47)-YEAR(M47))*12+MONTH(N47)-MONTH(M47)+1))))))))</f>
        <v>0</v>
      </c>
      <c r="T47" s="22">
        <f t="shared" si="4"/>
        <v>0</v>
      </c>
      <c r="U47" s="22">
        <f t="shared" si="5"/>
        <v>0</v>
      </c>
      <c r="V47" s="12" t="str">
        <f>IF(COUNTA(B47,C47,D47,E47,F47,G47,I47,M47,N47,O47,P47,R47)&gt;0,IF(AND(COUNT(Paramètres!$C$8:$C$12)=5,COUNT(Paramètres!$C$16:$C$25)=10,ISNUMBER($C$7),B47&lt;&gt;"",NOT(ISNA(MATCH(C47,Paramètres!$B$29:$B$34,0))),NOT(ISNA(MATCH(E47,Paramètres!$D$29:$D$30,0))),ISNUMBER(F47),F47&gt;0,F47&lt;=Paramètres!$C$22,OR(I47="",AND(ISNUMBER(I47),I47&gt;=0,I47&lt;=Paramètres!$C$21)),IF(E47=Paramètres!$D$29,AND(D47&lt;&gt;"",ISNUMBER(G47),G47&gt;0,G47&lt;=Paramètres!$C$21,ISNUMBER(M47),ISNUMBER(N47),N47&gt;M47,(N(N47)-N(M47))/365.25&lt;=Paramètres!$C$23,OR(O47="",AND(ISNUMBER(O47),O47&gt;=1,O47&lt;=Paramètres!$C$23,O47=INT(N(O47)))),OR(P47="",AND(ISNUMBER(P47),P47&gt;$C$7,P47&lt;=N47)),OR(R47="",AND(ISNUMBER(R47),R47&gt;=0,R47&lt;=Paramètres!$C$24,R47&lt;=(IF(OR(NOT(ISNUMBER(M47)),NOT(ISNUMBER(N47)),N47&lt;=M47),0,MIN(12*(IF(OR(O47="",NOT(ISNUMBER(O47))),Paramètres!$C$8,O47)),(YEAR(N47)-YEAR(M47))*12+MONTH(N47)-MONTH(M47)+1)))))),AND(D47="",OR(G47="",G47=0)))),"OK","À CORRIGER"),"")</f>
        <v/>
      </c>
      <c r="W47" s="23" t="str">
        <f>IF(NOT(COUNTA(B47,C47,D47,E47,F47,G47,I47,M47,N47,O47,P47,R47)&gt;0),"",IF(OR(COUNT(Paramètres!$C$8:$C$12)&lt;&gt;5,COUNT(Paramètres!$C$16:$C$25)&lt;&gt;10),"Un paramètre de l'onglet Paramètres est vide.",IF(NOT(ISNUMBER($C$7)),"Date d'analyse manquante.",IF(B47="","Libellé du lot manquant.",IF(ISNA(MATCH(C47,Paramètres!$B$29:$B$34,0)),"Nature hors liste.",IF(ISNA(MATCH(E47,Paramètres!$D$29:$D$30,0)),"Statut hors liste.",IF(NOT(AND(ISNUMBER(F47),F47&gt;0)),"Surface manquante ou nulle.",IF(F47&gt;Paramètres!$C$22,"Surface au-delà du garde-fou de saisie.",IF(AND(I47&lt;&gt;"",NOT(AND(ISNUMBER(I47),I47&gt;=0,I47&lt;=Paramètres!$C$21))),"Valeur locative de marché hors bornes.",IF(AND(E47=Paramètres!$D$29,D47=""),"Lot déclaré loué sans locataire.",IF(AND(E47=Paramètres!$D$29,NOT(AND(ISNUMBER(G47),G47&gt;0))),"Loyer facial manquant ou nul.",IF(AND(E47=Paramètres!$D$29,G47&gt;Paramètres!$C$21),"Loyer facial au-delà du garde-fou de saisie.",IF(AND(E47=Paramètres!$D$29,NOT(ISNUMBER(M47))),"Date de prise d'effet manquante.",IF(AND(E47=Paramètres!$D$29,NOT(ISNUMBER(N47))),"Date d'échéance manquante.",IF(AND(E47=Paramètres!$D$29,N47&lt;=M47),"Échéance antérieure ou égale à la prise d'effet.",IF(AND(E47=Paramètres!$D$29,(N(N47)-N(M47))/365.25&gt;Paramètres!$C$23),"Durée du bail au-delà du garde-fou de saisie.",IF(AND(E47=Paramètres!$D$29,O47&lt;&gt;"",NOT(AND(ISNUMBER(O47),O47&gt;=1,O47&lt;=Paramètres!$C$23,O47=INT(N(O47))))),"Périodicité de sortie hors bornes.",IF(AND(E47=Paramètres!$D$29,P47&lt;&gt;"",NOT(AND(ISNUMBER(P47),P47&gt;$C$7,P47&lt;=N47))),"Sortie forcée hors de l'intervalle admis.",IF(AND(E47=Paramètres!$D$29,R47&lt;&gt;"",NOT(AND(ISNUMBER(R47),R47&gt;=0,R47&lt;=Paramètres!$C$24,R47&lt;=(IF(OR(NOT(ISNUMBER(M47)),NOT(ISNUMBER(N47)),N47&lt;=M47),0,MIN(12*(IF(OR(O47="",NOT(ISNUMBER(O47))),Paramètres!$C$8,O47)),(YEAR(N47)-YEAR(M47))*12+MONTH(N47)-MONTH(M47)+1)))))),"Franchise hors bornes ou plus longue que la période ferme.",IF(AND(E47=Paramètres!$D$30,D47&lt;&gt;""),"Lot vacant avec un locataire renseigné.",IF(AND(E47=Paramètres!$D$30,G47&lt;&gt;"",G47&lt;&gt;0),"Lot vacant avec un loyer renseigné.",IF(AND(E47=Paramètres!$D$29,ISNUMBER(N47),ISNUMBER($C$7),N47&lt;$C$7),"Bail échu, en tacite prolongation.",IF(I47="","Valeur locative de marché non renseignée.","")))))))))))))))))))))))</f>
        <v/>
      </c>
      <c r="X47" s="17">
        <f>IF(AND(V47="OK",E47=Paramètres!$D$29),SUMIFS($H$11:$H$50,$D$11:$D$50,D47,$E$11:$E$50,Paramètres!$D$29,$V$11:$V$50,"OK"),0)</f>
        <v>0</v>
      </c>
    </row>
    <row r="48" spans="2:24" ht="15" customHeight="1" x14ac:dyDescent="0.35">
      <c r="B48" s="14"/>
      <c r="C48" s="14"/>
      <c r="D48" s="14"/>
      <c r="E48" s="14"/>
      <c r="F48" s="15"/>
      <c r="G48" s="16"/>
      <c r="H48" s="17">
        <f t="shared" si="0"/>
        <v>0</v>
      </c>
      <c r="I48" s="16"/>
      <c r="J48" s="17">
        <f t="shared" si="1"/>
        <v>0</v>
      </c>
      <c r="K48" s="17" t="str">
        <f t="shared" si="2"/>
        <v/>
      </c>
      <c r="L48" s="18" t="str">
        <f t="shared" si="3"/>
        <v/>
      </c>
      <c r="M48" s="11"/>
      <c r="N48" s="11"/>
      <c r="O48" s="19"/>
      <c r="P48" s="11"/>
      <c r="Q48" s="20" t="str">
        <f>IF(OR(NOT(ISNUMBER($C$7)),NOT(ISNUMBER(M48)),NOT(ISNUMBER(N48))),"",IF(ISNUMBER(P48),P48,IF((IF(OR(O48="",NOT(ISNUMBER(O48))),Paramètres!$C$8,O48))&lt;=0,"",MIN(EDATE(M48,(12*(IF(OR(O48="",NOT(ISNUMBER(O48))),Paramètres!$C$8,O48)))*MAX(1,INT(((YEAR($C$7+1)-YEAR(M48))*12+MONTH($C$7+1)-MONTH(M48)-(DAY($C$7+1)&lt;DAY(M48)))/(12*(IF(OR(O48="",NOT(ISNUMBER(O48))),Paramètres!$C$8,O48))))+1))-1,N48))))</f>
        <v/>
      </c>
      <c r="R48" s="21"/>
      <c r="S48" s="17">
        <f>IF(H48=0,0,IF(OR(R48="",R48=0),H48,IF(OR(NOT(ISNUMBER(R48)),(IF(OR(NOT(ISNUMBER(M48)),NOT(ISNUMBER(N48)),N48&lt;=M48),0,MIN(12*(IF(OR(O48="",NOT(ISNUMBER(O48))),Paramètres!$C$8,O48)),(YEAR(N48)-YEAR(M48))*12+MONTH(N48)-MONTH(M48)+1)))&lt;=0),0,MAX(0,H48*(1-R48/(IF(OR(NOT(ISNUMBER(M48)),NOT(ISNUMBER(N48)),N48&lt;=M48),0,MIN(12*(IF(OR(O48="",NOT(ISNUMBER(O48))),Paramètres!$C$8,O48)),(YEAR(N48)-YEAR(M48))*12+MONTH(N48)-MONTH(M48)+1))))))))</f>
        <v>0</v>
      </c>
      <c r="T48" s="22">
        <f t="shared" si="4"/>
        <v>0</v>
      </c>
      <c r="U48" s="22">
        <f t="shared" si="5"/>
        <v>0</v>
      </c>
      <c r="V48" s="12" t="str">
        <f>IF(COUNTA(B48,C48,D48,E48,F48,G48,I48,M48,N48,O48,P48,R48)&gt;0,IF(AND(COUNT(Paramètres!$C$8:$C$12)=5,COUNT(Paramètres!$C$16:$C$25)=10,ISNUMBER($C$7),B48&lt;&gt;"",NOT(ISNA(MATCH(C48,Paramètres!$B$29:$B$34,0))),NOT(ISNA(MATCH(E48,Paramètres!$D$29:$D$30,0))),ISNUMBER(F48),F48&gt;0,F48&lt;=Paramètres!$C$22,OR(I48="",AND(ISNUMBER(I48),I48&gt;=0,I48&lt;=Paramètres!$C$21)),IF(E48=Paramètres!$D$29,AND(D48&lt;&gt;"",ISNUMBER(G48),G48&gt;0,G48&lt;=Paramètres!$C$21,ISNUMBER(M48),ISNUMBER(N48),N48&gt;M48,(N(N48)-N(M48))/365.25&lt;=Paramètres!$C$23,OR(O48="",AND(ISNUMBER(O48),O48&gt;=1,O48&lt;=Paramètres!$C$23,O48=INT(N(O48)))),OR(P48="",AND(ISNUMBER(P48),P48&gt;$C$7,P48&lt;=N48)),OR(R48="",AND(ISNUMBER(R48),R48&gt;=0,R48&lt;=Paramètres!$C$24,R48&lt;=(IF(OR(NOT(ISNUMBER(M48)),NOT(ISNUMBER(N48)),N48&lt;=M48),0,MIN(12*(IF(OR(O48="",NOT(ISNUMBER(O48))),Paramètres!$C$8,O48)),(YEAR(N48)-YEAR(M48))*12+MONTH(N48)-MONTH(M48)+1)))))),AND(D48="",OR(G48="",G48=0)))),"OK","À CORRIGER"),"")</f>
        <v/>
      </c>
      <c r="W48" s="23" t="str">
        <f>IF(NOT(COUNTA(B48,C48,D48,E48,F48,G48,I48,M48,N48,O48,P48,R48)&gt;0),"",IF(OR(COUNT(Paramètres!$C$8:$C$12)&lt;&gt;5,COUNT(Paramètres!$C$16:$C$25)&lt;&gt;10),"Un paramètre de l'onglet Paramètres est vide.",IF(NOT(ISNUMBER($C$7)),"Date d'analyse manquante.",IF(B48="","Libellé du lot manquant.",IF(ISNA(MATCH(C48,Paramètres!$B$29:$B$34,0)),"Nature hors liste.",IF(ISNA(MATCH(E48,Paramètres!$D$29:$D$30,0)),"Statut hors liste.",IF(NOT(AND(ISNUMBER(F48),F48&gt;0)),"Surface manquante ou nulle.",IF(F48&gt;Paramètres!$C$22,"Surface au-delà du garde-fou de saisie.",IF(AND(I48&lt;&gt;"",NOT(AND(ISNUMBER(I48),I48&gt;=0,I48&lt;=Paramètres!$C$21))),"Valeur locative de marché hors bornes.",IF(AND(E48=Paramètres!$D$29,D48=""),"Lot déclaré loué sans locataire.",IF(AND(E48=Paramètres!$D$29,NOT(AND(ISNUMBER(G48),G48&gt;0))),"Loyer facial manquant ou nul.",IF(AND(E48=Paramètres!$D$29,G48&gt;Paramètres!$C$21),"Loyer facial au-delà du garde-fou de saisie.",IF(AND(E48=Paramètres!$D$29,NOT(ISNUMBER(M48))),"Date de prise d'effet manquante.",IF(AND(E48=Paramètres!$D$29,NOT(ISNUMBER(N48))),"Date d'échéance manquante.",IF(AND(E48=Paramètres!$D$29,N48&lt;=M48),"Échéance antérieure ou égale à la prise d'effet.",IF(AND(E48=Paramètres!$D$29,(N(N48)-N(M48))/365.25&gt;Paramètres!$C$23),"Durée du bail au-delà du garde-fou de saisie.",IF(AND(E48=Paramètres!$D$29,O48&lt;&gt;"",NOT(AND(ISNUMBER(O48),O48&gt;=1,O48&lt;=Paramètres!$C$23,O48=INT(N(O48))))),"Périodicité de sortie hors bornes.",IF(AND(E48=Paramètres!$D$29,P48&lt;&gt;"",NOT(AND(ISNUMBER(P48),P48&gt;$C$7,P48&lt;=N48))),"Sortie forcée hors de l'intervalle admis.",IF(AND(E48=Paramètres!$D$29,R48&lt;&gt;"",NOT(AND(ISNUMBER(R48),R48&gt;=0,R48&lt;=Paramètres!$C$24,R48&lt;=(IF(OR(NOT(ISNUMBER(M48)),NOT(ISNUMBER(N48)),N48&lt;=M48),0,MIN(12*(IF(OR(O48="",NOT(ISNUMBER(O48))),Paramètres!$C$8,O48)),(YEAR(N48)-YEAR(M48))*12+MONTH(N48)-MONTH(M48)+1)))))),"Franchise hors bornes ou plus longue que la période ferme.",IF(AND(E48=Paramètres!$D$30,D48&lt;&gt;""),"Lot vacant avec un locataire renseigné.",IF(AND(E48=Paramètres!$D$30,G48&lt;&gt;"",G48&lt;&gt;0),"Lot vacant avec un loyer renseigné.",IF(AND(E48=Paramètres!$D$29,ISNUMBER(N48),ISNUMBER($C$7),N48&lt;$C$7),"Bail échu, en tacite prolongation.",IF(I48="","Valeur locative de marché non renseignée.","")))))))))))))))))))))))</f>
        <v/>
      </c>
      <c r="X48" s="17">
        <f>IF(AND(V48="OK",E48=Paramètres!$D$29),SUMIFS($H$11:$H$50,$D$11:$D$50,D48,$E$11:$E$50,Paramètres!$D$29,$V$11:$V$50,"OK"),0)</f>
        <v>0</v>
      </c>
    </row>
    <row r="49" spans="2:24" ht="15" customHeight="1" x14ac:dyDescent="0.35">
      <c r="B49" s="14"/>
      <c r="C49" s="14"/>
      <c r="D49" s="14"/>
      <c r="E49" s="14"/>
      <c r="F49" s="15"/>
      <c r="G49" s="16"/>
      <c r="H49" s="17">
        <f t="shared" si="0"/>
        <v>0</v>
      </c>
      <c r="I49" s="16"/>
      <c r="J49" s="17">
        <f t="shared" si="1"/>
        <v>0</v>
      </c>
      <c r="K49" s="17" t="str">
        <f t="shared" si="2"/>
        <v/>
      </c>
      <c r="L49" s="18" t="str">
        <f t="shared" si="3"/>
        <v/>
      </c>
      <c r="M49" s="11"/>
      <c r="N49" s="11"/>
      <c r="O49" s="19"/>
      <c r="P49" s="11"/>
      <c r="Q49" s="20" t="str">
        <f>IF(OR(NOT(ISNUMBER($C$7)),NOT(ISNUMBER(M49)),NOT(ISNUMBER(N49))),"",IF(ISNUMBER(P49),P49,IF((IF(OR(O49="",NOT(ISNUMBER(O49))),Paramètres!$C$8,O49))&lt;=0,"",MIN(EDATE(M49,(12*(IF(OR(O49="",NOT(ISNUMBER(O49))),Paramètres!$C$8,O49)))*MAX(1,INT(((YEAR($C$7+1)-YEAR(M49))*12+MONTH($C$7+1)-MONTH(M49)-(DAY($C$7+1)&lt;DAY(M49)))/(12*(IF(OR(O49="",NOT(ISNUMBER(O49))),Paramètres!$C$8,O49))))+1))-1,N49))))</f>
        <v/>
      </c>
      <c r="R49" s="21"/>
      <c r="S49" s="17">
        <f>IF(H49=0,0,IF(OR(R49="",R49=0),H49,IF(OR(NOT(ISNUMBER(R49)),(IF(OR(NOT(ISNUMBER(M49)),NOT(ISNUMBER(N49)),N49&lt;=M49),0,MIN(12*(IF(OR(O49="",NOT(ISNUMBER(O49))),Paramètres!$C$8,O49)),(YEAR(N49)-YEAR(M49))*12+MONTH(N49)-MONTH(M49)+1)))&lt;=0),0,MAX(0,H49*(1-R49/(IF(OR(NOT(ISNUMBER(M49)),NOT(ISNUMBER(N49)),N49&lt;=M49),0,MIN(12*(IF(OR(O49="",NOT(ISNUMBER(O49))),Paramètres!$C$8,O49)),(YEAR(N49)-YEAR(M49))*12+MONTH(N49)-MONTH(M49)+1))))))))</f>
        <v>0</v>
      </c>
      <c r="T49" s="22">
        <f t="shared" si="4"/>
        <v>0</v>
      </c>
      <c r="U49" s="22">
        <f t="shared" si="5"/>
        <v>0</v>
      </c>
      <c r="V49" s="12" t="str">
        <f>IF(COUNTA(B49,C49,D49,E49,F49,G49,I49,M49,N49,O49,P49,R49)&gt;0,IF(AND(COUNT(Paramètres!$C$8:$C$12)=5,COUNT(Paramètres!$C$16:$C$25)=10,ISNUMBER($C$7),B49&lt;&gt;"",NOT(ISNA(MATCH(C49,Paramètres!$B$29:$B$34,0))),NOT(ISNA(MATCH(E49,Paramètres!$D$29:$D$30,0))),ISNUMBER(F49),F49&gt;0,F49&lt;=Paramètres!$C$22,OR(I49="",AND(ISNUMBER(I49),I49&gt;=0,I49&lt;=Paramètres!$C$21)),IF(E49=Paramètres!$D$29,AND(D49&lt;&gt;"",ISNUMBER(G49),G49&gt;0,G49&lt;=Paramètres!$C$21,ISNUMBER(M49),ISNUMBER(N49),N49&gt;M49,(N(N49)-N(M49))/365.25&lt;=Paramètres!$C$23,OR(O49="",AND(ISNUMBER(O49),O49&gt;=1,O49&lt;=Paramètres!$C$23,O49=INT(N(O49)))),OR(P49="",AND(ISNUMBER(P49),P49&gt;$C$7,P49&lt;=N49)),OR(R49="",AND(ISNUMBER(R49),R49&gt;=0,R49&lt;=Paramètres!$C$24,R49&lt;=(IF(OR(NOT(ISNUMBER(M49)),NOT(ISNUMBER(N49)),N49&lt;=M49),0,MIN(12*(IF(OR(O49="",NOT(ISNUMBER(O49))),Paramètres!$C$8,O49)),(YEAR(N49)-YEAR(M49))*12+MONTH(N49)-MONTH(M49)+1)))))),AND(D49="",OR(G49="",G49=0)))),"OK","À CORRIGER"),"")</f>
        <v/>
      </c>
      <c r="W49" s="23" t="str">
        <f>IF(NOT(COUNTA(B49,C49,D49,E49,F49,G49,I49,M49,N49,O49,P49,R49)&gt;0),"",IF(OR(COUNT(Paramètres!$C$8:$C$12)&lt;&gt;5,COUNT(Paramètres!$C$16:$C$25)&lt;&gt;10),"Un paramètre de l'onglet Paramètres est vide.",IF(NOT(ISNUMBER($C$7)),"Date d'analyse manquante.",IF(B49="","Libellé du lot manquant.",IF(ISNA(MATCH(C49,Paramètres!$B$29:$B$34,0)),"Nature hors liste.",IF(ISNA(MATCH(E49,Paramètres!$D$29:$D$30,0)),"Statut hors liste.",IF(NOT(AND(ISNUMBER(F49),F49&gt;0)),"Surface manquante ou nulle.",IF(F49&gt;Paramètres!$C$22,"Surface au-delà du garde-fou de saisie.",IF(AND(I49&lt;&gt;"",NOT(AND(ISNUMBER(I49),I49&gt;=0,I49&lt;=Paramètres!$C$21))),"Valeur locative de marché hors bornes.",IF(AND(E49=Paramètres!$D$29,D49=""),"Lot déclaré loué sans locataire.",IF(AND(E49=Paramètres!$D$29,NOT(AND(ISNUMBER(G49),G49&gt;0))),"Loyer facial manquant ou nul.",IF(AND(E49=Paramètres!$D$29,G49&gt;Paramètres!$C$21),"Loyer facial au-delà du garde-fou de saisie.",IF(AND(E49=Paramètres!$D$29,NOT(ISNUMBER(M49))),"Date de prise d'effet manquante.",IF(AND(E49=Paramètres!$D$29,NOT(ISNUMBER(N49))),"Date d'échéance manquante.",IF(AND(E49=Paramètres!$D$29,N49&lt;=M49),"Échéance antérieure ou égale à la prise d'effet.",IF(AND(E49=Paramètres!$D$29,(N(N49)-N(M49))/365.25&gt;Paramètres!$C$23),"Durée du bail au-delà du garde-fou de saisie.",IF(AND(E49=Paramètres!$D$29,O49&lt;&gt;"",NOT(AND(ISNUMBER(O49),O49&gt;=1,O49&lt;=Paramètres!$C$23,O49=INT(N(O49))))),"Périodicité de sortie hors bornes.",IF(AND(E49=Paramètres!$D$29,P49&lt;&gt;"",NOT(AND(ISNUMBER(P49),P49&gt;$C$7,P49&lt;=N49))),"Sortie forcée hors de l'intervalle admis.",IF(AND(E49=Paramètres!$D$29,R49&lt;&gt;"",NOT(AND(ISNUMBER(R49),R49&gt;=0,R49&lt;=Paramètres!$C$24,R49&lt;=(IF(OR(NOT(ISNUMBER(M49)),NOT(ISNUMBER(N49)),N49&lt;=M49),0,MIN(12*(IF(OR(O49="",NOT(ISNUMBER(O49))),Paramètres!$C$8,O49)),(YEAR(N49)-YEAR(M49))*12+MONTH(N49)-MONTH(M49)+1)))))),"Franchise hors bornes ou plus longue que la période ferme.",IF(AND(E49=Paramètres!$D$30,D49&lt;&gt;""),"Lot vacant avec un locataire renseigné.",IF(AND(E49=Paramètres!$D$30,G49&lt;&gt;"",G49&lt;&gt;0),"Lot vacant avec un loyer renseigné.",IF(AND(E49=Paramètres!$D$29,ISNUMBER(N49),ISNUMBER($C$7),N49&lt;$C$7),"Bail échu, en tacite prolongation.",IF(I49="","Valeur locative de marché non renseignée.","")))))))))))))))))))))))</f>
        <v/>
      </c>
      <c r="X49" s="17">
        <f>IF(AND(V49="OK",E49=Paramètres!$D$29),SUMIFS($H$11:$H$50,$D$11:$D$50,D49,$E$11:$E$50,Paramètres!$D$29,$V$11:$V$50,"OK"),0)</f>
        <v>0</v>
      </c>
    </row>
    <row r="50" spans="2:24" ht="15" customHeight="1" x14ac:dyDescent="0.35">
      <c r="B50" s="14"/>
      <c r="C50" s="14"/>
      <c r="D50" s="14"/>
      <c r="E50" s="14"/>
      <c r="F50" s="15"/>
      <c r="G50" s="16"/>
      <c r="H50" s="17">
        <f t="shared" si="0"/>
        <v>0</v>
      </c>
      <c r="I50" s="16"/>
      <c r="J50" s="17">
        <f t="shared" si="1"/>
        <v>0</v>
      </c>
      <c r="K50" s="17" t="str">
        <f t="shared" si="2"/>
        <v/>
      </c>
      <c r="L50" s="18" t="str">
        <f t="shared" si="3"/>
        <v/>
      </c>
      <c r="M50" s="11"/>
      <c r="N50" s="11"/>
      <c r="O50" s="19"/>
      <c r="P50" s="11"/>
      <c r="Q50" s="20" t="str">
        <f>IF(OR(NOT(ISNUMBER($C$7)),NOT(ISNUMBER(M50)),NOT(ISNUMBER(N50))),"",IF(ISNUMBER(P50),P50,IF((IF(OR(O50="",NOT(ISNUMBER(O50))),Paramètres!$C$8,O50))&lt;=0,"",MIN(EDATE(M50,(12*(IF(OR(O50="",NOT(ISNUMBER(O50))),Paramètres!$C$8,O50)))*MAX(1,INT(((YEAR($C$7+1)-YEAR(M50))*12+MONTH($C$7+1)-MONTH(M50)-(DAY($C$7+1)&lt;DAY(M50)))/(12*(IF(OR(O50="",NOT(ISNUMBER(O50))),Paramètres!$C$8,O50))))+1))-1,N50))))</f>
        <v/>
      </c>
      <c r="R50" s="21"/>
      <c r="S50" s="17">
        <f>IF(H50=0,0,IF(OR(R50="",R50=0),H50,IF(OR(NOT(ISNUMBER(R50)),(IF(OR(NOT(ISNUMBER(M50)),NOT(ISNUMBER(N50)),N50&lt;=M50),0,MIN(12*(IF(OR(O50="",NOT(ISNUMBER(O50))),Paramètres!$C$8,O50)),(YEAR(N50)-YEAR(M50))*12+MONTH(N50)-MONTH(M50)+1)))&lt;=0),0,MAX(0,H50*(1-R50/(IF(OR(NOT(ISNUMBER(M50)),NOT(ISNUMBER(N50)),N50&lt;=M50),0,MIN(12*(IF(OR(O50="",NOT(ISNUMBER(O50))),Paramètres!$C$8,O50)),(YEAR(N50)-YEAR(M50))*12+MONTH(N50)-MONTH(M50)+1))))))))</f>
        <v>0</v>
      </c>
      <c r="T50" s="22">
        <f t="shared" si="4"/>
        <v>0</v>
      </c>
      <c r="U50" s="22">
        <f t="shared" si="5"/>
        <v>0</v>
      </c>
      <c r="V50" s="12" t="str">
        <f>IF(COUNTA(B50,C50,D50,E50,F50,G50,I50,M50,N50,O50,P50,R50)&gt;0,IF(AND(COUNT(Paramètres!$C$8:$C$12)=5,COUNT(Paramètres!$C$16:$C$25)=10,ISNUMBER($C$7),B50&lt;&gt;"",NOT(ISNA(MATCH(C50,Paramètres!$B$29:$B$34,0))),NOT(ISNA(MATCH(E50,Paramètres!$D$29:$D$30,0))),ISNUMBER(F50),F50&gt;0,F50&lt;=Paramètres!$C$22,OR(I50="",AND(ISNUMBER(I50),I50&gt;=0,I50&lt;=Paramètres!$C$21)),IF(E50=Paramètres!$D$29,AND(D50&lt;&gt;"",ISNUMBER(G50),G50&gt;0,G50&lt;=Paramètres!$C$21,ISNUMBER(M50),ISNUMBER(N50),N50&gt;M50,(N(N50)-N(M50))/365.25&lt;=Paramètres!$C$23,OR(O50="",AND(ISNUMBER(O50),O50&gt;=1,O50&lt;=Paramètres!$C$23,O50=INT(N(O50)))),OR(P50="",AND(ISNUMBER(P50),P50&gt;$C$7,P50&lt;=N50)),OR(R50="",AND(ISNUMBER(R50),R50&gt;=0,R50&lt;=Paramètres!$C$24,R50&lt;=(IF(OR(NOT(ISNUMBER(M50)),NOT(ISNUMBER(N50)),N50&lt;=M50),0,MIN(12*(IF(OR(O50="",NOT(ISNUMBER(O50))),Paramètres!$C$8,O50)),(YEAR(N50)-YEAR(M50))*12+MONTH(N50)-MONTH(M50)+1)))))),AND(D50="",OR(G50="",G50=0)))),"OK","À CORRIGER"),"")</f>
        <v/>
      </c>
      <c r="W50" s="23" t="str">
        <f>IF(NOT(COUNTA(B50,C50,D50,E50,F50,G50,I50,M50,N50,O50,P50,R50)&gt;0),"",IF(OR(COUNT(Paramètres!$C$8:$C$12)&lt;&gt;5,COUNT(Paramètres!$C$16:$C$25)&lt;&gt;10),"Un paramètre de l'onglet Paramètres est vide.",IF(NOT(ISNUMBER($C$7)),"Date d'analyse manquante.",IF(B50="","Libellé du lot manquant.",IF(ISNA(MATCH(C50,Paramètres!$B$29:$B$34,0)),"Nature hors liste.",IF(ISNA(MATCH(E50,Paramètres!$D$29:$D$30,0)),"Statut hors liste.",IF(NOT(AND(ISNUMBER(F50),F50&gt;0)),"Surface manquante ou nulle.",IF(F50&gt;Paramètres!$C$22,"Surface au-delà du garde-fou de saisie.",IF(AND(I50&lt;&gt;"",NOT(AND(ISNUMBER(I50),I50&gt;=0,I50&lt;=Paramètres!$C$21))),"Valeur locative de marché hors bornes.",IF(AND(E50=Paramètres!$D$29,D50=""),"Lot déclaré loué sans locataire.",IF(AND(E50=Paramètres!$D$29,NOT(AND(ISNUMBER(G50),G50&gt;0))),"Loyer facial manquant ou nul.",IF(AND(E50=Paramètres!$D$29,G50&gt;Paramètres!$C$21),"Loyer facial au-delà du garde-fou de saisie.",IF(AND(E50=Paramètres!$D$29,NOT(ISNUMBER(M50))),"Date de prise d'effet manquante.",IF(AND(E50=Paramètres!$D$29,NOT(ISNUMBER(N50))),"Date d'échéance manquante.",IF(AND(E50=Paramètres!$D$29,N50&lt;=M50),"Échéance antérieure ou égale à la prise d'effet.",IF(AND(E50=Paramètres!$D$29,(N(N50)-N(M50))/365.25&gt;Paramètres!$C$23),"Durée du bail au-delà du garde-fou de saisie.",IF(AND(E50=Paramètres!$D$29,O50&lt;&gt;"",NOT(AND(ISNUMBER(O50),O50&gt;=1,O50&lt;=Paramètres!$C$23,O50=INT(N(O50))))),"Périodicité de sortie hors bornes.",IF(AND(E50=Paramètres!$D$29,P50&lt;&gt;"",NOT(AND(ISNUMBER(P50),P50&gt;$C$7,P50&lt;=N50))),"Sortie forcée hors de l'intervalle admis.",IF(AND(E50=Paramètres!$D$29,R50&lt;&gt;"",NOT(AND(ISNUMBER(R50),R50&gt;=0,R50&lt;=Paramètres!$C$24,R50&lt;=(IF(OR(NOT(ISNUMBER(M50)),NOT(ISNUMBER(N50)),N50&lt;=M50),0,MIN(12*(IF(OR(O50="",NOT(ISNUMBER(O50))),Paramètres!$C$8,O50)),(YEAR(N50)-YEAR(M50))*12+MONTH(N50)-MONTH(M50)+1)))))),"Franchise hors bornes ou plus longue que la période ferme.",IF(AND(E50=Paramètres!$D$30,D50&lt;&gt;""),"Lot vacant avec un locataire renseigné.",IF(AND(E50=Paramètres!$D$30,G50&lt;&gt;"",G50&lt;&gt;0),"Lot vacant avec un loyer renseigné.",IF(AND(E50=Paramètres!$D$29,ISNUMBER(N50),ISNUMBER($C$7),N50&lt;$C$7),"Bail échu, en tacite prolongation.",IF(I50="","Valeur locative de marché non renseignée.","")))))))))))))))))))))))</f>
        <v/>
      </c>
      <c r="X50" s="17">
        <f>IF(AND(V50="OK",E50=Paramètres!$D$29),SUMIFS($H$11:$H$50,$D$11:$D$50,D50,$E$11:$E$50,Paramètres!$D$29,$V$11:$V$50,"OK"),0)</f>
        <v>0</v>
      </c>
    </row>
    <row r="52" spans="2:24" x14ac:dyDescent="0.35">
      <c r="B52" s="10" t="s">
        <v>279</v>
      </c>
    </row>
    <row r="53" spans="2:24" x14ac:dyDescent="0.35">
      <c r="B53" s="9" t="s">
        <v>280</v>
      </c>
      <c r="D53" s="9" t="s">
        <v>281</v>
      </c>
    </row>
    <row r="54" spans="2:24" x14ac:dyDescent="0.35">
      <c r="B54" s="9" t="s">
        <v>282</v>
      </c>
      <c r="D54" s="9" t="s">
        <v>283</v>
      </c>
    </row>
    <row r="55" spans="2:24" x14ac:dyDescent="0.35">
      <c r="B55" s="9" t="s">
        <v>284</v>
      </c>
      <c r="D55" s="9" t="s">
        <v>285</v>
      </c>
    </row>
    <row r="56" spans="2:24" x14ac:dyDescent="0.35">
      <c r="B56" s="9" t="s">
        <v>286</v>
      </c>
      <c r="D56" s="9" t="s">
        <v>287</v>
      </c>
    </row>
    <row r="57" spans="2:24" x14ac:dyDescent="0.35">
      <c r="B57" s="9" t="s">
        <v>288</v>
      </c>
      <c r="D57" s="9" t="s">
        <v>289</v>
      </c>
    </row>
    <row r="58" spans="2:24" x14ac:dyDescent="0.35">
      <c r="B58" s="9" t="s">
        <v>290</v>
      </c>
      <c r="D58" s="9" t="s">
        <v>291</v>
      </c>
    </row>
    <row r="59" spans="2:24" x14ac:dyDescent="0.35">
      <c r="B59" s="9" t="s">
        <v>292</v>
      </c>
      <c r="D59" s="9" t="s">
        <v>293</v>
      </c>
    </row>
    <row r="60" spans="2:24" x14ac:dyDescent="0.35">
      <c r="B60" s="9" t="s">
        <v>294</v>
      </c>
      <c r="D60" s="9" t="s">
        <v>295</v>
      </c>
    </row>
    <row r="61" spans="2:24" x14ac:dyDescent="0.35">
      <c r="B61" s="9" t="s">
        <v>296</v>
      </c>
      <c r="D61" s="9" t="s">
        <v>297</v>
      </c>
    </row>
    <row r="62" spans="2:24" x14ac:dyDescent="0.35">
      <c r="B62" s="9" t="s">
        <v>298</v>
      </c>
      <c r="D62" s="9" t="s">
        <v>299</v>
      </c>
    </row>
    <row r="63" spans="2:24" x14ac:dyDescent="0.35">
      <c r="B63" s="9" t="s">
        <v>300</v>
      </c>
      <c r="D63" s="9" t="s">
        <v>301</v>
      </c>
    </row>
    <row r="64" spans="2:24" x14ac:dyDescent="0.35">
      <c r="B64" s="9" t="s">
        <v>302</v>
      </c>
      <c r="D64" s="9" t="s">
        <v>303</v>
      </c>
    </row>
    <row r="66" spans="2:24" ht="36" customHeight="1" x14ac:dyDescent="0.35">
      <c r="B66" s="46" t="s">
        <v>233</v>
      </c>
      <c r="C66" s="41"/>
      <c r="D66" s="41"/>
      <c r="E66" s="41"/>
      <c r="F66" s="41"/>
      <c r="G66" s="41"/>
      <c r="H66" s="41"/>
      <c r="I66" s="41"/>
      <c r="J66" s="41"/>
      <c r="K66" s="41"/>
      <c r="L66" s="41"/>
      <c r="M66" s="41"/>
      <c r="N66" s="41"/>
      <c r="O66" s="41"/>
      <c r="P66" s="41"/>
      <c r="Q66" s="41"/>
      <c r="R66" s="41"/>
      <c r="S66" s="41"/>
      <c r="T66" s="41"/>
      <c r="U66" s="41"/>
      <c r="V66" s="41"/>
      <c r="W66" s="41"/>
      <c r="X66" s="41"/>
    </row>
  </sheetData>
  <sheetProtection sheet="1" formatColumns="0" formatRows="0" autoFilter="0"/>
  <autoFilter ref="B10:X50" xr:uid="{00000000-0009-0000-0000-000001000000}"/>
  <mergeCells count="1">
    <mergeCell ref="B66:X66"/>
  </mergeCells>
  <conditionalFormatting sqref="C8">
    <cfRule type="cellIs" dxfId="13" priority="1" operator="equal">
      <formula>"OK"</formula>
    </cfRule>
    <cfRule type="cellIs" dxfId="12" priority="2" operator="equal">
      <formula>"À CORRIGER"</formula>
    </cfRule>
  </conditionalFormatting>
  <conditionalFormatting sqref="V11:V50">
    <cfRule type="cellIs" dxfId="11" priority="3" operator="equal">
      <formula>"OK"</formula>
    </cfRule>
    <cfRule type="cellIs" dxfId="10" priority="4" operator="equal">
      <formula>"À CORRIGER"</formula>
    </cfRule>
  </conditionalFormatting>
  <dataValidations count="1">
    <dataValidation type="date" operator="greaterThan" allowBlank="1" showErrorMessage="1" errorTitle="Saisie" error="Une vraie date, au format jj/mm/aaaa." sqref="C7 M11:M50 N11:N50 P11:P50" xr:uid="{00000000-0002-0000-0100-000007000000}">
      <formula1>1</formula1>
    </dataValidation>
  </dataValidations>
  <pageMargins left="0.75" right="0.75" top="1" bottom="1" header="0.5" footer="0.5"/>
  <pageSetup orientation="landscape"/>
  <extLst>
    <ext xmlns:x14="http://schemas.microsoft.com/office/spreadsheetml/2009/9/main" uri="{CCE6A557-97BC-4b89-ADB6-D9C93CAAB3DF}">
      <x14:dataValidations xmlns:xm="http://schemas.microsoft.com/office/excel/2006/main" count="7">
        <x14:dataValidation type="list" allowBlank="1" showErrorMessage="1" errorTitle="Choisir dans la liste" error="Choisissez la nature du lot dans la liste (onglet Paramètres)." xr:uid="{00000000-0002-0000-0100-000000000000}">
          <x14:formula1>
            <xm:f>Paramètres!$B$29:$B$34</xm:f>
          </x14:formula1>
          <xm:sqref>C11:C50</xm:sqref>
        </x14:dataValidation>
        <x14:dataValidation type="list" allowBlank="1" showErrorMessage="1" errorTitle="Choisir dans la liste" error="Choisissez le statut du lot dans la liste (onglet Paramètres) : Loué ou Vacant." xr:uid="{00000000-0002-0000-0100-000001000000}">
          <x14:formula1>
            <xm:f>Paramètres!$D$29:$D$30</xm:f>
          </x14:formula1>
          <xm:sqref>E11:E50</xm:sqref>
        </x14:dataValidation>
        <x14:dataValidation type="decimal" allowBlank="1" showErrorMessage="1" errorTitle="Saisie" error="Surface du lot en mètres carrés, positive et sous le garde-fou de Paramètres." xr:uid="{00000000-0002-0000-0100-000002000000}">
          <x14:formula1>
            <xm:f>0</xm:f>
          </x14:formula1>
          <x14:formula2>
            <xm:f>Paramètres!$C$22</xm:f>
          </x14:formula2>
          <xm:sqref>F11:F50</xm:sqref>
        </x14:dataValidation>
        <x14:dataValidation type="decimal" allowBlank="1" showErrorMessage="1" errorTitle="Saisie" error="Loyer facial par mètre carré et par an, sous le garde-fou de Paramètres." xr:uid="{00000000-0002-0000-0100-000003000000}">
          <x14:formula1>
            <xm:f>0</xm:f>
          </x14:formula1>
          <x14:formula2>
            <xm:f>Paramètres!$C$21</xm:f>
          </x14:formula2>
          <xm:sqref>G11:G50</xm:sqref>
        </x14:dataValidation>
        <x14:dataValidation type="decimal" allowBlank="1" showErrorMessage="1" errorTitle="Saisie" error="Valeur locative de marché par mètre carré et par an, sous le garde-fou de Paramètres." xr:uid="{00000000-0002-0000-0100-000004000000}">
          <x14:formula1>
            <xm:f>0</xm:f>
          </x14:formula1>
          <x14:formula2>
            <xm:f>Paramètres!$C$21</xm:f>
          </x14:formula2>
          <xm:sqref>I11:I50</xm:sqref>
        </x14:dataValidation>
        <x14:dataValidation type="whole" allowBlank="1" showErrorMessage="1" errorTitle="Saisie" error="Périodicité de sortie en années entières. Laissez vide pour la périodicité légale." xr:uid="{00000000-0002-0000-0100-000005000000}">
          <x14:formula1>
            <xm:f>1</xm:f>
          </x14:formula1>
          <x14:formula2>
            <xm:f>Paramètres!$C$23</xm:f>
          </x14:formula2>
          <xm:sqref>O11:O50</xm:sqref>
        </x14:dataValidation>
        <x14:dataValidation type="decimal" allowBlank="1" showErrorMessage="1" errorTitle="Saisie" error="Franchise en mois, sous le garde-fou de Paramètres et au plus égale à la période ferme." xr:uid="{00000000-0002-0000-0100-000006000000}">
          <x14:formula1>
            <xm:f>0</xm:f>
          </x14:formula1>
          <x14:formula2>
            <xm:f>Paramètres!$C$24</xm:f>
          </x14:formula2>
          <xm:sqref>R11:R50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50"/>
  <sheetViews>
    <sheetView showGridLines="0" workbookViewId="0">
      <selection activeCell="B1" sqref="B1"/>
    </sheetView>
  </sheetViews>
  <sheetFormatPr baseColWidth="10" defaultColWidth="8.7265625" defaultRowHeight="14.5" x14ac:dyDescent="0.35"/>
  <cols>
    <col min="1" max="1" width="2" customWidth="1"/>
    <col min="2" max="2" width="54" customWidth="1"/>
    <col min="3" max="3" width="18" customWidth="1"/>
    <col min="4" max="4" width="96" customWidth="1"/>
  </cols>
  <sheetData>
    <row r="1" spans="2:4" ht="20" customHeight="1" x14ac:dyDescent="0.35">
      <c r="B1" s="1" t="s">
        <v>0</v>
      </c>
      <c r="C1" s="1"/>
      <c r="D1" s="1"/>
    </row>
    <row r="2" spans="2:4" ht="26" customHeight="1" x14ac:dyDescent="0.35">
      <c r="B2" s="2" t="s">
        <v>32</v>
      </c>
    </row>
    <row r="3" spans="2:4" x14ac:dyDescent="0.35">
      <c r="B3" s="3" t="s">
        <v>304</v>
      </c>
    </row>
    <row r="5" spans="2:4" x14ac:dyDescent="0.35">
      <c r="B5" s="9" t="s">
        <v>305</v>
      </c>
    </row>
    <row r="6" spans="2:4" ht="18" customHeight="1" x14ac:dyDescent="0.35">
      <c r="B6" s="1" t="s">
        <v>306</v>
      </c>
      <c r="C6" s="1"/>
      <c r="D6" s="1"/>
    </row>
    <row r="7" spans="2:4" x14ac:dyDescent="0.35">
      <c r="B7" s="24" t="s">
        <v>239</v>
      </c>
      <c r="C7" s="12" t="str">
        <f>IF(AND(ISNUMBER('Rent roll'!$C$7),COUNT(Paramètres!$C$8:$C$12)=5,COUNT(Paramètres!$C$16:$C$25)=10,Synthèse!$C$34&gt;0,Synthèse!$C$35=0),"OK","À CORRIGER")</f>
        <v>OK</v>
      </c>
      <c r="D7" s="9" t="s">
        <v>307</v>
      </c>
    </row>
    <row r="8" spans="2:4" x14ac:dyDescent="0.35">
      <c r="B8" s="24" t="s">
        <v>308</v>
      </c>
      <c r="C8" s="12" t="str">
        <f>IF(Synthèse!$C$35=0,"OK","À CORRIGER")</f>
        <v>OK</v>
      </c>
      <c r="D8" s="9" t="s">
        <v>309</v>
      </c>
    </row>
    <row r="9" spans="2:4" x14ac:dyDescent="0.35">
      <c r="B9" s="24" t="s">
        <v>310</v>
      </c>
      <c r="C9" s="25" t="str">
        <f>IF(Synthèse!$C$35=0,"","Ligne "&amp;TEXT(ROW('Rent roll'!$B$11)+MIN(IF(COUNTIF('Rent roll'!$V$11:$V$50,"À CORRIGER")=0,ROWS('Rent roll'!$V$11:$V$50)+1,MATCH("À CORRIGER",'Rent roll'!$V$11:$V$50,0)),IF(COUNTIF('Rent roll'!$W$11:$W$50,"Valeur locative de marché non renseignée.")=0,ROWS('Rent roll'!$V$11:$V$50)+1,MATCH("Valeur locative de marché non renseignée.",'Rent roll'!$W$11:$W$50,0)))-1,"0")&amp;IF(INDEX('Rent roll'!$B$11:$B$50,MIN(IF(COUNTIF('Rent roll'!$V$11:$V$50,"À CORRIGER")=0,ROWS('Rent roll'!$V$11:$V$50)+1,MATCH("À CORRIGER",'Rent roll'!$V$11:$V$50,0)),IF(COUNTIF('Rent roll'!$W$11:$W$50,"Valeur locative de marché non renseignée.")=0,ROWS('Rent roll'!$V$11:$V$50)+1,MATCH("Valeur locative de marché non renseignée.",'Rent roll'!$W$11:$W$50,0))))="",""," : "&amp;INDEX('Rent roll'!$B$11:$B$50,MIN(IF(COUNTIF('Rent roll'!$V$11:$V$50,"À CORRIGER")=0,ROWS('Rent roll'!$V$11:$V$50)+1,MATCH("À CORRIGER",'Rent roll'!$V$11:$V$50,0)),IF(COUNTIF('Rent roll'!$W$11:$W$50,"Valeur locative de marché non renseignée.")=0,ROWS('Rent roll'!$V$11:$V$50)+1,MATCH("Valeur locative de marché non renseignée.",'Rent roll'!$W$11:$W$50,0))))))</f>
        <v/>
      </c>
      <c r="D9" s="9" t="s">
        <v>311</v>
      </c>
    </row>
    <row r="10" spans="2:4" x14ac:dyDescent="0.35">
      <c r="B10" s="24" t="s">
        <v>312</v>
      </c>
      <c r="C10" s="12" t="str">
        <f>IF(AND(COUNTIF('Rent roll'!$V$11:$V$50,"OK")&gt;0,COUNTIFS('Rent roll'!$V$11:$V$50,"OK",'Rent roll'!$I$11:$I$50,"")=0),"OK","À CORRIGER")</f>
        <v>OK</v>
      </c>
      <c r="D10" s="9" t="s">
        <v>313</v>
      </c>
    </row>
    <row r="11" spans="2:4" x14ac:dyDescent="0.35">
      <c r="B11" s="24" t="s">
        <v>314</v>
      </c>
      <c r="C11" s="12" t="str">
        <f>IF(AND(ROUND(Échéancier!$C$27,2)=ROUND(Synthèse!$C$24,2),ROUND(Échéancier!$F$27,2)=ROUND(Synthèse!$C$24,2)),"OK","À CORRIGER")</f>
        <v>OK</v>
      </c>
      <c r="D11" s="9" t="s">
        <v>315</v>
      </c>
    </row>
    <row r="12" spans="2:4" x14ac:dyDescent="0.35">
      <c r="B12" s="24" t="s">
        <v>316</v>
      </c>
      <c r="C12" s="12" t="str">
        <f>IF(AND(ISNUMBER(Paramètres!$C$25),OR(NOT(ISNUMBER(Paramètres!$C$16)),Paramètres!$C$16&lt;=0,Paramètres!$C$16&gt;=Paramètres!$C$25),OR(NOT(ISNUMBER(Paramètres!$C$17)),Paramètres!$C$17&lt;=0,Paramètres!$C$17&gt;=Paramètres!$C$25)),"OK","À CORRIGER")</f>
        <v>OK</v>
      </c>
      <c r="D12" s="9" t="s">
        <v>317</v>
      </c>
    </row>
    <row r="14" spans="2:4" ht="18" customHeight="1" x14ac:dyDescent="0.35">
      <c r="B14" s="1" t="s">
        <v>318</v>
      </c>
      <c r="C14" s="1"/>
      <c r="D14" s="1"/>
    </row>
    <row r="15" spans="2:4" x14ac:dyDescent="0.35">
      <c r="B15" s="24" t="s">
        <v>319</v>
      </c>
      <c r="C15" s="26">
        <f>SUMIFS('Rent roll'!$F$11:$F$50,'Rent roll'!$V$11:$V$50,"OK")</f>
        <v>1755</v>
      </c>
      <c r="D15" s="9" t="s">
        <v>320</v>
      </c>
    </row>
    <row r="16" spans="2:4" x14ac:dyDescent="0.35">
      <c r="B16" s="24" t="s">
        <v>321</v>
      </c>
      <c r="C16" s="26">
        <f>SUMIFS('Rent roll'!$F$11:$F$50,'Rent roll'!$V$11:$V$50,"OK",'Rent roll'!$E$11:$E$50,Paramètres!$D$29)</f>
        <v>1660</v>
      </c>
      <c r="D16" s="9" t="s">
        <v>322</v>
      </c>
    </row>
    <row r="17" spans="2:4" x14ac:dyDescent="0.35">
      <c r="B17" s="24" t="s">
        <v>323</v>
      </c>
      <c r="C17" s="26">
        <f>SUMIFS('Rent roll'!$F$11:$F$50,'Rent roll'!$V$11:$V$50,"OK",'Rent roll'!$E$11:$E$50,Paramètres!$D$30)</f>
        <v>95</v>
      </c>
      <c r="D17" s="9" t="s">
        <v>324</v>
      </c>
    </row>
    <row r="18" spans="2:4" x14ac:dyDescent="0.35">
      <c r="B18" s="10" t="s">
        <v>325</v>
      </c>
      <c r="C18" s="27">
        <f>IF(Synthèse!$C$15=0,"",Synthèse!$C$16/Synthèse!$C$15)</f>
        <v>0.94586894586894588</v>
      </c>
      <c r="D18" s="9" t="s">
        <v>326</v>
      </c>
    </row>
    <row r="19" spans="2:4" x14ac:dyDescent="0.35">
      <c r="B19" s="24" t="s">
        <v>327</v>
      </c>
      <c r="C19" s="17">
        <f>SUMIFS('Rent roll'!$J$11:$J$50,'Rent roll'!$V$11:$V$50,"OK")</f>
        <v>566100</v>
      </c>
      <c r="D19" s="9" t="s">
        <v>328</v>
      </c>
    </row>
    <row r="20" spans="2:4" x14ac:dyDescent="0.35">
      <c r="B20" s="24" t="s">
        <v>329</v>
      </c>
      <c r="C20" s="17">
        <f>SUMIFS('Rent roll'!$J$11:$J$50,'Rent roll'!$V$11:$V$50,"OK",'Rent roll'!$E$11:$E$50,Paramètres!$D$30)</f>
        <v>36100</v>
      </c>
      <c r="D20" s="9" t="s">
        <v>330</v>
      </c>
    </row>
    <row r="21" spans="2:4" ht="21" customHeight="1" x14ac:dyDescent="0.35">
      <c r="B21" s="10" t="s">
        <v>140</v>
      </c>
      <c r="C21" s="28">
        <f>IF(OR(Synthèse!$C$10&lt;&gt;"OK",Synthèse!$C$19=0),"",1-Synthèse!$C$20/Synthèse!$C$19)</f>
        <v>0.93623034799505389</v>
      </c>
      <c r="D21" s="9" t="s">
        <v>331</v>
      </c>
    </row>
    <row r="23" spans="2:4" ht="18" customHeight="1" x14ac:dyDescent="0.35">
      <c r="B23" s="1" t="s">
        <v>332</v>
      </c>
      <c r="C23" s="1"/>
      <c r="D23" s="1"/>
    </row>
    <row r="24" spans="2:4" x14ac:dyDescent="0.35">
      <c r="B24" s="10" t="s">
        <v>333</v>
      </c>
      <c r="C24" s="29">
        <f>SUMIFS('Rent roll'!$H$11:$H$50,'Rent roll'!$V$11:$V$50,"OK",'Rent roll'!$E$11:$E$50,Paramètres!$D$29)</f>
        <v>500730</v>
      </c>
      <c r="D24" s="9" t="s">
        <v>334</v>
      </c>
    </row>
    <row r="25" spans="2:4" x14ac:dyDescent="0.35">
      <c r="B25" s="10" t="s">
        <v>335</v>
      </c>
      <c r="C25" s="29">
        <f>SUMIFS('Rent roll'!$S$11:$S$50,'Rent roll'!$V$11:$V$50,"OK",'Rent roll'!$E$11:$E$50,Paramètres!$D$29)</f>
        <v>476956.66666666663</v>
      </c>
      <c r="D25" s="9" t="s">
        <v>336</v>
      </c>
    </row>
    <row r="26" spans="2:4" x14ac:dyDescent="0.35">
      <c r="B26" s="24" t="s">
        <v>337</v>
      </c>
      <c r="C26" s="17">
        <f>Synthèse!$C$24-Synthèse!$C$25</f>
        <v>23773.333333333372</v>
      </c>
      <c r="D26" s="9" t="s">
        <v>338</v>
      </c>
    </row>
    <row r="27" spans="2:4" x14ac:dyDescent="0.35">
      <c r="B27" s="24" t="s">
        <v>339</v>
      </c>
      <c r="C27" s="18">
        <f>IF(Synthèse!$C$24=0,"",Synthèse!$C$26/Synthèse!$C$24)</f>
        <v>4.747734973605211E-2</v>
      </c>
      <c r="D27" s="9" t="s">
        <v>340</v>
      </c>
    </row>
    <row r="28" spans="2:4" x14ac:dyDescent="0.35">
      <c r="B28" s="24" t="s">
        <v>341</v>
      </c>
      <c r="C28" s="30">
        <f>IF(Synthèse!$C$16=0,"",Synthèse!$C$24/Synthèse!$C$16)</f>
        <v>301.64457831325302</v>
      </c>
      <c r="D28" s="9" t="s">
        <v>342</v>
      </c>
    </row>
    <row r="29" spans="2:4" x14ac:dyDescent="0.35">
      <c r="B29" s="24" t="s">
        <v>343</v>
      </c>
      <c r="C29" s="17">
        <f>IF(Synthèse!$C$10&lt;&gt;"OK","",SUMIFS('Rent roll'!$J$11:$J$50,'Rent roll'!$V$11:$V$50,"OK",'Rent roll'!$E$11:$E$50,Paramètres!$D$29))</f>
        <v>530000</v>
      </c>
      <c r="D29" s="9" t="s">
        <v>344</v>
      </c>
    </row>
    <row r="30" spans="2:4" x14ac:dyDescent="0.35">
      <c r="B30" s="10" t="s">
        <v>144</v>
      </c>
      <c r="C30" s="29">
        <f>IF(OR(Synthèse!$C$10&lt;&gt;"OK",Synthèse!$C$24=0,Synthèse!$C$29=0),"",Synthèse!$C$29-Synthèse!$C$24)</f>
        <v>29270</v>
      </c>
      <c r="D30" s="9" t="s">
        <v>345</v>
      </c>
    </row>
    <row r="31" spans="2:4" x14ac:dyDescent="0.35">
      <c r="B31" s="10" t="s">
        <v>346</v>
      </c>
      <c r="C31" s="27">
        <f>IF(OR(Synthèse!$C$10&lt;&gt;"OK",Synthèse!$C$24=0,Synthèse!$C$29=0),"",Synthèse!$C$29/Synthèse!$C$24-1)</f>
        <v>5.8454656201945232E-2</v>
      </c>
      <c r="D31" s="9" t="s">
        <v>347</v>
      </c>
    </row>
    <row r="33" spans="2:4" ht="18" customHeight="1" x14ac:dyDescent="0.35">
      <c r="B33" s="1" t="s">
        <v>348</v>
      </c>
      <c r="C33" s="1"/>
      <c r="D33" s="1"/>
    </row>
    <row r="34" spans="2:4" x14ac:dyDescent="0.35">
      <c r="B34" s="24" t="s">
        <v>349</v>
      </c>
      <c r="C34" s="31">
        <f>COUNTIFS('Rent roll'!$V$11:$V$50,"OK",'Rent roll'!$E$11:$E$50,Paramètres!$D$29)</f>
        <v>6</v>
      </c>
      <c r="D34" s="9" t="s">
        <v>350</v>
      </c>
    </row>
    <row r="35" spans="2:4" x14ac:dyDescent="0.35">
      <c r="B35" s="24" t="s">
        <v>351</v>
      </c>
      <c r="C35" s="31">
        <f>COUNTIF('Rent roll'!$V$11:$V$50,"À CORRIGER")+COUNTIFS('Rent roll'!$V$11:$V$50,"OK",'Rent roll'!$I$11:$I$50,"")</f>
        <v>0</v>
      </c>
      <c r="D35" s="9" t="s">
        <v>352</v>
      </c>
    </row>
    <row r="36" spans="2:4" x14ac:dyDescent="0.35">
      <c r="B36" s="24" t="s">
        <v>353</v>
      </c>
      <c r="C36" s="31">
        <f>COUNTIFS('Rent roll'!$V$11:$V$50,"OK",'Rent roll'!$E$11:$E$50,Paramètres!$D$29,'Rent roll'!$N$11:$N$50,"&lt;"&amp;'Rent roll'!$C$7)</f>
        <v>0</v>
      </c>
      <c r="D36" s="9" t="s">
        <v>354</v>
      </c>
    </row>
    <row r="37" spans="2:4" x14ac:dyDescent="0.35">
      <c r="B37" s="24" t="s">
        <v>355</v>
      </c>
      <c r="C37" s="17">
        <f>SUMIFS('Rent roll'!$H$11:$H$50,'Rent roll'!$V$11:$V$50,"OK",'Rent roll'!$E$11:$E$50,Paramètres!$D$29,'Rent roll'!$N$11:$N$50,"&lt;"&amp;'Rent roll'!$C$7)</f>
        <v>0</v>
      </c>
      <c r="D37" s="9" t="s">
        <v>356</v>
      </c>
    </row>
    <row r="38" spans="2:4" ht="21" customHeight="1" x14ac:dyDescent="0.35">
      <c r="B38" s="10" t="s">
        <v>357</v>
      </c>
      <c r="C38" s="32">
        <f>IF(Synthèse!$C$24=0,"",SUMPRODUCT(('Rent roll'!$V$11:$V$50="OK")*('Rent roll'!$E$11:$E$50=Paramètres!$D$29)*'Rent roll'!$H$11:$H$50*'Rent roll'!$T$11:$T$50)/Synthèse!$C$24)</f>
        <v>4.833400784478207</v>
      </c>
      <c r="D38" s="9" t="s">
        <v>358</v>
      </c>
    </row>
    <row r="39" spans="2:4" ht="21" customHeight="1" x14ac:dyDescent="0.35">
      <c r="B39" s="10" t="s">
        <v>128</v>
      </c>
      <c r="C39" s="32">
        <f>IF(Synthèse!$C$24=0,"",SUMPRODUCT(('Rent roll'!$V$11:$V$50="OK")*('Rent roll'!$E$11:$E$50=Paramètres!$D$29)*'Rent roll'!$H$11:$H$50*'Rent roll'!$U$11:$U$50)/Synthèse!$C$24)</f>
        <v>2.1599133574358573</v>
      </c>
      <c r="D39" s="9" t="s">
        <v>359</v>
      </c>
    </row>
    <row r="40" spans="2:4" x14ac:dyDescent="0.35">
      <c r="B40" s="24" t="s">
        <v>360</v>
      </c>
      <c r="C40" s="22">
        <f>IF(Synthèse!$C$25=0,"",SUMPRODUCT(('Rent roll'!$V$11:$V$50="OK")*('Rent roll'!$E$11:$E$50=Paramètres!$D$29)*'Rent roll'!$S$11:$S$50*'Rent roll'!$T$11:$T$50)/Synthèse!$C$25)</f>
        <v>4.7611342097997582</v>
      </c>
      <c r="D40" s="9" t="s">
        <v>361</v>
      </c>
    </row>
    <row r="41" spans="2:4" x14ac:dyDescent="0.35">
      <c r="B41" s="24" t="s">
        <v>362</v>
      </c>
      <c r="C41" s="22">
        <f>IF(Synthèse!$C$25=0,"",SUMPRODUCT(('Rent roll'!$V$11:$V$50="OK")*('Rent roll'!$E$11:$E$50=Paramètres!$D$29)*'Rent roll'!$S$11:$S$50*'Rent roll'!$U$11:$U$50)/Synthèse!$C$25)</f>
        <v>2.1039555267962626</v>
      </c>
      <c r="D41" s="9" t="s">
        <v>363</v>
      </c>
    </row>
    <row r="42" spans="2:4" x14ac:dyDescent="0.35">
      <c r="B42" s="24" t="s">
        <v>364</v>
      </c>
      <c r="C42" s="22">
        <f>IF(OR(Synthèse!$C$38="",Synthèse!$C$39=""),"",Synthèse!$C$38-Synthèse!$C$39)</f>
        <v>2.6734874270423497</v>
      </c>
      <c r="D42" s="9" t="s">
        <v>365</v>
      </c>
    </row>
    <row r="44" spans="2:4" ht="18" customHeight="1" x14ac:dyDescent="0.35">
      <c r="B44" s="1" t="s">
        <v>366</v>
      </c>
      <c r="C44" s="1"/>
      <c r="D44" s="1"/>
    </row>
    <row r="45" spans="2:4" x14ac:dyDescent="0.35">
      <c r="B45" s="24" t="s">
        <v>367</v>
      </c>
      <c r="C45" s="31">
        <f>IF(Synthèse!$C$24=0,0,ROUND(SUMPRODUCT(('Rent roll'!$V$11:$V$50="OK")*('Rent roll'!$E$11:$E$50=Paramètres!$D$29)*'Rent roll'!$H$11:$H$50/('Rent roll'!$X$11:$X$50+('Rent roll'!$X$11:$X$50=0))),0))</f>
        <v>5</v>
      </c>
      <c r="D45" s="9" t="s">
        <v>368</v>
      </c>
    </row>
    <row r="46" spans="2:4" x14ac:dyDescent="0.35">
      <c r="B46" s="24" t="s">
        <v>369</v>
      </c>
      <c r="C46" s="25" t="str">
        <f>IF(Synthèse!$C$24=0,"",INDEX('Rent roll'!$D$11:$D$50,MATCH(MAX('Rent roll'!$X$11:$X$50),'Rent roll'!$X$11:$X$50,0)))</f>
        <v>Locataire Alpha</v>
      </c>
      <c r="D46" s="9" t="s">
        <v>370</v>
      </c>
    </row>
    <row r="47" spans="2:4" x14ac:dyDescent="0.35">
      <c r="B47" s="10" t="s">
        <v>152</v>
      </c>
      <c r="C47" s="27">
        <f>IF(Synthèse!$C$24=0,"",MAX('Rent roll'!$X$11:$X$50)/Synthèse!$C$24)</f>
        <v>0.35564076448385357</v>
      </c>
      <c r="D47" s="9" t="s">
        <v>371</v>
      </c>
    </row>
    <row r="48" spans="2:4" x14ac:dyDescent="0.35">
      <c r="B48" s="24" t="s">
        <v>372</v>
      </c>
      <c r="C48" s="12" t="str">
        <f>IF(Synthèse!$C$47&lt;&gt;"",IF(Synthèse!$C$47&lt;=Paramètres!$C$17,"OK","À CORRIGER"),"")</f>
        <v>OK</v>
      </c>
      <c r="D48" s="9" t="s">
        <v>373</v>
      </c>
    </row>
    <row r="50" spans="2:4" ht="36" customHeight="1" x14ac:dyDescent="0.35">
      <c r="B50" s="46" t="s">
        <v>233</v>
      </c>
      <c r="C50" s="41"/>
      <c r="D50" s="41"/>
    </row>
  </sheetData>
  <sheetProtection sheet="1" formatColumns="0" formatRows="0"/>
  <mergeCells count="1">
    <mergeCell ref="B50:D50"/>
  </mergeCells>
  <conditionalFormatting sqref="C7:C8">
    <cfRule type="cellIs" dxfId="9" priority="1" operator="equal">
      <formula>"OK"</formula>
    </cfRule>
    <cfRule type="cellIs" dxfId="8" priority="2" operator="equal">
      <formula>"À CORRIGER"</formula>
    </cfRule>
  </conditionalFormatting>
  <conditionalFormatting sqref="C10:C12">
    <cfRule type="cellIs" dxfId="7" priority="5" operator="equal">
      <formula>"OK"</formula>
    </cfRule>
    <cfRule type="cellIs" dxfId="6" priority="6" operator="equal">
      <formula>"À CORRIGER"</formula>
    </cfRule>
  </conditionalFormatting>
  <conditionalFormatting sqref="C48">
    <cfRule type="cellIs" dxfId="5" priority="11" operator="equal">
      <formula>"OK"</formula>
    </cfRule>
    <cfRule type="cellIs" dxfId="4" priority="12" operator="equal">
      <formula>"À CORRIGER"</formula>
    </cfRule>
  </conditionalFormatting>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8578"/>
  </sheetPr>
  <dimension ref="B1:I30"/>
  <sheetViews>
    <sheetView showGridLines="0" workbookViewId="0">
      <pane xSplit="2" ySplit="9" topLeftCell="C10"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48" customWidth="1"/>
    <col min="3" max="3" width="16" customWidth="1"/>
    <col min="4" max="5" width="13" customWidth="1"/>
    <col min="6" max="6" width="17" customWidth="1"/>
    <col min="7" max="8" width="14" customWidth="1"/>
    <col min="9" max="9" width="40" customWidth="1"/>
  </cols>
  <sheetData>
    <row r="1" spans="2:9" ht="20" customHeight="1" x14ac:dyDescent="0.35">
      <c r="B1" s="1" t="s">
        <v>0</v>
      </c>
      <c r="C1" s="1"/>
      <c r="D1" s="1"/>
      <c r="E1" s="1"/>
      <c r="F1" s="1"/>
      <c r="G1" s="1"/>
      <c r="H1" s="1"/>
      <c r="I1" s="1"/>
    </row>
    <row r="2" spans="2:9" ht="26" customHeight="1" x14ac:dyDescent="0.35">
      <c r="B2" s="2" t="s">
        <v>374</v>
      </c>
    </row>
    <row r="3" spans="2:9" x14ac:dyDescent="0.35">
      <c r="B3" s="3" t="s">
        <v>375</v>
      </c>
    </row>
    <row r="5" spans="2:9" x14ac:dyDescent="0.35">
      <c r="B5" s="9" t="s">
        <v>376</v>
      </c>
    </row>
    <row r="6" spans="2:9" x14ac:dyDescent="0.35">
      <c r="B6" s="9" t="s">
        <v>377</v>
      </c>
    </row>
    <row r="7" spans="2:9" x14ac:dyDescent="0.35">
      <c r="B7" s="9" t="s">
        <v>378</v>
      </c>
    </row>
    <row r="9" spans="2:9" ht="30" customHeight="1" x14ac:dyDescent="0.35">
      <c r="B9" s="13" t="s">
        <v>379</v>
      </c>
      <c r="C9" s="13" t="s">
        <v>380</v>
      </c>
      <c r="D9" s="13" t="s">
        <v>381</v>
      </c>
      <c r="E9" s="13" t="s">
        <v>382</v>
      </c>
      <c r="F9" s="13" t="s">
        <v>383</v>
      </c>
      <c r="G9" s="13" t="s">
        <v>384</v>
      </c>
      <c r="H9" s="13" t="s">
        <v>385</v>
      </c>
      <c r="I9" s="13" t="s">
        <v>386</v>
      </c>
    </row>
    <row r="10" spans="2:9" x14ac:dyDescent="0.35">
      <c r="B10" s="10" t="s">
        <v>353</v>
      </c>
      <c r="C10" s="17">
        <f>IF(NOT(ISNUMBER('Rent roll'!$C$7)),0,SUMIFS('Rent roll'!$H$11:$H$50,'Rent roll'!$E$11:$E$50,Paramètres!$D$29,'Rent roll'!$V$11:$V$50,"OK",'Rent roll'!$N$11:$N$50,"&lt;"&amp;'Rent roll'!$C$7))</f>
        <v>0</v>
      </c>
      <c r="D10" s="18">
        <f>IF(Synthèse!$C$24=0,"",C10/Synthèse!$C$24)</f>
        <v>0</v>
      </c>
      <c r="E10" s="31">
        <f>IF(NOT(ISNUMBER('Rent roll'!$C$7)),0,COUNTIFS('Rent roll'!$E$11:$E$50,Paramètres!$D$29,'Rent roll'!$V$11:$V$50,"OK",'Rent roll'!$N$11:$N$50,"&lt;"&amp;'Rent roll'!$C$7))</f>
        <v>0</v>
      </c>
      <c r="F10" s="17">
        <f>IF(NOT(ISNUMBER('Rent roll'!$C$7)),0,SUMIFS('Rent roll'!$H$11:$H$50,'Rent roll'!$E$11:$E$50,Paramètres!$D$29,'Rent roll'!$V$11:$V$50,"OK",'Rent roll'!$Q$11:$Q$50,"&lt;"&amp;'Rent roll'!$C$7))</f>
        <v>0</v>
      </c>
      <c r="G10" s="18">
        <f>IF(Synthèse!$C$24=0,"",F10/Synthèse!$C$24)</f>
        <v>0</v>
      </c>
      <c r="H10" s="31">
        <f>IF(NOT(ISNUMBER('Rent roll'!$C$7)),0,COUNTIFS('Rent roll'!$E$11:$E$50,Paramètres!$D$29,'Rent roll'!$V$11:$V$50,"OK",'Rent roll'!$Q$11:$Q$50,"&lt;"&amp;'Rent roll'!$C$7))</f>
        <v>0</v>
      </c>
      <c r="I10" s="23" t="str">
        <f>IF(OR(F10=0,NOT(ISNUMBER(Paramètres!$C$9))),"","Congé à tout moment, préavis de "&amp;TEXT(Paramètres!$C$9,"0")&amp;" mois.")</f>
        <v/>
      </c>
    </row>
    <row r="11" spans="2:9" x14ac:dyDescent="0.35">
      <c r="B11" s="33">
        <f>IF(NOT(ISNUMBER('Rent roll'!$C$7)),"",YEAR('Rent roll'!$C$7))</f>
        <v>2026</v>
      </c>
      <c r="C11" s="17">
        <f>IF($B11="",0,SUMIFS('Rent roll'!$H$11:$H$50,'Rent roll'!$E$11:$E$50,Paramètres!$D$29,'Rent roll'!$V$11:$V$50,"OK",'Rent roll'!$N$11:$N$50,"&gt;="&amp;MAX(DATE($B11,1,1),'Rent roll'!$C$7),'Rent roll'!$N$11:$N$50,"&lt;="&amp;DATE($B11,12,31)))</f>
        <v>54600</v>
      </c>
      <c r="D11" s="18">
        <f>IF(Synthèse!$C$24=0,"",C11/Synthèse!$C$24)</f>
        <v>0.1090408004313702</v>
      </c>
      <c r="E11" s="31">
        <f>IF($B11="",0,COUNTIFS('Rent roll'!$E$11:$E$50,Paramètres!$D$29,'Rent roll'!$V$11:$V$50,"OK",'Rent roll'!$N$11:$N$50,"&gt;="&amp;MAX(DATE($B11,1,1),'Rent roll'!$C$7),'Rent roll'!$N$11:$N$50,"&lt;="&amp;DATE($B11,12,31)))</f>
        <v>1</v>
      </c>
      <c r="F11" s="17">
        <f>IF($B11="",0,SUMIFS('Rent roll'!$H$11:$H$50,'Rent roll'!$E$11:$E$50,Paramètres!$D$29,'Rent roll'!$V$11:$V$50,"OK",'Rent roll'!$Q$11:$Q$50,"&gt;="&amp;MAX(DATE($B11,1,1),'Rent roll'!$C$7),'Rent roll'!$Q$11:$Q$50,"&lt;="&amp;DATE($B11,12,31)))</f>
        <v>139850</v>
      </c>
      <c r="G11" s="18">
        <f>IF(Synthèse!$C$24=0,"",F11/Synthèse!$C$24)</f>
        <v>0.27929223333932457</v>
      </c>
      <c r="H11" s="31">
        <f>IF($B11="",0,COUNTIFS('Rent roll'!$E$11:$E$50,Paramètres!$D$29,'Rent roll'!$V$11:$V$50,"OK",'Rent roll'!$Q$11:$Q$50,"&gt;="&amp;MAX(DATE($B11,1,1),'Rent roll'!$C$7),'Rent roll'!$Q$11:$Q$50,"&lt;="&amp;DATE($B11,12,31)))</f>
        <v>2</v>
      </c>
      <c r="I11" s="23" t="str">
        <f>IF(OR($B11="",G11="",NOT(ISNUMBER(Paramètres!$C$16))),"",IF(G11&gt;Paramètres!$C$16,"Concentration forte",""))</f>
        <v/>
      </c>
    </row>
    <row r="12" spans="2:9" x14ac:dyDescent="0.35">
      <c r="B12" s="33">
        <f t="shared" ref="B12:B25" si="0">IF($B11="","",$B11+1)</f>
        <v>2027</v>
      </c>
      <c r="C12" s="17">
        <f>IF($B12="",0,SUMIFS('Rent roll'!$H$11:$H$50,'Rent roll'!$E$11:$E$50,Paramètres!$D$29,'Rent roll'!$V$11:$V$50,"OK",'Rent roll'!$N$11:$N$50,"&gt;="&amp;MAX(DATE($B12,1,1),'Rent roll'!$C$7),'Rent roll'!$N$11:$N$50,"&lt;="&amp;DATE($B12,12,31)))</f>
        <v>0</v>
      </c>
      <c r="D12" s="18">
        <f>IF(Synthèse!$C$24=0,"",C12/Synthèse!$C$24)</f>
        <v>0</v>
      </c>
      <c r="E12" s="31">
        <f>IF($B12="",0,COUNTIFS('Rent roll'!$E$11:$E$50,Paramètres!$D$29,'Rent roll'!$V$11:$V$50,"OK",'Rent roll'!$N$11:$N$50,"&gt;="&amp;MAX(DATE($B12,1,1),'Rent roll'!$C$7),'Rent roll'!$N$11:$N$50,"&lt;="&amp;DATE($B12,12,31)))</f>
        <v>0</v>
      </c>
      <c r="F12" s="17">
        <f>IF($B12="",0,SUMIFS('Rent roll'!$H$11:$H$50,'Rent roll'!$E$11:$E$50,Paramètres!$D$29,'Rent roll'!$V$11:$V$50,"OK",'Rent roll'!$Q$11:$Q$50,"&gt;="&amp;MAX(DATE($B12,1,1),'Rent roll'!$C$7),'Rent roll'!$Q$11:$Q$50,"&lt;="&amp;DATE($B12,12,31)))</f>
        <v>75600</v>
      </c>
      <c r="G12" s="18">
        <f>IF(Synthèse!$C$24=0,"",F12/Synthèse!$C$24)</f>
        <v>0.15097956982805105</v>
      </c>
      <c r="H12" s="31">
        <f>IF($B12="",0,COUNTIFS('Rent roll'!$E$11:$E$50,Paramètres!$D$29,'Rent roll'!$V$11:$V$50,"OK",'Rent roll'!$Q$11:$Q$50,"&gt;="&amp;MAX(DATE($B12,1,1),'Rent roll'!$C$7),'Rent roll'!$Q$11:$Q$50,"&lt;="&amp;DATE($B12,12,31)))</f>
        <v>1</v>
      </c>
      <c r="I12" s="23" t="str">
        <f>IF(OR($B12="",G12="",NOT(ISNUMBER(Paramètres!$C$16))),"",IF(G12&gt;Paramètres!$C$16,"Concentration forte",""))</f>
        <v/>
      </c>
    </row>
    <row r="13" spans="2:9" x14ac:dyDescent="0.35">
      <c r="B13" s="33">
        <f t="shared" si="0"/>
        <v>2028</v>
      </c>
      <c r="C13" s="17">
        <f>IF($B13="",0,SUMIFS('Rent roll'!$H$11:$H$50,'Rent roll'!$E$11:$E$50,Paramètres!$D$29,'Rent roll'!$V$11:$V$50,"OK",'Rent roll'!$N$11:$N$50,"&gt;="&amp;MAX(DATE($B13,1,1),'Rent roll'!$C$7),'Rent roll'!$N$11:$N$50,"&lt;="&amp;DATE($B13,12,31)))</f>
        <v>0</v>
      </c>
      <c r="D13" s="18">
        <f>IF(Synthèse!$C$24=0,"",C13/Synthèse!$C$24)</f>
        <v>0</v>
      </c>
      <c r="E13" s="31">
        <f>IF($B13="",0,COUNTIFS('Rent roll'!$E$11:$E$50,Paramètres!$D$29,'Rent roll'!$V$11:$V$50,"OK",'Rent roll'!$N$11:$N$50,"&gt;="&amp;MAX(DATE($B13,1,1),'Rent roll'!$C$7),'Rent roll'!$N$11:$N$50,"&lt;="&amp;DATE($B13,12,31)))</f>
        <v>0</v>
      </c>
      <c r="F13" s="17">
        <f>IF($B13="",0,SUMIFS('Rent roll'!$H$11:$H$50,'Rent roll'!$E$11:$E$50,Paramètres!$D$29,'Rent roll'!$V$11:$V$50,"OK",'Rent roll'!$Q$11:$Q$50,"&gt;="&amp;MAX(DATE($B13,1,1),'Rent roll'!$C$7),'Rent roll'!$Q$11:$Q$50,"&lt;="&amp;DATE($B13,12,31)))</f>
        <v>0</v>
      </c>
      <c r="G13" s="18">
        <f>IF(Synthèse!$C$24=0,"",F13/Synthèse!$C$24)</f>
        <v>0</v>
      </c>
      <c r="H13" s="31">
        <f>IF($B13="",0,COUNTIFS('Rent roll'!$E$11:$E$50,Paramètres!$D$29,'Rent roll'!$V$11:$V$50,"OK",'Rent roll'!$Q$11:$Q$50,"&gt;="&amp;MAX(DATE($B13,1,1),'Rent roll'!$C$7),'Rent roll'!$Q$11:$Q$50,"&lt;="&amp;DATE($B13,12,31)))</f>
        <v>0</v>
      </c>
      <c r="I13" s="23" t="str">
        <f>IF(OR($B13="",G13="",NOT(ISNUMBER(Paramètres!$C$16))),"",IF(G13&gt;Paramètres!$C$16,"Concentration forte",""))</f>
        <v/>
      </c>
    </row>
    <row r="14" spans="2:9" x14ac:dyDescent="0.35">
      <c r="B14" s="33">
        <f t="shared" si="0"/>
        <v>2029</v>
      </c>
      <c r="C14" s="17">
        <f>IF($B14="",0,SUMIFS('Rent roll'!$H$11:$H$50,'Rent roll'!$E$11:$E$50,Paramètres!$D$29,'Rent roll'!$V$11:$V$50,"OK",'Rent roll'!$N$11:$N$50,"&gt;="&amp;MAX(DATE($B14,1,1),'Rent roll'!$C$7),'Rent roll'!$N$11:$N$50,"&lt;="&amp;DATE($B14,12,31)))</f>
        <v>85250</v>
      </c>
      <c r="D14" s="18">
        <f>IF(Synthèse!$C$24=0,"",C14/Synthèse!$C$24)</f>
        <v>0.17025143290795439</v>
      </c>
      <c r="E14" s="31">
        <f>IF($B14="",0,COUNTIFS('Rent roll'!$E$11:$E$50,Paramètres!$D$29,'Rent roll'!$V$11:$V$50,"OK",'Rent roll'!$N$11:$N$50,"&gt;="&amp;MAX(DATE($B14,1,1),'Rent roll'!$C$7),'Rent roll'!$N$11:$N$50,"&lt;="&amp;DATE($B14,12,31)))</f>
        <v>1</v>
      </c>
      <c r="F14" s="17">
        <f>IF($B14="",0,SUMIFS('Rent roll'!$H$11:$H$50,'Rent roll'!$E$11:$E$50,Paramètres!$D$29,'Rent roll'!$V$11:$V$50,"OK",'Rent roll'!$Q$11:$Q$50,"&gt;="&amp;MAX(DATE($B14,1,1),'Rent roll'!$C$7),'Rent roll'!$Q$11:$Q$50,"&lt;="&amp;DATE($B14,12,31)))</f>
        <v>178080</v>
      </c>
      <c r="G14" s="18">
        <f>IF(Synthèse!$C$24=0,"",F14/Synthèse!$C$24)</f>
        <v>0.35564076448385357</v>
      </c>
      <c r="H14" s="31">
        <f>IF($B14="",0,COUNTIFS('Rent roll'!$E$11:$E$50,Paramètres!$D$29,'Rent roll'!$V$11:$V$50,"OK",'Rent roll'!$Q$11:$Q$50,"&gt;="&amp;MAX(DATE($B14,1,1),'Rent roll'!$C$7),'Rent roll'!$Q$11:$Q$50,"&lt;="&amp;DATE($B14,12,31)))</f>
        <v>2</v>
      </c>
      <c r="I14" s="23" t="str">
        <f>IF(OR($B14="",G14="",NOT(ISNUMBER(Paramètres!$C$16))),"",IF(G14&gt;Paramètres!$C$16,"Concentration forte",""))</f>
        <v>Concentration forte</v>
      </c>
    </row>
    <row r="15" spans="2:9" x14ac:dyDescent="0.35">
      <c r="B15" s="33">
        <f t="shared" si="0"/>
        <v>2030</v>
      </c>
      <c r="C15" s="17">
        <f>IF($B15="",0,SUMIFS('Rent roll'!$H$11:$H$50,'Rent roll'!$E$11:$E$50,Paramètres!$D$29,'Rent roll'!$V$11:$V$50,"OK",'Rent roll'!$N$11:$N$50,"&gt;="&amp;MAX(DATE($B15,1,1),'Rent roll'!$C$7),'Rent roll'!$N$11:$N$50,"&lt;="&amp;DATE($B15,12,31)))</f>
        <v>75600</v>
      </c>
      <c r="D15" s="18">
        <f>IF(Synthèse!$C$24=0,"",C15/Synthèse!$C$24)</f>
        <v>0.15097956982805105</v>
      </c>
      <c r="E15" s="31">
        <f>IF($B15="",0,COUNTIFS('Rent roll'!$E$11:$E$50,Paramètres!$D$29,'Rent roll'!$V$11:$V$50,"OK",'Rent roll'!$N$11:$N$50,"&gt;="&amp;MAX(DATE($B15,1,1),'Rent roll'!$C$7),'Rent roll'!$N$11:$N$50,"&lt;="&amp;DATE($B15,12,31)))</f>
        <v>1</v>
      </c>
      <c r="F15" s="17">
        <f>IF($B15="",0,SUMIFS('Rent roll'!$H$11:$H$50,'Rent roll'!$E$11:$E$50,Paramètres!$D$29,'Rent roll'!$V$11:$V$50,"OK",'Rent roll'!$Q$11:$Q$50,"&gt;="&amp;MAX(DATE($B15,1,1),'Rent roll'!$C$7),'Rent roll'!$Q$11:$Q$50,"&lt;="&amp;DATE($B15,12,31)))</f>
        <v>107200</v>
      </c>
      <c r="G15" s="18">
        <f>IF(Synthèse!$C$24=0,"",F15/Synthèse!$C$24)</f>
        <v>0.21408743234877078</v>
      </c>
      <c r="H15" s="31">
        <f>IF($B15="",0,COUNTIFS('Rent roll'!$E$11:$E$50,Paramètres!$D$29,'Rent roll'!$V$11:$V$50,"OK",'Rent roll'!$Q$11:$Q$50,"&gt;="&amp;MAX(DATE($B15,1,1),'Rent roll'!$C$7),'Rent roll'!$Q$11:$Q$50,"&lt;="&amp;DATE($B15,12,31)))</f>
        <v>1</v>
      </c>
      <c r="I15" s="23" t="str">
        <f>IF(OR($B15="",G15="",NOT(ISNUMBER(Paramètres!$C$16))),"",IF(G15&gt;Paramètres!$C$16,"Concentration forte",""))</f>
        <v/>
      </c>
    </row>
    <row r="16" spans="2:9" x14ac:dyDescent="0.35">
      <c r="B16" s="33">
        <f t="shared" si="0"/>
        <v>2031</v>
      </c>
      <c r="C16" s="17">
        <f>IF($B16="",0,SUMIFS('Rent roll'!$H$11:$H$50,'Rent roll'!$E$11:$E$50,Paramètres!$D$29,'Rent roll'!$V$11:$V$50,"OK",'Rent roll'!$N$11:$N$50,"&gt;="&amp;MAX(DATE($B16,1,1),'Rent roll'!$C$7),'Rent roll'!$N$11:$N$50,"&lt;="&amp;DATE($B16,12,31)))</f>
        <v>0</v>
      </c>
      <c r="D16" s="18">
        <f>IF(Synthèse!$C$24=0,"",C16/Synthèse!$C$24)</f>
        <v>0</v>
      </c>
      <c r="E16" s="31">
        <f>IF($B16="",0,COUNTIFS('Rent roll'!$E$11:$E$50,Paramètres!$D$29,'Rent roll'!$V$11:$V$50,"OK",'Rent roll'!$N$11:$N$50,"&gt;="&amp;MAX(DATE($B16,1,1),'Rent roll'!$C$7),'Rent roll'!$N$11:$N$50,"&lt;="&amp;DATE($B16,12,31)))</f>
        <v>0</v>
      </c>
      <c r="F16" s="17">
        <f>IF($B16="",0,SUMIFS('Rent roll'!$H$11:$H$50,'Rent roll'!$E$11:$E$50,Paramètres!$D$29,'Rent roll'!$V$11:$V$50,"OK",'Rent roll'!$Q$11:$Q$50,"&gt;="&amp;MAX(DATE($B16,1,1),'Rent roll'!$C$7),'Rent roll'!$Q$11:$Q$50,"&lt;="&amp;DATE($B16,12,31)))</f>
        <v>0</v>
      </c>
      <c r="G16" s="18">
        <f>IF(Synthèse!$C$24=0,"",F16/Synthèse!$C$24)</f>
        <v>0</v>
      </c>
      <c r="H16" s="31">
        <f>IF($B16="",0,COUNTIFS('Rent roll'!$E$11:$E$50,Paramètres!$D$29,'Rent roll'!$V$11:$V$50,"OK",'Rent roll'!$Q$11:$Q$50,"&gt;="&amp;MAX(DATE($B16,1,1),'Rent roll'!$C$7),'Rent roll'!$Q$11:$Q$50,"&lt;="&amp;DATE($B16,12,31)))</f>
        <v>0</v>
      </c>
      <c r="I16" s="23" t="str">
        <f>IF(OR($B16="",G16="",NOT(ISNUMBER(Paramètres!$C$16))),"",IF(G16&gt;Paramètres!$C$16,"Concentration forte",""))</f>
        <v/>
      </c>
    </row>
    <row r="17" spans="2:9" x14ac:dyDescent="0.35">
      <c r="B17" s="33">
        <f t="shared" si="0"/>
        <v>2032</v>
      </c>
      <c r="C17" s="17">
        <f>IF($B17="",0,SUMIFS('Rent roll'!$H$11:$H$50,'Rent roll'!$E$11:$E$50,Paramètres!$D$29,'Rent roll'!$V$11:$V$50,"OK",'Rent roll'!$N$11:$N$50,"&gt;="&amp;MAX(DATE($B17,1,1),'Rent roll'!$C$7),'Rent roll'!$N$11:$N$50,"&lt;="&amp;DATE($B17,12,31)))</f>
        <v>178080</v>
      </c>
      <c r="D17" s="18">
        <f>IF(Synthèse!$C$24=0,"",C17/Synthèse!$C$24)</f>
        <v>0.35564076448385357</v>
      </c>
      <c r="E17" s="31">
        <f>IF($B17="",0,COUNTIFS('Rent roll'!$E$11:$E$50,Paramètres!$D$29,'Rent roll'!$V$11:$V$50,"OK",'Rent roll'!$N$11:$N$50,"&gt;="&amp;MAX(DATE($B17,1,1),'Rent roll'!$C$7),'Rent roll'!$N$11:$N$50,"&lt;="&amp;DATE($B17,12,31)))</f>
        <v>2</v>
      </c>
      <c r="F17" s="17">
        <f>IF($B17="",0,SUMIFS('Rent roll'!$H$11:$H$50,'Rent roll'!$E$11:$E$50,Paramètres!$D$29,'Rent roll'!$V$11:$V$50,"OK",'Rent roll'!$Q$11:$Q$50,"&gt;="&amp;MAX(DATE($B17,1,1),'Rent roll'!$C$7),'Rent roll'!$Q$11:$Q$50,"&lt;="&amp;DATE($B17,12,31)))</f>
        <v>0</v>
      </c>
      <c r="G17" s="18">
        <f>IF(Synthèse!$C$24=0,"",F17/Synthèse!$C$24)</f>
        <v>0</v>
      </c>
      <c r="H17" s="31">
        <f>IF($B17="",0,COUNTIFS('Rent roll'!$E$11:$E$50,Paramètres!$D$29,'Rent roll'!$V$11:$V$50,"OK",'Rent roll'!$Q$11:$Q$50,"&gt;="&amp;MAX(DATE($B17,1,1),'Rent roll'!$C$7),'Rent roll'!$Q$11:$Q$50,"&lt;="&amp;DATE($B17,12,31)))</f>
        <v>0</v>
      </c>
      <c r="I17" s="23" t="str">
        <f>IF(OR($B17="",G17="",NOT(ISNUMBER(Paramètres!$C$16))),"",IF(G17&gt;Paramètres!$C$16,"Concentration forte",""))</f>
        <v/>
      </c>
    </row>
    <row r="18" spans="2:9" x14ac:dyDescent="0.35">
      <c r="B18" s="33">
        <f t="shared" si="0"/>
        <v>2033</v>
      </c>
      <c r="C18" s="17">
        <f>IF($B18="",0,SUMIFS('Rent roll'!$H$11:$H$50,'Rent roll'!$E$11:$E$50,Paramètres!$D$29,'Rent roll'!$V$11:$V$50,"OK",'Rent roll'!$N$11:$N$50,"&gt;="&amp;MAX(DATE($B18,1,1),'Rent roll'!$C$7),'Rent roll'!$N$11:$N$50,"&lt;="&amp;DATE($B18,12,31)))</f>
        <v>107200</v>
      </c>
      <c r="D18" s="18">
        <f>IF(Synthèse!$C$24=0,"",C18/Synthèse!$C$24)</f>
        <v>0.21408743234877078</v>
      </c>
      <c r="E18" s="31">
        <f>IF($B18="",0,COUNTIFS('Rent roll'!$E$11:$E$50,Paramètres!$D$29,'Rent roll'!$V$11:$V$50,"OK",'Rent roll'!$N$11:$N$50,"&gt;="&amp;MAX(DATE($B18,1,1),'Rent roll'!$C$7),'Rent roll'!$N$11:$N$50,"&lt;="&amp;DATE($B18,12,31)))</f>
        <v>1</v>
      </c>
      <c r="F18" s="17">
        <f>IF($B18="",0,SUMIFS('Rent roll'!$H$11:$H$50,'Rent roll'!$E$11:$E$50,Paramètres!$D$29,'Rent roll'!$V$11:$V$50,"OK",'Rent roll'!$Q$11:$Q$50,"&gt;="&amp;MAX(DATE($B18,1,1),'Rent roll'!$C$7),'Rent roll'!$Q$11:$Q$50,"&lt;="&amp;DATE($B18,12,31)))</f>
        <v>0</v>
      </c>
      <c r="G18" s="18">
        <f>IF(Synthèse!$C$24=0,"",F18/Synthèse!$C$24)</f>
        <v>0</v>
      </c>
      <c r="H18" s="31">
        <f>IF($B18="",0,COUNTIFS('Rent roll'!$E$11:$E$50,Paramètres!$D$29,'Rent roll'!$V$11:$V$50,"OK",'Rent roll'!$Q$11:$Q$50,"&gt;="&amp;MAX(DATE($B18,1,1),'Rent roll'!$C$7),'Rent roll'!$Q$11:$Q$50,"&lt;="&amp;DATE($B18,12,31)))</f>
        <v>0</v>
      </c>
      <c r="I18" s="23" t="str">
        <f>IF(OR($B18="",G18="",NOT(ISNUMBER(Paramètres!$C$16))),"",IF(G18&gt;Paramètres!$C$16,"Concentration forte",""))</f>
        <v/>
      </c>
    </row>
    <row r="19" spans="2:9" x14ac:dyDescent="0.35">
      <c r="B19" s="33">
        <f t="shared" si="0"/>
        <v>2034</v>
      </c>
      <c r="C19" s="17">
        <f>IF($B19="",0,SUMIFS('Rent roll'!$H$11:$H$50,'Rent roll'!$E$11:$E$50,Paramètres!$D$29,'Rent roll'!$V$11:$V$50,"OK",'Rent roll'!$N$11:$N$50,"&gt;="&amp;MAX(DATE($B19,1,1),'Rent roll'!$C$7),'Rent roll'!$N$11:$N$50,"&lt;="&amp;DATE($B19,12,31)))</f>
        <v>0</v>
      </c>
      <c r="D19" s="18">
        <f>IF(Synthèse!$C$24=0,"",C19/Synthèse!$C$24)</f>
        <v>0</v>
      </c>
      <c r="E19" s="31">
        <f>IF($B19="",0,COUNTIFS('Rent roll'!$E$11:$E$50,Paramètres!$D$29,'Rent roll'!$V$11:$V$50,"OK",'Rent roll'!$N$11:$N$50,"&gt;="&amp;MAX(DATE($B19,1,1),'Rent roll'!$C$7),'Rent roll'!$N$11:$N$50,"&lt;="&amp;DATE($B19,12,31)))</f>
        <v>0</v>
      </c>
      <c r="F19" s="17">
        <f>IF($B19="",0,SUMIFS('Rent roll'!$H$11:$H$50,'Rent roll'!$E$11:$E$50,Paramètres!$D$29,'Rent roll'!$V$11:$V$50,"OK",'Rent roll'!$Q$11:$Q$50,"&gt;="&amp;MAX(DATE($B19,1,1),'Rent roll'!$C$7),'Rent roll'!$Q$11:$Q$50,"&lt;="&amp;DATE($B19,12,31)))</f>
        <v>0</v>
      </c>
      <c r="G19" s="18">
        <f>IF(Synthèse!$C$24=0,"",F19/Synthèse!$C$24)</f>
        <v>0</v>
      </c>
      <c r="H19" s="31">
        <f>IF($B19="",0,COUNTIFS('Rent roll'!$E$11:$E$50,Paramètres!$D$29,'Rent roll'!$V$11:$V$50,"OK",'Rent roll'!$Q$11:$Q$50,"&gt;="&amp;MAX(DATE($B19,1,1),'Rent roll'!$C$7),'Rent roll'!$Q$11:$Q$50,"&lt;="&amp;DATE($B19,12,31)))</f>
        <v>0</v>
      </c>
      <c r="I19" s="23" t="str">
        <f>IF(OR($B19="",G19="",NOT(ISNUMBER(Paramètres!$C$16))),"",IF(G19&gt;Paramètres!$C$16,"Concentration forte",""))</f>
        <v/>
      </c>
    </row>
    <row r="20" spans="2:9" x14ac:dyDescent="0.35">
      <c r="B20" s="33">
        <f t="shared" si="0"/>
        <v>2035</v>
      </c>
      <c r="C20" s="17">
        <f>IF($B20="",0,SUMIFS('Rent roll'!$H$11:$H$50,'Rent roll'!$E$11:$E$50,Paramètres!$D$29,'Rent roll'!$V$11:$V$50,"OK",'Rent roll'!$N$11:$N$50,"&gt;="&amp;MAX(DATE($B20,1,1),'Rent roll'!$C$7),'Rent roll'!$N$11:$N$50,"&lt;="&amp;DATE($B20,12,31)))</f>
        <v>0</v>
      </c>
      <c r="D20" s="18">
        <f>IF(Synthèse!$C$24=0,"",C20/Synthèse!$C$24)</f>
        <v>0</v>
      </c>
      <c r="E20" s="31">
        <f>IF($B20="",0,COUNTIFS('Rent roll'!$E$11:$E$50,Paramètres!$D$29,'Rent roll'!$V$11:$V$50,"OK",'Rent roll'!$N$11:$N$50,"&gt;="&amp;MAX(DATE($B20,1,1),'Rent roll'!$C$7),'Rent roll'!$N$11:$N$50,"&lt;="&amp;DATE($B20,12,31)))</f>
        <v>0</v>
      </c>
      <c r="F20" s="17">
        <f>IF($B20="",0,SUMIFS('Rent roll'!$H$11:$H$50,'Rent roll'!$E$11:$E$50,Paramètres!$D$29,'Rent roll'!$V$11:$V$50,"OK",'Rent roll'!$Q$11:$Q$50,"&gt;="&amp;MAX(DATE($B20,1,1),'Rent roll'!$C$7),'Rent roll'!$Q$11:$Q$50,"&lt;="&amp;DATE($B20,12,31)))</f>
        <v>0</v>
      </c>
      <c r="G20" s="18">
        <f>IF(Synthèse!$C$24=0,"",F20/Synthèse!$C$24)</f>
        <v>0</v>
      </c>
      <c r="H20" s="31">
        <f>IF($B20="",0,COUNTIFS('Rent roll'!$E$11:$E$50,Paramètres!$D$29,'Rent roll'!$V$11:$V$50,"OK",'Rent roll'!$Q$11:$Q$50,"&gt;="&amp;MAX(DATE($B20,1,1),'Rent roll'!$C$7),'Rent roll'!$Q$11:$Q$50,"&lt;="&amp;DATE($B20,12,31)))</f>
        <v>0</v>
      </c>
      <c r="I20" s="23" t="str">
        <f>IF(OR($B20="",G20="",NOT(ISNUMBER(Paramètres!$C$16))),"",IF(G20&gt;Paramètres!$C$16,"Concentration forte",""))</f>
        <v/>
      </c>
    </row>
    <row r="21" spans="2:9" x14ac:dyDescent="0.35">
      <c r="B21" s="33">
        <f t="shared" si="0"/>
        <v>2036</v>
      </c>
      <c r="C21" s="17">
        <f>IF($B21="",0,SUMIFS('Rent roll'!$H$11:$H$50,'Rent roll'!$E$11:$E$50,Paramètres!$D$29,'Rent roll'!$V$11:$V$50,"OK",'Rent roll'!$N$11:$N$50,"&gt;="&amp;MAX(DATE($B21,1,1),'Rent roll'!$C$7),'Rent roll'!$N$11:$N$50,"&lt;="&amp;DATE($B21,12,31)))</f>
        <v>0</v>
      </c>
      <c r="D21" s="18">
        <f>IF(Synthèse!$C$24=0,"",C21/Synthèse!$C$24)</f>
        <v>0</v>
      </c>
      <c r="E21" s="31">
        <f>IF($B21="",0,COUNTIFS('Rent roll'!$E$11:$E$50,Paramètres!$D$29,'Rent roll'!$V$11:$V$50,"OK",'Rent roll'!$N$11:$N$50,"&gt;="&amp;MAX(DATE($B21,1,1),'Rent roll'!$C$7),'Rent roll'!$N$11:$N$50,"&lt;="&amp;DATE($B21,12,31)))</f>
        <v>0</v>
      </c>
      <c r="F21" s="17">
        <f>IF($B21="",0,SUMIFS('Rent roll'!$H$11:$H$50,'Rent roll'!$E$11:$E$50,Paramètres!$D$29,'Rent roll'!$V$11:$V$50,"OK",'Rent roll'!$Q$11:$Q$50,"&gt;="&amp;MAX(DATE($B21,1,1),'Rent roll'!$C$7),'Rent roll'!$Q$11:$Q$50,"&lt;="&amp;DATE($B21,12,31)))</f>
        <v>0</v>
      </c>
      <c r="G21" s="18">
        <f>IF(Synthèse!$C$24=0,"",F21/Synthèse!$C$24)</f>
        <v>0</v>
      </c>
      <c r="H21" s="31">
        <f>IF($B21="",0,COUNTIFS('Rent roll'!$E$11:$E$50,Paramètres!$D$29,'Rent roll'!$V$11:$V$50,"OK",'Rent roll'!$Q$11:$Q$50,"&gt;="&amp;MAX(DATE($B21,1,1),'Rent roll'!$C$7),'Rent roll'!$Q$11:$Q$50,"&lt;="&amp;DATE($B21,12,31)))</f>
        <v>0</v>
      </c>
      <c r="I21" s="23" t="str">
        <f>IF(OR($B21="",G21="",NOT(ISNUMBER(Paramètres!$C$16))),"",IF(G21&gt;Paramètres!$C$16,"Concentration forte",""))</f>
        <v/>
      </c>
    </row>
    <row r="22" spans="2:9" x14ac:dyDescent="0.35">
      <c r="B22" s="33">
        <f t="shared" si="0"/>
        <v>2037</v>
      </c>
      <c r="C22" s="17">
        <f>IF($B22="",0,SUMIFS('Rent roll'!$H$11:$H$50,'Rent roll'!$E$11:$E$50,Paramètres!$D$29,'Rent roll'!$V$11:$V$50,"OK",'Rent roll'!$N$11:$N$50,"&gt;="&amp;MAX(DATE($B22,1,1),'Rent roll'!$C$7),'Rent roll'!$N$11:$N$50,"&lt;="&amp;DATE($B22,12,31)))</f>
        <v>0</v>
      </c>
      <c r="D22" s="18">
        <f>IF(Synthèse!$C$24=0,"",C22/Synthèse!$C$24)</f>
        <v>0</v>
      </c>
      <c r="E22" s="31">
        <f>IF($B22="",0,COUNTIFS('Rent roll'!$E$11:$E$50,Paramètres!$D$29,'Rent roll'!$V$11:$V$50,"OK",'Rent roll'!$N$11:$N$50,"&gt;="&amp;MAX(DATE($B22,1,1),'Rent roll'!$C$7),'Rent roll'!$N$11:$N$50,"&lt;="&amp;DATE($B22,12,31)))</f>
        <v>0</v>
      </c>
      <c r="F22" s="17">
        <f>IF($B22="",0,SUMIFS('Rent roll'!$H$11:$H$50,'Rent roll'!$E$11:$E$50,Paramètres!$D$29,'Rent roll'!$V$11:$V$50,"OK",'Rent roll'!$Q$11:$Q$50,"&gt;="&amp;MAX(DATE($B22,1,1),'Rent roll'!$C$7),'Rent roll'!$Q$11:$Q$50,"&lt;="&amp;DATE($B22,12,31)))</f>
        <v>0</v>
      </c>
      <c r="G22" s="18">
        <f>IF(Synthèse!$C$24=0,"",F22/Synthèse!$C$24)</f>
        <v>0</v>
      </c>
      <c r="H22" s="31">
        <f>IF($B22="",0,COUNTIFS('Rent roll'!$E$11:$E$50,Paramètres!$D$29,'Rent roll'!$V$11:$V$50,"OK",'Rent roll'!$Q$11:$Q$50,"&gt;="&amp;MAX(DATE($B22,1,1),'Rent roll'!$C$7),'Rent roll'!$Q$11:$Q$50,"&lt;="&amp;DATE($B22,12,31)))</f>
        <v>0</v>
      </c>
      <c r="I22" s="23" t="str">
        <f>IF(OR($B22="",G22="",NOT(ISNUMBER(Paramètres!$C$16))),"",IF(G22&gt;Paramètres!$C$16,"Concentration forte",""))</f>
        <v/>
      </c>
    </row>
    <row r="23" spans="2:9" x14ac:dyDescent="0.35">
      <c r="B23" s="33">
        <f t="shared" si="0"/>
        <v>2038</v>
      </c>
      <c r="C23" s="17">
        <f>IF($B23="",0,SUMIFS('Rent roll'!$H$11:$H$50,'Rent roll'!$E$11:$E$50,Paramètres!$D$29,'Rent roll'!$V$11:$V$50,"OK",'Rent roll'!$N$11:$N$50,"&gt;="&amp;MAX(DATE($B23,1,1),'Rent roll'!$C$7),'Rent roll'!$N$11:$N$50,"&lt;="&amp;DATE($B23,12,31)))</f>
        <v>0</v>
      </c>
      <c r="D23" s="18">
        <f>IF(Synthèse!$C$24=0,"",C23/Synthèse!$C$24)</f>
        <v>0</v>
      </c>
      <c r="E23" s="31">
        <f>IF($B23="",0,COUNTIFS('Rent roll'!$E$11:$E$50,Paramètres!$D$29,'Rent roll'!$V$11:$V$50,"OK",'Rent roll'!$N$11:$N$50,"&gt;="&amp;MAX(DATE($B23,1,1),'Rent roll'!$C$7),'Rent roll'!$N$11:$N$50,"&lt;="&amp;DATE($B23,12,31)))</f>
        <v>0</v>
      </c>
      <c r="F23" s="17">
        <f>IF($B23="",0,SUMIFS('Rent roll'!$H$11:$H$50,'Rent roll'!$E$11:$E$50,Paramètres!$D$29,'Rent roll'!$V$11:$V$50,"OK",'Rent roll'!$Q$11:$Q$50,"&gt;="&amp;MAX(DATE($B23,1,1),'Rent roll'!$C$7),'Rent roll'!$Q$11:$Q$50,"&lt;="&amp;DATE($B23,12,31)))</f>
        <v>0</v>
      </c>
      <c r="G23" s="18">
        <f>IF(Synthèse!$C$24=0,"",F23/Synthèse!$C$24)</f>
        <v>0</v>
      </c>
      <c r="H23" s="31">
        <f>IF($B23="",0,COUNTIFS('Rent roll'!$E$11:$E$50,Paramètres!$D$29,'Rent roll'!$V$11:$V$50,"OK",'Rent roll'!$Q$11:$Q$50,"&gt;="&amp;MAX(DATE($B23,1,1),'Rent roll'!$C$7),'Rent roll'!$Q$11:$Q$50,"&lt;="&amp;DATE($B23,12,31)))</f>
        <v>0</v>
      </c>
      <c r="I23" s="23" t="str">
        <f>IF(OR($B23="",G23="",NOT(ISNUMBER(Paramètres!$C$16))),"",IF(G23&gt;Paramètres!$C$16,"Concentration forte",""))</f>
        <v/>
      </c>
    </row>
    <row r="24" spans="2:9" x14ac:dyDescent="0.35">
      <c r="B24" s="33">
        <f t="shared" si="0"/>
        <v>2039</v>
      </c>
      <c r="C24" s="17">
        <f>IF($B24="",0,SUMIFS('Rent roll'!$H$11:$H$50,'Rent roll'!$E$11:$E$50,Paramètres!$D$29,'Rent roll'!$V$11:$V$50,"OK",'Rent roll'!$N$11:$N$50,"&gt;="&amp;MAX(DATE($B24,1,1),'Rent roll'!$C$7),'Rent roll'!$N$11:$N$50,"&lt;="&amp;DATE($B24,12,31)))</f>
        <v>0</v>
      </c>
      <c r="D24" s="18">
        <f>IF(Synthèse!$C$24=0,"",C24/Synthèse!$C$24)</f>
        <v>0</v>
      </c>
      <c r="E24" s="31">
        <f>IF($B24="",0,COUNTIFS('Rent roll'!$E$11:$E$50,Paramètres!$D$29,'Rent roll'!$V$11:$V$50,"OK",'Rent roll'!$N$11:$N$50,"&gt;="&amp;MAX(DATE($B24,1,1),'Rent roll'!$C$7),'Rent roll'!$N$11:$N$50,"&lt;="&amp;DATE($B24,12,31)))</f>
        <v>0</v>
      </c>
      <c r="F24" s="17">
        <f>IF($B24="",0,SUMIFS('Rent roll'!$H$11:$H$50,'Rent roll'!$E$11:$E$50,Paramètres!$D$29,'Rent roll'!$V$11:$V$50,"OK",'Rent roll'!$Q$11:$Q$50,"&gt;="&amp;MAX(DATE($B24,1,1),'Rent roll'!$C$7),'Rent roll'!$Q$11:$Q$50,"&lt;="&amp;DATE($B24,12,31)))</f>
        <v>0</v>
      </c>
      <c r="G24" s="18">
        <f>IF(Synthèse!$C$24=0,"",F24/Synthèse!$C$24)</f>
        <v>0</v>
      </c>
      <c r="H24" s="31">
        <f>IF($B24="",0,COUNTIFS('Rent roll'!$E$11:$E$50,Paramètres!$D$29,'Rent roll'!$V$11:$V$50,"OK",'Rent roll'!$Q$11:$Q$50,"&gt;="&amp;MAX(DATE($B24,1,1),'Rent roll'!$C$7),'Rent roll'!$Q$11:$Q$50,"&lt;="&amp;DATE($B24,12,31)))</f>
        <v>0</v>
      </c>
      <c r="I24" s="23" t="str">
        <f>IF(OR($B24="",G24="",NOT(ISNUMBER(Paramètres!$C$16))),"",IF(G24&gt;Paramètres!$C$16,"Concentration forte",""))</f>
        <v/>
      </c>
    </row>
    <row r="25" spans="2:9" x14ac:dyDescent="0.35">
      <c r="B25" s="33">
        <f t="shared" si="0"/>
        <v>2040</v>
      </c>
      <c r="C25" s="17">
        <f>IF($B25="",0,SUMIFS('Rent roll'!$H$11:$H$50,'Rent roll'!$E$11:$E$50,Paramètres!$D$29,'Rent roll'!$V$11:$V$50,"OK",'Rent roll'!$N$11:$N$50,"&gt;="&amp;MAX(DATE($B25,1,1),'Rent roll'!$C$7),'Rent roll'!$N$11:$N$50,"&lt;="&amp;DATE($B25,12,31)))</f>
        <v>0</v>
      </c>
      <c r="D25" s="18">
        <f>IF(Synthèse!$C$24=0,"",C25/Synthèse!$C$24)</f>
        <v>0</v>
      </c>
      <c r="E25" s="31">
        <f>IF($B25="",0,COUNTIFS('Rent roll'!$E$11:$E$50,Paramètres!$D$29,'Rent roll'!$V$11:$V$50,"OK",'Rent roll'!$N$11:$N$50,"&gt;="&amp;MAX(DATE($B25,1,1),'Rent roll'!$C$7),'Rent roll'!$N$11:$N$50,"&lt;="&amp;DATE($B25,12,31)))</f>
        <v>0</v>
      </c>
      <c r="F25" s="17">
        <f>IF($B25="",0,SUMIFS('Rent roll'!$H$11:$H$50,'Rent roll'!$E$11:$E$50,Paramètres!$D$29,'Rent roll'!$V$11:$V$50,"OK",'Rent roll'!$Q$11:$Q$50,"&gt;="&amp;MAX(DATE($B25,1,1),'Rent roll'!$C$7),'Rent roll'!$Q$11:$Q$50,"&lt;="&amp;DATE($B25,12,31)))</f>
        <v>0</v>
      </c>
      <c r="G25" s="18">
        <f>IF(Synthèse!$C$24=0,"",F25/Synthèse!$C$24)</f>
        <v>0</v>
      </c>
      <c r="H25" s="31">
        <f>IF($B25="",0,COUNTIFS('Rent roll'!$E$11:$E$50,Paramètres!$D$29,'Rent roll'!$V$11:$V$50,"OK",'Rent roll'!$Q$11:$Q$50,"&gt;="&amp;MAX(DATE($B25,1,1),'Rent roll'!$C$7),'Rent roll'!$Q$11:$Q$50,"&lt;="&amp;DATE($B25,12,31)))</f>
        <v>0</v>
      </c>
      <c r="I25" s="23" t="str">
        <f>IF(OR($B25="",G25="",NOT(ISNUMBER(Paramètres!$C$16))),"",IF(G25&gt;Paramètres!$C$16,"Concentration forte",""))</f>
        <v/>
      </c>
    </row>
    <row r="26" spans="2:9" x14ac:dyDescent="0.35">
      <c r="B26" s="23" t="str">
        <f>IF($B$25="","","Au-delà de "&amp;TEXT($B$25,"0"))</f>
        <v>Au-delà de 2040</v>
      </c>
      <c r="C26" s="17">
        <f>IF($B$25="",0,SUMIFS('Rent roll'!$H$11:$H$50,'Rent roll'!$E$11:$E$50,Paramètres!$D$29,'Rent roll'!$V$11:$V$50,"OK",'Rent roll'!$N$11:$N$50,"&gt;"&amp;DATE($B$25,12,31)))</f>
        <v>0</v>
      </c>
      <c r="D26" s="18">
        <f>IF(Synthèse!$C$24=0,"",C26/Synthèse!$C$24)</f>
        <v>0</v>
      </c>
      <c r="E26" s="31">
        <f>IF($B$25="",0,COUNTIFS('Rent roll'!$E$11:$E$50,Paramètres!$D$29,'Rent roll'!$V$11:$V$50,"OK",'Rent roll'!$N$11:$N$50,"&gt;"&amp;DATE($B$25,12,31)))</f>
        <v>0</v>
      </c>
      <c r="F26" s="17">
        <f>IF($B$25="",0,SUMIFS('Rent roll'!$H$11:$H$50,'Rent roll'!$E$11:$E$50,Paramètres!$D$29,'Rent roll'!$V$11:$V$50,"OK",'Rent roll'!$Q$11:$Q$50,"&gt;"&amp;DATE($B$25,12,31)))</f>
        <v>0</v>
      </c>
      <c r="G26" s="18">
        <f>IF(Synthèse!$C$24=0,"",F26/Synthèse!$C$24)</f>
        <v>0</v>
      </c>
      <c r="H26" s="31">
        <f>IF($B$25="",0,COUNTIFS('Rent roll'!$E$11:$E$50,Paramètres!$D$29,'Rent roll'!$V$11:$V$50,"OK",'Rent roll'!$Q$11:$Q$50,"&gt;"&amp;DATE($B$25,12,31)))</f>
        <v>0</v>
      </c>
      <c r="I26" s="23" t="str">
        <f>IF(OR($B$25="",G26="",NOT(ISNUMBER(Paramètres!$C$16))),"",IF(G26&gt;Paramètres!$C$16,"Concentration forte",""))</f>
        <v/>
      </c>
    </row>
    <row r="27" spans="2:9" x14ac:dyDescent="0.35">
      <c r="B27" s="10" t="s">
        <v>387</v>
      </c>
      <c r="C27" s="29">
        <f>SUM(C10:C26)</f>
        <v>500730</v>
      </c>
      <c r="D27" s="27">
        <f>IF(Synthèse!$C$24=0,"",C27/Synthèse!$C$24)</f>
        <v>1</v>
      </c>
      <c r="E27" s="34">
        <f>SUM(E10:E26)</f>
        <v>6</v>
      </c>
      <c r="F27" s="29">
        <f>SUM(F10:F26)</f>
        <v>500730</v>
      </c>
      <c r="G27" s="27">
        <f>IF(Synthèse!$C$24=0,"",F27/Synthèse!$C$24)</f>
        <v>1</v>
      </c>
      <c r="H27" s="34">
        <f>SUM(H10:H26)</f>
        <v>6</v>
      </c>
    </row>
    <row r="28" spans="2:9" x14ac:dyDescent="0.35">
      <c r="B28" s="10" t="s">
        <v>388</v>
      </c>
      <c r="C28" s="12" t="str">
        <f>IF(ROUND(C27,2)=ROUND(Synthèse!$C$24,2),"OK","À CORRIGER")</f>
        <v>OK</v>
      </c>
      <c r="F28" s="12" t="str">
        <f>IF(ROUND(F27,2)=ROUND(Synthèse!$C$24,2),"OK","À CORRIGER")</f>
        <v>OK</v>
      </c>
      <c r="I28" s="9" t="s">
        <v>389</v>
      </c>
    </row>
    <row r="30" spans="2:9" ht="36" customHeight="1" x14ac:dyDescent="0.35">
      <c r="B30" s="46" t="s">
        <v>233</v>
      </c>
      <c r="C30" s="41"/>
      <c r="D30" s="41"/>
      <c r="E30" s="41"/>
      <c r="F30" s="41"/>
      <c r="G30" s="41"/>
      <c r="H30" s="41"/>
      <c r="I30" s="41"/>
    </row>
  </sheetData>
  <sheetProtection sheet="1" formatColumns="0" formatRows="0"/>
  <mergeCells count="1">
    <mergeCell ref="B30:I30"/>
  </mergeCells>
  <conditionalFormatting sqref="C28">
    <cfRule type="cellIs" dxfId="3" priority="1" operator="equal">
      <formula>"OK"</formula>
    </cfRule>
    <cfRule type="cellIs" dxfId="2" priority="2" operator="equal">
      <formula>"À CORRIGER"</formula>
    </cfRule>
  </conditionalFormatting>
  <conditionalFormatting sqref="F28">
    <cfRule type="cellIs" dxfId="1" priority="3" operator="equal">
      <formula>"OK"</formula>
    </cfRule>
    <cfRule type="cellIs" dxfId="0" priority="4" operator="equal">
      <formula>"À CORRIGER"</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46"/>
  <sheetViews>
    <sheetView showGridLines="0" workbookViewId="0">
      <selection activeCell="B1" sqref="B1"/>
    </sheetView>
  </sheetViews>
  <sheetFormatPr baseColWidth="10" defaultColWidth="8.7265625" defaultRowHeight="14.5" x14ac:dyDescent="0.35"/>
  <cols>
    <col min="1" max="1" width="2" customWidth="1"/>
    <col min="2" max="2" width="64" customWidth="1"/>
    <col min="3" max="3" width="21" customWidth="1"/>
    <col min="4" max="4" width="60" customWidth="1"/>
    <col min="5" max="5" width="26" customWidth="1"/>
    <col min="6" max="6" width="56" customWidth="1"/>
  </cols>
  <sheetData>
    <row r="1" spans="2:6" ht="20" customHeight="1" x14ac:dyDescent="0.35">
      <c r="B1" s="1" t="s">
        <v>0</v>
      </c>
      <c r="C1" s="1"/>
      <c r="D1" s="1"/>
      <c r="E1" s="1"/>
      <c r="F1" s="1"/>
    </row>
    <row r="2" spans="2:6" ht="26" customHeight="1" x14ac:dyDescent="0.35">
      <c r="B2" s="2" t="s">
        <v>37</v>
      </c>
    </row>
    <row r="3" spans="2:6" x14ac:dyDescent="0.35">
      <c r="B3" s="3" t="s">
        <v>390</v>
      </c>
    </row>
    <row r="5" spans="2:6" x14ac:dyDescent="0.35">
      <c r="B5" s="9" t="s">
        <v>235</v>
      </c>
    </row>
    <row r="6" spans="2:6" ht="18" customHeight="1" x14ac:dyDescent="0.35">
      <c r="B6" s="1" t="s">
        <v>391</v>
      </c>
      <c r="C6" s="1"/>
      <c r="D6" s="1"/>
      <c r="E6" s="1"/>
      <c r="F6" s="1"/>
    </row>
    <row r="7" spans="2:6" ht="30" customHeight="1" x14ac:dyDescent="0.35">
      <c r="B7" s="13" t="s">
        <v>159</v>
      </c>
      <c r="C7" s="13" t="s">
        <v>392</v>
      </c>
      <c r="D7" s="13" t="s">
        <v>393</v>
      </c>
      <c r="E7" s="13" t="s">
        <v>394</v>
      </c>
      <c r="F7" s="13" t="s">
        <v>395</v>
      </c>
    </row>
    <row r="8" spans="2:6" ht="111" customHeight="1" x14ac:dyDescent="0.35">
      <c r="B8" s="35" t="s">
        <v>396</v>
      </c>
      <c r="C8" s="19">
        <v>3</v>
      </c>
      <c r="D8" s="36" t="str">
        <f>"Code de commerce, art. L145-4 (Légifrance, version en vigueur depuis le 25 novembre 2018) : le preneur peut donner congé à l'expiration de chaque période triennale. Dérogation possible pour les locaux"&amp;" à usage exclusif de bureaux, les baux de plus de neuf ans, les locaux monovalents et les locaux de stockage. Vérifié le "&amp;TEXT(DAY($C$40),"00")&amp;"/"&amp;TEXT(MONTH($C$40),"00")&amp;"/"&amp;YEAR($C$40)&amp;"."</f>
        <v>Code de commerce, art. L145-4 (Légifrance, version en vigueur depuis le 25 novembre 2018) : le preneur peut donner congé à l'expiration de chaque période triennale. Dérogation possible pour les locaux à usage exclusif de bureaux, les baux de plus de neuf ans, les locaux monovalents et les locaux de stockage. Vérifié le 05/09/2026.</v>
      </c>
      <c r="E8" s="36" t="s">
        <v>397</v>
      </c>
      <c r="F8" s="36" t="s">
        <v>398</v>
      </c>
    </row>
    <row r="9" spans="2:6" ht="70.5" customHeight="1" x14ac:dyDescent="0.35">
      <c r="B9" s="35" t="s">
        <v>399</v>
      </c>
      <c r="C9" s="21">
        <v>6</v>
      </c>
      <c r="D9" s="36" t="str">
        <f>"Code de commerce, art. L145-9 (Légifrance, version en vigueur depuis le 8 août 2015) : congé donné six mois à l'avance ; en tacite prolongation, congé à tout moment pour le dernier jour du trimestre c"&amp;"ivil. Vérifié le "&amp;TEXT(DAY($C$40),"00")&amp;"/"&amp;TEXT(MONTH($C$40),"00")&amp;"/"&amp;YEAR($C$40)&amp;"."</f>
        <v>Code de commerce, art. L145-9 (Légifrance, version en vigueur depuis le 8 août 2015) : congé donné six mois à l'avance ; en tacite prolongation, congé à tout moment pour le dernier jour du trimestre civil. Vérifié le 05/09/2026.</v>
      </c>
      <c r="E9" s="36" t="s">
        <v>397</v>
      </c>
      <c r="F9" s="36" t="s">
        <v>400</v>
      </c>
    </row>
    <row r="10" spans="2:6" ht="43.5" customHeight="1" x14ac:dyDescent="0.35">
      <c r="B10" s="35" t="s">
        <v>401</v>
      </c>
      <c r="C10" s="37">
        <v>137.41999999999999</v>
      </c>
      <c r="D10" s="36" t="str">
        <f>"Insee, Informations rapides n° 155 : ILAT du "&amp;$C$38&amp;", base 100 au 1er trimestre 2010, hausse de 0,09 % sur un an. Vérifié le "&amp;TEXT(DAY($C$40),"00")&amp;"/"&amp;TEXT(MONTH($C$40),"00")&amp;"/"&amp;YEAR($C$40)&amp;"."</f>
        <v>Insee, Informations rapides n° 155 : ILAT du 1er trimestre 2026, base 100 au 1er trimestre 2010, hausse de 0,09 % sur un an. Vérifié le 05/09/2026.</v>
      </c>
      <c r="E10" s="36" t="s">
        <v>402</v>
      </c>
      <c r="F10" s="36" t="s">
        <v>403</v>
      </c>
    </row>
    <row r="11" spans="2:6" ht="57" customHeight="1" x14ac:dyDescent="0.35">
      <c r="B11" s="35" t="s">
        <v>404</v>
      </c>
      <c r="C11" s="37">
        <v>135.26</v>
      </c>
      <c r="D11" s="36" t="str">
        <f>"Insee, Informations rapides n° 154 du 24 juin 2026 : ILC du "&amp;$C$38&amp;", base 100 au 1er trimestre 2008, baisse de 0,45 % sur un an. Vérifié le "&amp;TEXT(DAY($C$40),"00")&amp;"/"&amp;TEXT(MONTH($C$40),"00")&amp;"/"&amp;YEAR($C$40)&amp;"."</f>
        <v>Insee, Informations rapides n° 154 du 24 juin 2026 : ILC du 1er trimestre 2026, base 100 au 1er trimestre 2008, baisse de 0,45 % sur un an. Vérifié le 05/09/2026.</v>
      </c>
      <c r="E11" s="36" t="s">
        <v>405</v>
      </c>
      <c r="F11" s="36" t="s">
        <v>406</v>
      </c>
    </row>
    <row r="12" spans="2:6" ht="57" customHeight="1" x14ac:dyDescent="0.35">
      <c r="B12" s="35" t="s">
        <v>407</v>
      </c>
      <c r="C12" s="37">
        <v>148.37</v>
      </c>
      <c r="D12" s="36" t="str">
        <f>"Insee, Informations rapides n° 167 du 10 juillet 2026 : IRL du "&amp;$C$39&amp;", France métropolitaine, base 100 au 4e trimestre 1998, hausse de 1,15 % sur un an. Vérifié le "&amp;TEXT(DAY($C$40),"00")&amp;"/"&amp;TEXT(MONTH($C$40),"00")&amp;"/"&amp;YEAR($C$40)&amp;"."</f>
        <v>Insee, Informations rapides n° 167 du 10 juillet 2026 : IRL du 2e trimestre 2026, France métropolitaine, base 100 au 4e trimestre 1998, hausse de 1,15 % sur un an. Vérifié le 05/09/2026.</v>
      </c>
      <c r="E12" s="36" t="s">
        <v>405</v>
      </c>
      <c r="F12" s="36" t="s">
        <v>408</v>
      </c>
    </row>
    <row r="14" spans="2:6" ht="18" customHeight="1" x14ac:dyDescent="0.35">
      <c r="B14" s="1" t="s">
        <v>409</v>
      </c>
      <c r="C14" s="1"/>
      <c r="D14" s="1"/>
      <c r="E14" s="1"/>
      <c r="F14" s="1"/>
    </row>
    <row r="15" spans="2:6" ht="30" customHeight="1" x14ac:dyDescent="0.35">
      <c r="B15" s="13" t="s">
        <v>159</v>
      </c>
      <c r="C15" s="13" t="s">
        <v>392</v>
      </c>
      <c r="D15" s="13" t="s">
        <v>393</v>
      </c>
      <c r="E15" s="13" t="s">
        <v>394</v>
      </c>
      <c r="F15" s="13" t="s">
        <v>395</v>
      </c>
    </row>
    <row r="16" spans="2:6" ht="57" customHeight="1" x14ac:dyDescent="0.35">
      <c r="B16" s="35" t="s">
        <v>410</v>
      </c>
      <c r="C16" s="38">
        <v>0.33</v>
      </c>
      <c r="D16" s="36" t="s">
        <v>411</v>
      </c>
      <c r="E16" s="36" t="s">
        <v>412</v>
      </c>
      <c r="F16" s="36" t="s">
        <v>413</v>
      </c>
    </row>
    <row r="17" spans="2:6" ht="43.5" customHeight="1" x14ac:dyDescent="0.35">
      <c r="B17" s="35" t="s">
        <v>183</v>
      </c>
      <c r="C17" s="38">
        <v>0.4</v>
      </c>
      <c r="D17" s="36" t="s">
        <v>414</v>
      </c>
      <c r="E17" s="36" t="s">
        <v>412</v>
      </c>
      <c r="F17" s="36" t="s">
        <v>415</v>
      </c>
    </row>
    <row r="18" spans="2:6" ht="178.5" customHeight="1" x14ac:dyDescent="0.35">
      <c r="B18" s="35" t="s">
        <v>416</v>
      </c>
      <c r="C18" s="21">
        <v>1</v>
      </c>
      <c r="D18" s="36" t="str">
        <f>"Repère de place, hors Île-de-France prime et hors grandes surfaces : de l'ordre d'un mois de franchise par année d'engagement ferme, pratique relevée par les conseils en immobilier d'entreprise, sans "&amp;"statistique publiée. Sur les bureaux franciliens de plus de 1 000 m², le GIE Immostat mesure 30,4 % de mesures d'accompagnement au "&amp;$C$38&amp;", franchises, participations aux travaux et loyers progressifs confondus, pour une durée ferme moyenne de 6,1 ans, soit environ trois mois de franchise par année ferme (immostat.com, mesures d'accompa"&amp;"gnement et note méthodologique). Vérifié le "&amp;TEXT(DAY($C$40),"00")&amp;"/"&amp;TEXT(MONTH($C$40),"00")&amp;"/"&amp;YEAR($C$40)&amp;"."</f>
        <v>Repère de place, hors Île-de-France prime et hors grandes surfaces : de l'ordre d'un mois de franchise par année d'engagement ferme, pratique relevée par les conseils en immobilier d'entreprise, sans statistique publiée. Sur les bureaux franciliens de plus de 1 000 m², le GIE Immostat mesure 30,4 % de mesures d'accompagnement au 1er trimestre 2026, franchises, participations aux travaux et loyers progressifs confondus, pour une durée ferme moyenne de 6,1 ans, soit environ trois mois de franchise par année ferme (immostat.com, mesures d'accompagnement et note méthodologique). Vérifié le 05/09/2026.</v>
      </c>
      <c r="E18" s="36" t="s">
        <v>417</v>
      </c>
      <c r="F18" s="36" t="s">
        <v>418</v>
      </c>
    </row>
    <row r="19" spans="2:6" ht="138" customHeight="1" x14ac:dyDescent="0.35">
      <c r="B19" s="35" t="s">
        <v>419</v>
      </c>
      <c r="C19" s="39">
        <v>3.4</v>
      </c>
      <c r="D19" s="36" t="str">
        <f>"Icade, communiqué de presse Résultats annuels 2025 du 17 février 2026, chapitre Foncière, tableau des indicateurs locatifs : durée résiduelle ferme des baux de 3,4 ans au 31 décembre 2025, stable sur "&amp;"un an, pour un taux d'occupation financier de 86,8 %. Le glossaire du même communiqué définit cette durée comme le WALB, pondéré par le loyer annualisé. icade.fr, rubrique Finance. Vérifié sur la sour"&amp;"ce primaire le "&amp;TEXT(DAY($C$40),"00")&amp;"/"&amp;TEXT(MONTH($C$40),"00")&amp;"/"&amp;YEAR($C$40)&amp;"."</f>
        <v>Icade, communiqué de presse Résultats annuels 2025 du 17 février 2026, chapitre Foncière, tableau des indicateurs locatifs : durée résiduelle ferme des baux de 3,4 ans au 31 décembre 2025, stable sur un an, pour un taux d'occupation financier de 86,8 %. Le glossaire du même communiqué définit cette durée comme le WALB, pondéré par le loyer annualisé. icade.fr, rubrique Finance. Vérifié sur la source primaire le 05/09/2026.</v>
      </c>
      <c r="E19" s="36" t="s">
        <v>420</v>
      </c>
      <c r="F19" s="36" t="s">
        <v>421</v>
      </c>
    </row>
    <row r="20" spans="2:6" ht="111" customHeight="1" x14ac:dyDescent="0.35">
      <c r="B20" s="35" t="s">
        <v>422</v>
      </c>
      <c r="C20" s="39">
        <v>6.4</v>
      </c>
      <c r="D20" s="36" t="str">
        <f>"Covivio, communiqué de presse Résultats annuels 2025 du 18 février 2026, faits marquants : durée ferme moyenne des baux de 6,4 ans au 31 décembre 2025, pour un taux d'occupation de 97,1 %. Le détail p"&amp;"ar activité du même communiqué donne 4,9 ans en bureaux et 11,1 ans en hôtellerie. covivio.eu, rubrique Finance. Vérifié sur la source primaire le "&amp;TEXT(DAY($C$40),"00")&amp;"/"&amp;TEXT(MONTH($C$40),"00")&amp;"/"&amp;YEAR($C$40)&amp;"."</f>
        <v>Covivio, communiqué de presse Résultats annuels 2025 du 18 février 2026, faits marquants : durée ferme moyenne des baux de 6,4 ans au 31 décembre 2025, pour un taux d'occupation de 97,1 %. Le détail par activité du même communiqué donne 4,9 ans en bureaux et 11,1 ans en hôtellerie. covivio.eu, rubrique Finance. Vérifié sur la source primaire le 05/09/2026.</v>
      </c>
      <c r="E20" s="36" t="s">
        <v>420</v>
      </c>
      <c r="F20" s="36" t="s">
        <v>423</v>
      </c>
    </row>
    <row r="21" spans="2:6" ht="57" customHeight="1" x14ac:dyDescent="0.35">
      <c r="B21" s="35" t="s">
        <v>424</v>
      </c>
      <c r="C21" s="16">
        <v>5000</v>
      </c>
      <c r="D21" s="36" t="s">
        <v>425</v>
      </c>
      <c r="E21" s="36" t="s">
        <v>412</v>
      </c>
      <c r="F21" s="36" t="s">
        <v>426</v>
      </c>
    </row>
    <row r="22" spans="2:6" ht="30" customHeight="1" x14ac:dyDescent="0.35">
      <c r="B22" s="35" t="s">
        <v>427</v>
      </c>
      <c r="C22" s="15">
        <v>100000</v>
      </c>
      <c r="D22" s="36" t="s">
        <v>428</v>
      </c>
      <c r="E22" s="36" t="s">
        <v>412</v>
      </c>
      <c r="F22" s="36"/>
    </row>
    <row r="23" spans="2:6" ht="70.5" customHeight="1" x14ac:dyDescent="0.35">
      <c r="B23" s="35" t="s">
        <v>429</v>
      </c>
      <c r="C23" s="19">
        <v>99</v>
      </c>
      <c r="D23" s="36" t="str">
        <f>"Code rural et de la pêche maritime, art. L451-1 : le bail emphytéotique, le plus long des baux, ne peut excéder quatre-vingt-dix-neuf ans. Sert de garde-fou de saisie. Vérifié le "&amp;TEXT(DAY($C$40),"00")&amp;"/"&amp;TEXT(MONTH($C$40),"00")&amp;"/"&amp;YEAR($C$40)&amp;"."</f>
        <v>Code rural et de la pêche maritime, art. L451-1 : le bail emphytéotique, le plus long des baux, ne peut excéder quatre-vingt-dix-neuf ans. Sert de garde-fou de saisie. Vérifié le 05/09/2026.</v>
      </c>
      <c r="E23" s="36" t="s">
        <v>412</v>
      </c>
      <c r="F23" s="36" t="s">
        <v>430</v>
      </c>
    </row>
    <row r="24" spans="2:6" ht="57" customHeight="1" x14ac:dyDescent="0.35">
      <c r="B24" s="35" t="s">
        <v>431</v>
      </c>
      <c r="C24" s="21">
        <v>24</v>
      </c>
      <c r="D24" s="36" t="s">
        <v>432</v>
      </c>
      <c r="E24" s="36" t="s">
        <v>412</v>
      </c>
      <c r="F24" s="36" t="s">
        <v>433</v>
      </c>
    </row>
    <row r="25" spans="2:6" ht="84" customHeight="1" x14ac:dyDescent="0.35">
      <c r="B25" s="35" t="s">
        <v>199</v>
      </c>
      <c r="C25" s="38">
        <v>1E-3</v>
      </c>
      <c r="D25" s="36" t="s">
        <v>434</v>
      </c>
      <c r="E25" s="36" t="s">
        <v>412</v>
      </c>
      <c r="F25" s="36" t="s">
        <v>435</v>
      </c>
    </row>
    <row r="27" spans="2:6" ht="18" customHeight="1" x14ac:dyDescent="0.35">
      <c r="B27" s="1" t="s">
        <v>436</v>
      </c>
      <c r="C27" s="1"/>
      <c r="D27" s="1"/>
      <c r="E27" s="1"/>
      <c r="F27" s="1"/>
    </row>
    <row r="28" spans="2:6" x14ac:dyDescent="0.35">
      <c r="B28" s="1" t="s">
        <v>437</v>
      </c>
      <c r="D28" s="1" t="s">
        <v>438</v>
      </c>
    </row>
    <row r="29" spans="2:6" x14ac:dyDescent="0.35">
      <c r="B29" s="24" t="s">
        <v>264</v>
      </c>
      <c r="D29" s="24" t="s">
        <v>266</v>
      </c>
      <c r="E29" s="9" t="s">
        <v>439</v>
      </c>
    </row>
    <row r="30" spans="2:6" x14ac:dyDescent="0.35">
      <c r="B30" s="24" t="s">
        <v>270</v>
      </c>
      <c r="D30" s="24" t="s">
        <v>273</v>
      </c>
      <c r="E30" s="9" t="s">
        <v>440</v>
      </c>
    </row>
    <row r="31" spans="2:6" x14ac:dyDescent="0.35">
      <c r="B31" s="24" t="s">
        <v>441</v>
      </c>
      <c r="D31" s="9" t="s">
        <v>442</v>
      </c>
    </row>
    <row r="32" spans="2:6" x14ac:dyDescent="0.35">
      <c r="B32" s="24" t="s">
        <v>443</v>
      </c>
    </row>
    <row r="33" spans="2:6" x14ac:dyDescent="0.35">
      <c r="B33" s="24" t="s">
        <v>444</v>
      </c>
    </row>
    <row r="34" spans="2:6" x14ac:dyDescent="0.35">
      <c r="B34" s="24" t="s">
        <v>445</v>
      </c>
    </row>
    <row r="35" spans="2:6" x14ac:dyDescent="0.35">
      <c r="B35" s="9" t="s">
        <v>446</v>
      </c>
    </row>
    <row r="37" spans="2:6" ht="18" customHeight="1" x14ac:dyDescent="0.35">
      <c r="B37" s="1" t="s">
        <v>447</v>
      </c>
      <c r="C37" s="1"/>
      <c r="D37" s="1"/>
      <c r="E37" s="1"/>
      <c r="F37" s="1"/>
    </row>
    <row r="38" spans="2:6" ht="30" customHeight="1" x14ac:dyDescent="0.35">
      <c r="B38" s="8" t="s">
        <v>448</v>
      </c>
      <c r="C38" s="14" t="s">
        <v>449</v>
      </c>
      <c r="D38" s="36" t="s">
        <v>450</v>
      </c>
      <c r="E38" s="36" t="s">
        <v>405</v>
      </c>
      <c r="F38" s="36" t="s">
        <v>451</v>
      </c>
    </row>
    <row r="39" spans="2:6" ht="30" customHeight="1" x14ac:dyDescent="0.35">
      <c r="B39" s="8" t="s">
        <v>452</v>
      </c>
      <c r="C39" s="14" t="s">
        <v>453</v>
      </c>
      <c r="D39" s="36" t="s">
        <v>454</v>
      </c>
      <c r="E39" s="36" t="s">
        <v>405</v>
      </c>
      <c r="F39" s="36" t="s">
        <v>455</v>
      </c>
    </row>
    <row r="40" spans="2:6" ht="30" customHeight="1" x14ac:dyDescent="0.35">
      <c r="B40" s="8" t="s">
        <v>456</v>
      </c>
      <c r="C40" s="11">
        <v>46270</v>
      </c>
      <c r="D40" s="36" t="s">
        <v>457</v>
      </c>
      <c r="E40" s="36" t="s">
        <v>458</v>
      </c>
      <c r="F40" s="36" t="s">
        <v>459</v>
      </c>
    </row>
    <row r="42" spans="2:6" x14ac:dyDescent="0.35">
      <c r="B42" s="9" t="s">
        <v>460</v>
      </c>
    </row>
    <row r="43" spans="2:6" x14ac:dyDescent="0.35">
      <c r="B43" s="9" t="s">
        <v>461</v>
      </c>
    </row>
    <row r="46" spans="2:6" ht="36" customHeight="1" x14ac:dyDescent="0.35">
      <c r="B46" s="46" t="s">
        <v>233</v>
      </c>
      <c r="C46" s="41"/>
      <c r="D46" s="41"/>
      <c r="E46" s="41"/>
      <c r="F46" s="41"/>
    </row>
  </sheetData>
  <sheetProtection sheet="1" formatColumns="0" formatRows="0"/>
  <mergeCells count="1">
    <mergeCell ref="B46:F4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A6B8C"/>
  </sheetPr>
  <dimension ref="B1:C53"/>
  <sheetViews>
    <sheetView showGridLines="0" workbookViewId="0">
      <selection activeCell="B1" sqref="B1"/>
    </sheetView>
  </sheetViews>
  <sheetFormatPr baseColWidth="10" defaultColWidth="8.7265625" defaultRowHeight="14.5" x14ac:dyDescent="0.35"/>
  <cols>
    <col min="1" max="1" width="2" customWidth="1"/>
    <col min="2" max="2" width="34" customWidth="1"/>
    <col min="3" max="3" width="120" customWidth="1"/>
  </cols>
  <sheetData>
    <row r="1" spans="2:3" ht="20" customHeight="1" x14ac:dyDescent="0.35">
      <c r="B1" s="1" t="s">
        <v>0</v>
      </c>
      <c r="C1" s="1"/>
    </row>
    <row r="2" spans="2:3" ht="26" customHeight="1" x14ac:dyDescent="0.35">
      <c r="B2" s="2" t="s">
        <v>462</v>
      </c>
    </row>
    <row r="3" spans="2:3" x14ac:dyDescent="0.35">
      <c r="B3" s="3" t="s">
        <v>463</v>
      </c>
    </row>
    <row r="5" spans="2:3" ht="18" customHeight="1" x14ac:dyDescent="0.35">
      <c r="B5" s="1" t="s">
        <v>464</v>
      </c>
      <c r="C5" s="1"/>
    </row>
    <row r="6" spans="2:3" ht="30" customHeight="1" x14ac:dyDescent="0.35">
      <c r="B6" s="8" t="s">
        <v>465</v>
      </c>
      <c r="C6" s="4" t="s">
        <v>466</v>
      </c>
    </row>
    <row r="7" spans="2:3" ht="84" customHeight="1" x14ac:dyDescent="0.35">
      <c r="B7" s="8" t="s">
        <v>467</v>
      </c>
      <c r="C7" s="4" t="s">
        <v>468</v>
      </c>
    </row>
    <row r="8" spans="2:3" ht="43.5" customHeight="1" x14ac:dyDescent="0.35">
      <c r="B8" s="8" t="s">
        <v>469</v>
      </c>
      <c r="C8" s="4" t="s">
        <v>470</v>
      </c>
    </row>
    <row r="9" spans="2:3" ht="70.5" customHeight="1" x14ac:dyDescent="0.35">
      <c r="B9" s="8" t="s">
        <v>471</v>
      </c>
      <c r="C9" s="4" t="s">
        <v>472</v>
      </c>
    </row>
    <row r="10" spans="2:3" ht="70.5" customHeight="1" x14ac:dyDescent="0.35">
      <c r="B10" s="8" t="s">
        <v>473</v>
      </c>
      <c r="C10" s="4" t="s">
        <v>474</v>
      </c>
    </row>
    <row r="11" spans="2:3" ht="57" customHeight="1" x14ac:dyDescent="0.35">
      <c r="B11" s="8" t="s">
        <v>353</v>
      </c>
      <c r="C11" s="4" t="s">
        <v>475</v>
      </c>
    </row>
    <row r="12" spans="2:3" ht="84" customHeight="1" x14ac:dyDescent="0.35">
      <c r="B12" s="8" t="s">
        <v>124</v>
      </c>
      <c r="C12" s="4" t="s">
        <v>476</v>
      </c>
    </row>
    <row r="13" spans="2:3" ht="97.5" customHeight="1" x14ac:dyDescent="0.35">
      <c r="B13" s="8" t="s">
        <v>477</v>
      </c>
      <c r="C13" s="4" t="s">
        <v>478</v>
      </c>
    </row>
    <row r="14" spans="2:3" ht="30" customHeight="1" x14ac:dyDescent="0.35">
      <c r="B14" s="8" t="s">
        <v>325</v>
      </c>
      <c r="C14" s="4" t="s">
        <v>479</v>
      </c>
    </row>
    <row r="15" spans="2:3" ht="97.5" customHeight="1" x14ac:dyDescent="0.35">
      <c r="B15" s="8" t="s">
        <v>480</v>
      </c>
      <c r="C15" s="4" t="s">
        <v>481</v>
      </c>
    </row>
    <row r="16" spans="2:3" ht="84" customHeight="1" x14ac:dyDescent="0.35">
      <c r="B16" s="8" t="s">
        <v>144</v>
      </c>
      <c r="C16" s="4" t="s">
        <v>482</v>
      </c>
    </row>
    <row r="17" spans="2:3" ht="84" customHeight="1" x14ac:dyDescent="0.35">
      <c r="B17" s="8" t="s">
        <v>483</v>
      </c>
      <c r="C17" s="4" t="s">
        <v>484</v>
      </c>
    </row>
    <row r="18" spans="2:3" ht="57" customHeight="1" x14ac:dyDescent="0.35">
      <c r="B18" s="8" t="s">
        <v>485</v>
      </c>
      <c r="C18" s="4" t="s">
        <v>486</v>
      </c>
    </row>
    <row r="19" spans="2:3" ht="57" customHeight="1" x14ac:dyDescent="0.35">
      <c r="B19" s="8" t="s">
        <v>487</v>
      </c>
      <c r="C19" s="4" t="s">
        <v>488</v>
      </c>
    </row>
    <row r="20" spans="2:3" ht="70.5" customHeight="1" x14ac:dyDescent="0.35">
      <c r="B20" s="8" t="s">
        <v>489</v>
      </c>
      <c r="C20" s="4" t="str">
        <f>"Le classeur ne calcule pas l'indexation des loyers : il photographie l'état locatif à la date d'analyse. Les indices de référence sont donnés dans Paramètres pour situer la dernière indexation connue."&amp;" Depuis la loi du 18 juin 2014, l'indice du coût de la construction est exclu de la révision des baux commerciaux conclus ou renouvelés : l'indice des loyers des activités tertiaires s'applique aux bu"&amp;"reaux et aux professions libérales, l'indice des loyers commerciaux au commerce et à l'artisanat. Valeurs du "&amp;Paramètres!$C$38&amp;" pour les deux premiers et du "&amp;Paramètres!$C$39&amp;" pour l'indice de référence des loyers, vérifiées le "&amp;TEXT(DAY(Paramètres!$C$40),"00")&amp;"/"&amp;TEXT(MONTH(Paramètres!$C$40),"00")&amp;"/"&amp;YEAR(Paramètres!$C$40)&amp;"."</f>
        <v>Le classeur ne calcule pas l'indexation des loyers : il photographie l'état locatif à la date d'analyse. Les indices de référence sont donnés dans Paramètres pour situer la dernière indexation connue. Depuis la loi du 18 juin 2014, l'indice du coût de la construction est exclu de la révision des baux commerciaux conclus ou renouvelés : l'indice des loyers des activités tertiaires s'applique aux bureaux et aux professions libérales, l'indice des loyers commerciaux au commerce et à l'artisanat. Valeurs du 1er trimestre 2026 pour les deux premiers et du 2e trimestre 2026 pour l'indice de référence des loyers, vérifiées le 05/09/2026.</v>
      </c>
    </row>
    <row r="22" spans="2:3" ht="18" customHeight="1" x14ac:dyDescent="0.35">
      <c r="B22" s="1" t="s">
        <v>490</v>
      </c>
      <c r="C22" s="1"/>
    </row>
    <row r="23" spans="2:3" ht="16.5" customHeight="1" x14ac:dyDescent="0.35">
      <c r="B23" s="40" t="s">
        <v>491</v>
      </c>
      <c r="C23" s="41"/>
    </row>
    <row r="24" spans="2:3" ht="16.5" customHeight="1" x14ac:dyDescent="0.35">
      <c r="B24" s="40" t="s">
        <v>492</v>
      </c>
      <c r="C24" s="41"/>
    </row>
    <row r="25" spans="2:3" ht="16.5" customHeight="1" x14ac:dyDescent="0.35">
      <c r="B25" s="40" t="s">
        <v>493</v>
      </c>
      <c r="C25" s="41"/>
    </row>
    <row r="26" spans="2:3" ht="16.5" customHeight="1" x14ac:dyDescent="0.35">
      <c r="B26" s="40" t="s">
        <v>494</v>
      </c>
      <c r="C26" s="41"/>
    </row>
    <row r="27" spans="2:3" ht="16.5" customHeight="1" x14ac:dyDescent="0.35">
      <c r="B27" s="40" t="s">
        <v>495</v>
      </c>
      <c r="C27" s="41"/>
    </row>
    <row r="28" spans="2:3" ht="30" customHeight="1" x14ac:dyDescent="0.35">
      <c r="B28" s="40" t="s">
        <v>496</v>
      </c>
      <c r="C28" s="41"/>
    </row>
    <row r="29" spans="2:3" ht="30" customHeight="1" x14ac:dyDescent="0.35">
      <c r="B29" s="40" t="s">
        <v>497</v>
      </c>
      <c r="C29" s="41"/>
    </row>
    <row r="30" spans="2:3" ht="16.5" customHeight="1" x14ac:dyDescent="0.35">
      <c r="B30" s="40" t="s">
        <v>498</v>
      </c>
      <c r="C30" s="41"/>
    </row>
    <row r="32" spans="2:3" ht="18" customHeight="1" x14ac:dyDescent="0.35">
      <c r="B32" s="1" t="s">
        <v>499</v>
      </c>
      <c r="C32" s="1"/>
    </row>
    <row r="33" spans="2:3" ht="43.5" customHeight="1" x14ac:dyDescent="0.35">
      <c r="B33" s="8" t="s">
        <v>396</v>
      </c>
      <c r="C33" s="36" t="str">
        <f>"Code de commerce, art. L145-4 (Légifrance, version en vigueur depuis le 25 novembre 2018) : le preneur peut donner congé à l'expiration de chaque période triennale. Dérogation possible pour les locaux"&amp;" à usage exclusif de bureaux, les baux de plus de neuf ans, les locaux monovalents et les locaux de stockage. Vérifié le "&amp;TEXT(DAY(Paramètres!$C$40),"00")&amp;"/"&amp;TEXT(MONTH(Paramètres!$C$40),"00")&amp;"/"&amp;YEAR(Paramètres!$C$40)&amp;"."</f>
        <v>Code de commerce, art. L145-4 (Légifrance, version en vigueur depuis le 25 novembre 2018) : le preneur peut donner congé à l'expiration de chaque période triennale. Dérogation possible pour les locaux à usage exclusif de bureaux, les baux de plus de neuf ans, les locaux monovalents et les locaux de stockage. Vérifié le 05/09/2026.</v>
      </c>
    </row>
    <row r="34" spans="2:3" ht="30" customHeight="1" x14ac:dyDescent="0.35">
      <c r="B34" s="8" t="s">
        <v>399</v>
      </c>
      <c r="C34" s="36" t="str">
        <f>"Code de commerce, art. L145-9 (Légifrance, version en vigueur depuis le 8 août 2015) : congé donné six mois à l'avance ; en tacite prolongation, congé à tout moment pour le dernier jour du trimestre c"&amp;"ivil. Vérifié le "&amp;TEXT(DAY(Paramètres!$C$40),"00")&amp;"/"&amp;TEXT(MONTH(Paramètres!$C$40),"00")&amp;"/"&amp;YEAR(Paramètres!$C$40)&amp;"."</f>
        <v>Code de commerce, art. L145-9 (Légifrance, version en vigueur depuis le 8 août 2015) : congé donné six mois à l'avance ; en tacite prolongation, congé à tout moment pour le dernier jour du trimestre civil. Vérifié le 05/09/2026.</v>
      </c>
    </row>
    <row r="35" spans="2:3" ht="30" customHeight="1" x14ac:dyDescent="0.35">
      <c r="B35" s="8" t="s">
        <v>401</v>
      </c>
      <c r="C35" s="36" t="str">
        <f>"Insee, Informations rapides n° 155 : ILAT du "&amp;Paramètres!$C$38&amp;", base 100 au 1er trimestre 2010, hausse de 0,09 % sur un an. Vérifié le "&amp;TEXT(DAY(Paramètres!$C$40),"00")&amp;"/"&amp;TEXT(MONTH(Paramètres!$C$40),"00")&amp;"/"&amp;YEAR(Paramètres!$C$40)&amp;"."</f>
        <v>Insee, Informations rapides n° 155 : ILAT du 1er trimestre 2026, base 100 au 1er trimestre 2010, hausse de 0,09 % sur un an. Vérifié le 05/09/2026.</v>
      </c>
    </row>
    <row r="36" spans="2:3" ht="30" customHeight="1" x14ac:dyDescent="0.35">
      <c r="B36" s="8" t="s">
        <v>404</v>
      </c>
      <c r="C36" s="36" t="str">
        <f>"Insee, Informations rapides n° 154 du 24 juin 2026 : ILC du "&amp;Paramètres!$C$38&amp;", base 100 au 1er trimestre 2008, baisse de 0,45 % sur un an. Vérifié le "&amp;TEXT(DAY(Paramètres!$C$40),"00")&amp;"/"&amp;TEXT(MONTH(Paramètres!$C$40),"00")&amp;"/"&amp;YEAR(Paramètres!$C$40)&amp;"."</f>
        <v>Insee, Informations rapides n° 154 du 24 juin 2026 : ILC du 1er trimestre 2026, base 100 au 1er trimestre 2008, baisse de 0,45 % sur un an. Vérifié le 05/09/2026.</v>
      </c>
    </row>
    <row r="37" spans="2:3" ht="30" customHeight="1" x14ac:dyDescent="0.35">
      <c r="B37" s="8" t="s">
        <v>407</v>
      </c>
      <c r="C37" s="36" t="str">
        <f>"Insee, Informations rapides n° 167 du 10 juillet 2026 : IRL du "&amp;Paramètres!$C$39&amp;", France métropolitaine, base 100 au 4e trimestre 1998, hausse de 1,15 % sur un an. Vérifié le "&amp;TEXT(DAY(Paramètres!$C$40),"00")&amp;"/"&amp;TEXT(MONTH(Paramètres!$C$40),"00")&amp;"/"&amp;YEAR(Paramètres!$C$40)&amp;"."</f>
        <v>Insee, Informations rapides n° 167 du 10 juillet 2026 : IRL du 2e trimestre 2026, France métropolitaine, base 100 au 4e trimestre 1998, hausse de 1,15 % sur un an. Vérifié le 05/09/2026.</v>
      </c>
    </row>
    <row r="38" spans="2:3" ht="30" customHeight="1" x14ac:dyDescent="0.35">
      <c r="B38" s="8" t="s">
        <v>410</v>
      </c>
      <c r="C38" s="36" t="s">
        <v>411</v>
      </c>
    </row>
    <row r="39" spans="2:3" ht="16.5" customHeight="1" x14ac:dyDescent="0.35">
      <c r="B39" s="8" t="s">
        <v>183</v>
      </c>
      <c r="C39" s="36" t="s">
        <v>414</v>
      </c>
    </row>
    <row r="40" spans="2:3" ht="70.5" customHeight="1" x14ac:dyDescent="0.35">
      <c r="B40" s="8" t="s">
        <v>416</v>
      </c>
      <c r="C40" s="36" t="str">
        <f>"Repère de place, hors Île-de-France prime et hors grandes surfaces : de l'ordre d'un mois de franchise par année d'engagement ferme, pratique relevée par les conseils en immobilier d'entreprise, sans "&amp;"statistique publiée. Sur les bureaux franciliens de plus de 1 000 m², le GIE Immostat mesure 30,4 % de mesures d'accompagnement au "&amp;Paramètres!$C$38&amp;", franchises, participations aux travaux et loyers progressifs confondus, pour une durée ferme moyenne de 6,1 ans, soit environ trois mois de franchise par année ferme (immostat.com, mesures d'accompa"&amp;"gnement et note méthodologique). Vérifié le "&amp;TEXT(DAY(Paramètres!$C$40),"00")&amp;"/"&amp;TEXT(MONTH(Paramètres!$C$40),"00")&amp;"/"&amp;YEAR(Paramètres!$C$40)&amp;"."</f>
        <v>Repère de place, hors Île-de-France prime et hors grandes surfaces : de l'ordre d'un mois de franchise par année d'engagement ferme, pratique relevée par les conseils en immobilier d'entreprise, sans statistique publiée. Sur les bureaux franciliens de plus de 1 000 m², le GIE Immostat mesure 30,4 % de mesures d'accompagnement au 1er trimestre 2026, franchises, participations aux travaux et loyers progressifs confondus, pour une durée ferme moyenne de 6,1 ans, soit environ trois mois de franchise par année ferme (immostat.com, mesures d'accompagnement et note méthodologique). Vérifié le 05/09/2026.</v>
      </c>
    </row>
    <row r="41" spans="2:3" ht="57" customHeight="1" x14ac:dyDescent="0.35">
      <c r="B41" s="8" t="s">
        <v>419</v>
      </c>
      <c r="C41" s="36" t="str">
        <f>"Icade, communiqué de presse Résultats annuels 2025 du 17 février 2026, chapitre Foncière, tableau des indicateurs locatifs : durée résiduelle ferme des baux de 3,4 ans au 31 décembre 2025, stable sur "&amp;"un an, pour un taux d'occupation financier de 86,8 %. Le glossaire du même communiqué définit cette durée comme le WALB, pondéré par le loyer annualisé. icade.fr, rubrique Finance. Vérifié sur la sour"&amp;"ce primaire le "&amp;TEXT(DAY(Paramètres!$C$40),"00")&amp;"/"&amp;TEXT(MONTH(Paramètres!$C$40),"00")&amp;"/"&amp;YEAR(Paramètres!$C$40)&amp;"."</f>
        <v>Icade, communiqué de presse Résultats annuels 2025 du 17 février 2026, chapitre Foncière, tableau des indicateurs locatifs : durée résiduelle ferme des baux de 3,4 ans au 31 décembre 2025, stable sur un an, pour un taux d'occupation financier de 86,8 %. Le glossaire du même communiqué définit cette durée comme le WALB, pondéré par le loyer annualisé. icade.fr, rubrique Finance. Vérifié sur la source primaire le 05/09/2026.</v>
      </c>
    </row>
    <row r="42" spans="2:3" ht="43.5" customHeight="1" x14ac:dyDescent="0.35">
      <c r="B42" s="8" t="s">
        <v>422</v>
      </c>
      <c r="C42" s="36" t="str">
        <f>"Covivio, communiqué de presse Résultats annuels 2025 du 18 février 2026, faits marquants : durée ferme moyenne des baux de 6,4 ans au 31 décembre 2025, pour un taux d'occupation de 97,1 %. Le détail p"&amp;"ar activité du même communiqué donne 4,9 ans en bureaux et 11,1 ans en hôtellerie. covivio.eu, rubrique Finance. Vérifié sur la source primaire le "&amp;TEXT(DAY(Paramètres!$C$40),"00")&amp;"/"&amp;TEXT(MONTH(Paramètres!$C$40),"00")&amp;"/"&amp;YEAR(Paramètres!$C$40)&amp;"."</f>
        <v>Covivio, communiqué de presse Résultats annuels 2025 du 18 février 2026, faits marquants : durée ferme moyenne des baux de 6,4 ans au 31 décembre 2025, pour un taux d'occupation de 97,1 %. Le détail par activité du même communiqué donne 4,9 ans en bureaux et 11,1 ans en hôtellerie. covivio.eu, rubrique Finance. Vérifié sur la source primaire le 05/09/2026.</v>
      </c>
    </row>
    <row r="43" spans="2:3" ht="30" customHeight="1" x14ac:dyDescent="0.35">
      <c r="B43" s="8" t="s">
        <v>424</v>
      </c>
      <c r="C43" s="36" t="s">
        <v>425</v>
      </c>
    </row>
    <row r="44" spans="2:3" ht="16.5" customHeight="1" x14ac:dyDescent="0.35">
      <c r="B44" s="8" t="s">
        <v>427</v>
      </c>
      <c r="C44" s="36" t="s">
        <v>428</v>
      </c>
    </row>
    <row r="45" spans="2:3" ht="30" customHeight="1" x14ac:dyDescent="0.35">
      <c r="B45" s="8" t="s">
        <v>429</v>
      </c>
      <c r="C45" s="36" t="str">
        <f>"Code rural et de la pêche maritime, art. L451-1 : le bail emphytéotique, le plus long des baux, ne peut excéder quatre-vingt-dix-neuf ans. Sert de garde-fou de saisie. Vérifié le "&amp;TEXT(DAY(Paramètres!$C$40),"00")&amp;"/"&amp;TEXT(MONTH(Paramètres!$C$40),"00")&amp;"/"&amp;YEAR(Paramètres!$C$40)&amp;"."</f>
        <v>Code rural et de la pêche maritime, art. L451-1 : le bail emphytéotique, le plus long des baux, ne peut excéder quatre-vingt-dix-neuf ans. Sert de garde-fou de saisie. Vérifié le 05/09/2026.</v>
      </c>
    </row>
    <row r="46" spans="2:3" ht="30" customHeight="1" x14ac:dyDescent="0.35">
      <c r="B46" s="8" t="s">
        <v>431</v>
      </c>
      <c r="C46" s="36" t="s">
        <v>432</v>
      </c>
    </row>
    <row r="47" spans="2:3" ht="16.5" customHeight="1" x14ac:dyDescent="0.35">
      <c r="B47" s="8" t="s">
        <v>199</v>
      </c>
      <c r="C47" s="36" t="s">
        <v>434</v>
      </c>
    </row>
    <row r="48" spans="2:3" ht="30" customHeight="1" x14ac:dyDescent="0.35">
      <c r="B48" s="8" t="s">
        <v>500</v>
      </c>
      <c r="C48" s="36" t="str">
        <f>"EPRA, Best Practices Recommendations Guidelines, édition de septembre 2024, section sur le taux de vacance : valeur locative de marché des surfaces vacantes rapportée à la valeur locative de marché de"&amp;" l'ensemble du portefeuille. Vérifié le "&amp;TEXT(DAY(Paramètres!$C$40),"00")&amp;"/"&amp;TEXT(MONTH(Paramètres!$C$40),"00")&amp;"/"&amp;YEAR(Paramètres!$C$40)&amp;"."</f>
        <v>EPRA, Best Practices Recommendations Guidelines, édition de septembre 2024, section sur le taux de vacance : valeur locative de marché des surfaces vacantes rapportée à la valeur locative de marché de l'ensemble du portefeuille. Vérifié le 05/09/2026.</v>
      </c>
    </row>
    <row r="49" spans="2:3" ht="30" customHeight="1" x14ac:dyDescent="0.35">
      <c r="B49" s="8" t="s">
        <v>501</v>
      </c>
      <c r="C49" s="36" t="str">
        <f>"Icade, rapport annuel 2025, glossaire : le WALB, Weighted Average Lease Break, retient pour chaque bail la date de prochaine option de sortie exerçable par le locataire, pondérée par le loyer annualis"&amp;"é. Covivio, résultats annuels 2025 : même définition. Vérifié le "&amp;TEXT(DAY(Paramètres!$C$40),"00")&amp;"/"&amp;TEXT(MONTH(Paramètres!$C$40),"00")&amp;"/"&amp;YEAR(Paramètres!$C$40)&amp;"."</f>
        <v>Icade, rapport annuel 2025, glossaire : le WALB, Weighted Average Lease Break, retient pour chaque bail la date de prochaine option de sortie exerçable par le locataire, pondérée par le loyer annualisé. Covivio, résultats annuels 2025 : même définition. Vérifié le 05/09/2026.</v>
      </c>
    </row>
    <row r="50" spans="2:3" ht="30" customHeight="1" x14ac:dyDescent="0.35">
      <c r="B50" s="8" t="s">
        <v>502</v>
      </c>
      <c r="C50" s="36" t="str">
        <f>"Loi n° 2014-626 du 18 juin 2014 : l'indice du coût de la construction est exclu de la révision et du renouvellement des baux commerciaux conclus ou renouvelés depuis le 1er septembre 2014. Insee pour "&amp;"les valeurs d'indice. Vérifié le "&amp;TEXT(DAY(Paramètres!$C$40),"00")&amp;"/"&amp;TEXT(MONTH(Paramètres!$C$40),"00")&amp;"/"&amp;YEAR(Paramètres!$C$40)&amp;"."</f>
        <v>Loi n° 2014-626 du 18 juin 2014 : l'indice du coût de la construction est exclu de la révision et du renouvellement des baux commerciaux conclus ou renouvelés depuis le 1er septembre 2014. Insee pour les valeurs d'indice. Vérifié le 05/09/2026.</v>
      </c>
    </row>
    <row r="51" spans="2:3" ht="30" customHeight="1" x14ac:dyDescent="0.35">
      <c r="B51" s="8" t="s">
        <v>503</v>
      </c>
      <c r="C51" s="36" t="str">
        <f>"Code de commerce, art. L145-4 (facultés de sortie triennales et dérogations) et L145-9 (préavis de congé et tacite prolongation), Légifrance. Vérifié le "&amp;TEXT(DAY(Paramètres!$C$40),"00")&amp;"/"&amp;TEXT(MONTH(Paramètres!$C$40),"00")&amp;"/"&amp;YEAR(Paramètres!$C$40)&amp;"."</f>
        <v>Code de commerce, art. L145-4 (facultés de sortie triennales et dérogations) et L145-9 (préavis de congé et tacite prolongation), Légifrance. Vérifié le 05/09/2026.</v>
      </c>
    </row>
    <row r="53" spans="2:3" ht="36" customHeight="1" x14ac:dyDescent="0.35">
      <c r="B53" s="46" t="s">
        <v>233</v>
      </c>
      <c r="C53" s="41"/>
    </row>
  </sheetData>
  <sheetProtection sheet="1" formatColumns="0" formatRows="0"/>
  <mergeCells count="9">
    <mergeCell ref="B23:C23"/>
    <mergeCell ref="B26:C26"/>
    <mergeCell ref="B27:C27"/>
    <mergeCell ref="B53:C53"/>
    <mergeCell ref="B24:C24"/>
    <mergeCell ref="B30:C30"/>
    <mergeCell ref="B29:C29"/>
    <mergeCell ref="B25:C25"/>
    <mergeCell ref="B28:C2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6</vt:i4>
      </vt:variant>
    </vt:vector>
  </HeadingPairs>
  <TitlesOfParts>
    <vt:vector size="6" baseType="lpstr">
      <vt:lpstr>Mode d'emploi</vt:lpstr>
      <vt:lpstr>Rent roll</vt:lpstr>
      <vt:lpstr>Synthèse</vt:lpstr>
      <vt:lpstr>Échéancier</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Rent roll, WAULT et WALB</dc:title>
  <dc:creator>CorpusImmo</dc:creator>
  <cp:lastModifiedBy>CorpusImmo</cp:lastModifiedBy>
  <dcterms:created xsi:type="dcterms:W3CDTF">2026-08-16T17:14:10Z</dcterms:created>
  <dcterms:modified xsi:type="dcterms:W3CDTF">2026-09-08T12:51:46Z</dcterms:modified>
</cp:coreProperties>
</file>