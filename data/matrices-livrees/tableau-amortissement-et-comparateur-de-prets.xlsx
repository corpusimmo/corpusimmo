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2AA6D186-C6BF-4E8A-B3AA-19AFB73EAB6A}"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Mon prêt" sheetId="2" r:id="rId2"/>
    <sheet name="Échéancier" sheetId="3" r:id="rId3"/>
    <sheet name="Comparateur" sheetId="4" r:id="rId4"/>
    <sheet name="Détail des offres" sheetId="5" r:id="rId5"/>
    <sheet name="Paramètres" sheetId="6" r:id="rId6"/>
    <sheet name="Méthod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7" l="1"/>
  <c r="C54" i="7"/>
  <c r="C53" i="7"/>
  <c r="C52" i="7"/>
  <c r="C51" i="7"/>
  <c r="C50" i="7"/>
  <c r="C49" i="7"/>
  <c r="C48" i="7"/>
  <c r="C47" i="7"/>
  <c r="C46" i="7"/>
  <c r="C45" i="7"/>
  <c r="C44" i="7"/>
  <c r="C40" i="7"/>
  <c r="C39" i="7"/>
  <c r="C38" i="7"/>
  <c r="C37" i="7"/>
  <c r="C36" i="7"/>
  <c r="C35" i="7"/>
  <c r="C34" i="7"/>
  <c r="C33" i="7"/>
  <c r="C32" i="7"/>
  <c r="C31" i="7"/>
  <c r="C30" i="7"/>
  <c r="C14" i="7"/>
  <c r="D32" i="6"/>
  <c r="D31" i="6"/>
  <c r="D30" i="6"/>
  <c r="D29" i="6"/>
  <c r="D28" i="6"/>
  <c r="D27" i="6"/>
  <c r="D26" i="6"/>
  <c r="D25" i="6"/>
  <c r="D21" i="6"/>
  <c r="D17" i="6"/>
  <c r="D16" i="6"/>
  <c r="D15" i="6"/>
  <c r="D14" i="6"/>
  <c r="D13" i="6"/>
  <c r="D12" i="6"/>
  <c r="D11" i="6"/>
  <c r="D10" i="6"/>
  <c r="D9" i="6"/>
  <c r="D8" i="6"/>
  <c r="O5" i="5"/>
  <c r="I5" i="5"/>
  <c r="C5" i="5"/>
  <c r="E17" i="4"/>
  <c r="D17" i="4"/>
  <c r="C17" i="4"/>
  <c r="C42" i="4" s="1"/>
  <c r="C18" i="2"/>
  <c r="C17" i="2"/>
  <c r="E39" i="4" l="1"/>
  <c r="S7" i="5"/>
  <c r="E20" i="4"/>
  <c r="E30" i="4"/>
  <c r="E26" i="4"/>
  <c r="T7" i="5"/>
  <c r="R7" i="5"/>
  <c r="E21" i="4"/>
  <c r="D21" i="4"/>
  <c r="N7" i="5"/>
  <c r="D30" i="4"/>
  <c r="M7" i="5"/>
  <c r="D26" i="4"/>
  <c r="L7" i="5"/>
  <c r="D20" i="4"/>
  <c r="D39" i="4"/>
  <c r="C39" i="4"/>
  <c r="C26" i="4"/>
  <c r="H7" i="5"/>
  <c r="G7" i="5"/>
  <c r="F7" i="5"/>
  <c r="C30" i="4"/>
  <c r="C20" i="4"/>
  <c r="C21" i="4"/>
  <c r="C22" i="4" s="1"/>
  <c r="B7" i="3"/>
  <c r="E4" i="3"/>
  <c r="C37" i="2"/>
  <c r="C24" i="2"/>
  <c r="C22" i="2"/>
  <c r="C21" i="2"/>
  <c r="C44" i="2"/>
  <c r="C30" i="2"/>
  <c r="C23" i="2"/>
  <c r="E22" i="4" l="1"/>
  <c r="E38" i="4" s="1"/>
  <c r="D22" i="4"/>
  <c r="I7" i="3"/>
  <c r="K7" i="3"/>
  <c r="B8" i="3"/>
  <c r="C7" i="3"/>
  <c r="J7" i="3"/>
  <c r="L7" i="3"/>
  <c r="C38" i="4"/>
  <c r="D38" i="4"/>
  <c r="C43" i="4"/>
  <c r="C47" i="4"/>
  <c r="B7" i="5" s="1"/>
  <c r="B8" i="5" s="1"/>
  <c r="D8" i="3" l="1"/>
  <c r="C8" i="3"/>
  <c r="E8" i="3"/>
  <c r="G8" i="3"/>
  <c r="B9" i="3"/>
  <c r="B9" i="5"/>
  <c r="O8" i="5"/>
  <c r="I8" i="5"/>
  <c r="C8" i="5"/>
  <c r="C25" i="2" l="1"/>
  <c r="C42" i="2" s="1"/>
  <c r="C43" i="2" s="1"/>
  <c r="D9" i="3"/>
  <c r="L9" i="3"/>
  <c r="C9" i="3"/>
  <c r="G9" i="3"/>
  <c r="B10" i="3"/>
  <c r="B10" i="5"/>
  <c r="P8" i="5"/>
  <c r="Q8" i="5"/>
  <c r="R8" i="5"/>
  <c r="O9" i="5" s="1"/>
  <c r="J8" i="5"/>
  <c r="K8" i="5"/>
  <c r="M8" i="5" s="1"/>
  <c r="L8" i="5"/>
  <c r="I9" i="5" s="1"/>
  <c r="N8" i="5"/>
  <c r="D8" i="5"/>
  <c r="F8" i="5" s="1"/>
  <c r="C9" i="5" s="1"/>
  <c r="E8" i="5"/>
  <c r="F8" i="3"/>
  <c r="H8" i="3"/>
  <c r="L8" i="3"/>
  <c r="H9" i="3" l="1"/>
  <c r="K9" i="3" s="1"/>
  <c r="S8" i="5"/>
  <c r="T8" i="5"/>
  <c r="D10" i="3"/>
  <c r="G10" i="3"/>
  <c r="H10" i="3" s="1"/>
  <c r="K10" i="3" s="1"/>
  <c r="L10" i="3"/>
  <c r="C10" i="3"/>
  <c r="B11" i="3"/>
  <c r="D9" i="5"/>
  <c r="E9" i="5"/>
  <c r="F9" i="5"/>
  <c r="C10" i="5" s="1"/>
  <c r="G9" i="5"/>
  <c r="H9" i="5"/>
  <c r="J9" i="5"/>
  <c r="K9" i="5"/>
  <c r="L9" i="5"/>
  <c r="I10" i="5" s="1"/>
  <c r="M9" i="5"/>
  <c r="N9" i="5"/>
  <c r="P9" i="5"/>
  <c r="Q9" i="5"/>
  <c r="R9" i="5"/>
  <c r="O10" i="5" s="1"/>
  <c r="S9" i="5"/>
  <c r="T9" i="5"/>
  <c r="B11" i="5"/>
  <c r="I8" i="3"/>
  <c r="J8" i="3"/>
  <c r="K8" i="3"/>
  <c r="G8" i="5"/>
  <c r="H8" i="5"/>
  <c r="D11" i="3" l="1"/>
  <c r="G11" i="3"/>
  <c r="C11" i="3"/>
  <c r="B12" i="3"/>
  <c r="J10" i="5"/>
  <c r="K10" i="5"/>
  <c r="P10" i="5"/>
  <c r="Q10" i="5"/>
  <c r="S10" i="5"/>
  <c r="E10" i="5"/>
  <c r="D10" i="5"/>
  <c r="B12" i="5"/>
  <c r="E9" i="3"/>
  <c r="L11" i="3" l="1"/>
  <c r="H11" i="3"/>
  <c r="K11" i="3" s="1"/>
  <c r="C12" i="3"/>
  <c r="G12" i="3"/>
  <c r="D12" i="3"/>
  <c r="B13" i="3"/>
  <c r="B13" i="5"/>
  <c r="F9" i="3"/>
  <c r="L10" i="5"/>
  <c r="I11" i="5" s="1"/>
  <c r="M10" i="5"/>
  <c r="N10" i="5"/>
  <c r="R10" i="5"/>
  <c r="O11" i="5" s="1"/>
  <c r="T10" i="5"/>
  <c r="F10" i="5"/>
  <c r="C11" i="5" s="1"/>
  <c r="H10" i="5"/>
  <c r="G10" i="5"/>
  <c r="D13" i="3" l="1"/>
  <c r="G13" i="3"/>
  <c r="B14" i="3"/>
  <c r="C13" i="3"/>
  <c r="B14" i="5"/>
  <c r="J9" i="3"/>
  <c r="I9" i="3"/>
  <c r="N11" i="5"/>
  <c r="L11" i="5"/>
  <c r="I12" i="5" s="1"/>
  <c r="J11" i="5"/>
  <c r="K11" i="5"/>
  <c r="M11" i="5" s="1"/>
  <c r="P11" i="5"/>
  <c r="Q11" i="5"/>
  <c r="S11" i="5" s="1"/>
  <c r="D11" i="5"/>
  <c r="F11" i="5"/>
  <c r="C12" i="5" s="1"/>
  <c r="E11" i="5"/>
  <c r="H12" i="3"/>
  <c r="K12" i="3" s="1"/>
  <c r="L12" i="3"/>
  <c r="R11" i="5" l="1"/>
  <c r="O12" i="5" s="1"/>
  <c r="T11" i="5"/>
  <c r="D14" i="3"/>
  <c r="L14" i="3" s="1"/>
  <c r="G14" i="3"/>
  <c r="H14" i="3" s="1"/>
  <c r="K14" i="3" s="1"/>
  <c r="C14" i="3"/>
  <c r="B15" i="3"/>
  <c r="B15" i="5"/>
  <c r="E10" i="3"/>
  <c r="K12" i="5"/>
  <c r="J12" i="5"/>
  <c r="Q12" i="5"/>
  <c r="P12" i="5"/>
  <c r="R12" i="5" s="1"/>
  <c r="O13" i="5" s="1"/>
  <c r="D12" i="5"/>
  <c r="E12" i="5"/>
  <c r="G12" i="5" s="1"/>
  <c r="H13" i="3"/>
  <c r="K13" i="3" s="1"/>
  <c r="L13" i="3"/>
  <c r="H11" i="5"/>
  <c r="G11" i="5"/>
  <c r="M12" i="5" l="1"/>
  <c r="N12" i="5"/>
  <c r="L12" i="5"/>
  <c r="I13" i="5" s="1"/>
  <c r="D15" i="3"/>
  <c r="L15" i="3" s="1"/>
  <c r="G15" i="3"/>
  <c r="H15" i="3" s="1"/>
  <c r="K15" i="3" s="1"/>
  <c r="C15" i="3"/>
  <c r="B16" i="3"/>
  <c r="B16" i="5"/>
  <c r="F10" i="3"/>
  <c r="P13" i="5"/>
  <c r="T13" i="5"/>
  <c r="R13" i="5"/>
  <c r="O14" i="5" s="1"/>
  <c r="Q13" i="5"/>
  <c r="T12" i="5"/>
  <c r="S12" i="5"/>
  <c r="H12" i="5"/>
  <c r="F12" i="5"/>
  <c r="C13" i="5" s="1"/>
  <c r="S13" i="5" l="1"/>
  <c r="J13" i="5"/>
  <c r="L13" i="5" s="1"/>
  <c r="I14" i="5" s="1"/>
  <c r="K13" i="5"/>
  <c r="M13" i="5" s="1"/>
  <c r="C16" i="3"/>
  <c r="D16" i="3"/>
  <c r="G16" i="3"/>
  <c r="B17" i="3"/>
  <c r="B17" i="5"/>
  <c r="J10" i="3"/>
  <c r="I10" i="3"/>
  <c r="P14" i="5"/>
  <c r="Q14" i="5"/>
  <c r="E13" i="5"/>
  <c r="D13" i="5"/>
  <c r="N13" i="5"/>
  <c r="S14" i="5" l="1"/>
  <c r="T14" i="5"/>
  <c r="R14" i="5"/>
  <c r="O15" i="5" s="1"/>
  <c r="Q15" i="5" s="1"/>
  <c r="S15" i="5" s="1"/>
  <c r="H13" i="5"/>
  <c r="F13" i="5"/>
  <c r="C14" i="5" s="1"/>
  <c r="G13" i="5"/>
  <c r="C17" i="3"/>
  <c r="D17" i="3"/>
  <c r="G17" i="3"/>
  <c r="H17" i="3"/>
  <c r="L17" i="3"/>
  <c r="B18" i="3"/>
  <c r="K17" i="3"/>
  <c r="B18" i="5"/>
  <c r="E11" i="3"/>
  <c r="F11" i="3" s="1"/>
  <c r="P15" i="5"/>
  <c r="K14" i="5"/>
  <c r="J14" i="5"/>
  <c r="M14" i="5"/>
  <c r="H16" i="3"/>
  <c r="K16" i="3" s="1"/>
  <c r="L16" i="3"/>
  <c r="E14" i="5" l="1"/>
  <c r="D14" i="5"/>
  <c r="D18" i="3"/>
  <c r="G18" i="3"/>
  <c r="C18" i="3"/>
  <c r="B19" i="3"/>
  <c r="B19" i="5"/>
  <c r="I11" i="3"/>
  <c r="J11" i="3"/>
  <c r="T15" i="5"/>
  <c r="R15" i="5"/>
  <c r="O16" i="5" s="1"/>
  <c r="H14" i="5"/>
  <c r="L14" i="5"/>
  <c r="I15" i="5" s="1"/>
  <c r="N14" i="5"/>
  <c r="G14" i="5" l="1"/>
  <c r="F14" i="5"/>
  <c r="C15" i="5" s="1"/>
  <c r="D19" i="3"/>
  <c r="G19" i="3"/>
  <c r="B20" i="3"/>
  <c r="C19" i="3"/>
  <c r="B20" i="5"/>
  <c r="E12" i="3"/>
  <c r="F12" i="3" s="1"/>
  <c r="P16" i="5"/>
  <c r="R16" i="5" s="1"/>
  <c r="O17" i="5" s="1"/>
  <c r="Q16" i="5"/>
  <c r="S16" i="5"/>
  <c r="T16" i="5"/>
  <c r="E15" i="5"/>
  <c r="D15" i="5"/>
  <c r="F15" i="5"/>
  <c r="C16" i="5" s="1"/>
  <c r="K15" i="5"/>
  <c r="J15" i="5"/>
  <c r="M15" i="5" s="1"/>
  <c r="L15" i="5"/>
  <c r="I16" i="5" s="1"/>
  <c r="N15" i="5"/>
  <c r="H18" i="3"/>
  <c r="K18" i="3" s="1"/>
  <c r="L18" i="3"/>
  <c r="D20" i="3" l="1"/>
  <c r="H20" i="3" s="1"/>
  <c r="K20" i="3" s="1"/>
  <c r="G20" i="3"/>
  <c r="B21" i="3"/>
  <c r="C20" i="3"/>
  <c r="L20" i="3"/>
  <c r="B21" i="5"/>
  <c r="P17" i="5"/>
  <c r="Q17" i="5"/>
  <c r="D16" i="5"/>
  <c r="E16" i="5"/>
  <c r="J16" i="5"/>
  <c r="N16" i="5"/>
  <c r="L16" i="5"/>
  <c r="I17" i="5" s="1"/>
  <c r="K16" i="5"/>
  <c r="H19" i="3"/>
  <c r="K19" i="3" s="1"/>
  <c r="L19" i="3"/>
  <c r="I12" i="3"/>
  <c r="J12" i="3"/>
  <c r="G15" i="5"/>
  <c r="H15" i="5"/>
  <c r="S17" i="5" l="1"/>
  <c r="M16" i="5"/>
  <c r="D21" i="3"/>
  <c r="L21" i="3" s="1"/>
  <c r="G21" i="3"/>
  <c r="B22" i="3"/>
  <c r="C21" i="3"/>
  <c r="H21" i="3"/>
  <c r="K21" i="3" s="1"/>
  <c r="B22" i="5"/>
  <c r="K17" i="5"/>
  <c r="J17" i="5"/>
  <c r="E13" i="3"/>
  <c r="F13" i="3" s="1"/>
  <c r="T17" i="5"/>
  <c r="R17" i="5"/>
  <c r="O18" i="5" s="1"/>
  <c r="G16" i="5"/>
  <c r="F16" i="5"/>
  <c r="C17" i="5" s="1"/>
  <c r="H16" i="5"/>
  <c r="D22" i="3" l="1"/>
  <c r="G22" i="3"/>
  <c r="B23" i="3"/>
  <c r="C22" i="3"/>
  <c r="B23" i="5"/>
  <c r="P18" i="5"/>
  <c r="Q18" i="5"/>
  <c r="R18" i="5"/>
  <c r="O19" i="5" s="1"/>
  <c r="E17" i="5"/>
  <c r="D17" i="5"/>
  <c r="M17" i="5"/>
  <c r="N17" i="5"/>
  <c r="L17" i="5"/>
  <c r="I18" i="5" s="1"/>
  <c r="I13" i="3"/>
  <c r="J13" i="3"/>
  <c r="D23" i="3" l="1"/>
  <c r="C23" i="3"/>
  <c r="G23" i="3"/>
  <c r="B24" i="3"/>
  <c r="B24" i="5"/>
  <c r="Q19" i="5"/>
  <c r="P19" i="5"/>
  <c r="J18" i="5"/>
  <c r="N18" i="5" s="1"/>
  <c r="L18" i="5"/>
  <c r="I19" i="5" s="1"/>
  <c r="K18" i="5"/>
  <c r="M18" i="5" s="1"/>
  <c r="E14" i="3"/>
  <c r="F14" i="3" s="1"/>
  <c r="L22" i="3"/>
  <c r="H22" i="3"/>
  <c r="K22" i="3" s="1"/>
  <c r="S18" i="5"/>
  <c r="T18" i="5"/>
  <c r="F17" i="5"/>
  <c r="C18" i="5" s="1"/>
  <c r="H17" i="5"/>
  <c r="G17" i="5"/>
  <c r="C24" i="3" l="1"/>
  <c r="G24" i="3"/>
  <c r="B25" i="3"/>
  <c r="D24" i="3"/>
  <c r="L24" i="3" s="1"/>
  <c r="B25" i="5"/>
  <c r="J19" i="5"/>
  <c r="K19" i="5"/>
  <c r="E18" i="5"/>
  <c r="D18" i="5"/>
  <c r="H18" i="5"/>
  <c r="L23" i="3"/>
  <c r="H23" i="3"/>
  <c r="K23" i="3" s="1"/>
  <c r="T19" i="5"/>
  <c r="S19" i="5"/>
  <c r="R19" i="5"/>
  <c r="O20" i="5" s="1"/>
  <c r="I14" i="3"/>
  <c r="J14" i="3"/>
  <c r="H24" i="3" l="1"/>
  <c r="K24" i="3" s="1"/>
  <c r="D25" i="3"/>
  <c r="L25" i="3" s="1"/>
  <c r="C25" i="3"/>
  <c r="G25" i="3"/>
  <c r="H25" i="3" s="1"/>
  <c r="K25" i="3" s="1"/>
  <c r="B26" i="3"/>
  <c r="B26" i="5"/>
  <c r="P20" i="5"/>
  <c r="Q20" i="5"/>
  <c r="R20" i="5"/>
  <c r="O21" i="5" s="1"/>
  <c r="E15" i="3"/>
  <c r="F15" i="3" s="1"/>
  <c r="L19" i="5"/>
  <c r="I20" i="5" s="1"/>
  <c r="N19" i="5"/>
  <c r="M19" i="5"/>
  <c r="G18" i="5"/>
  <c r="F18" i="5"/>
  <c r="C19" i="5" s="1"/>
  <c r="S20" i="5" l="1"/>
  <c r="T20" i="5"/>
  <c r="G26" i="3"/>
  <c r="C26" i="3"/>
  <c r="D26" i="3"/>
  <c r="B27" i="3"/>
  <c r="B27" i="5"/>
  <c r="T21" i="5"/>
  <c r="R21" i="5"/>
  <c r="O22" i="5" s="1"/>
  <c r="Q21" i="5"/>
  <c r="S21" i="5" s="1"/>
  <c r="P21" i="5"/>
  <c r="J20" i="5"/>
  <c r="K20" i="5"/>
  <c r="L20" i="5"/>
  <c r="I21" i="5" s="1"/>
  <c r="M20" i="5"/>
  <c r="N20" i="5"/>
  <c r="D19" i="5"/>
  <c r="E19" i="5"/>
  <c r="G19" i="5"/>
  <c r="I15" i="3"/>
  <c r="J15" i="3"/>
  <c r="D27" i="3" l="1"/>
  <c r="G27" i="3"/>
  <c r="B28" i="3"/>
  <c r="C27" i="3"/>
  <c r="H27" i="3"/>
  <c r="K27" i="3" s="1"/>
  <c r="L27" i="3"/>
  <c r="B28" i="5"/>
  <c r="Q22" i="5"/>
  <c r="P22" i="5"/>
  <c r="K21" i="5"/>
  <c r="J21" i="5"/>
  <c r="E16" i="3"/>
  <c r="F16" i="3" s="1"/>
  <c r="L26" i="3"/>
  <c r="H26" i="3"/>
  <c r="K26" i="3" s="1"/>
  <c r="F19" i="5"/>
  <c r="C20" i="5" s="1"/>
  <c r="H19" i="5"/>
  <c r="C28" i="3" l="1"/>
  <c r="B29" i="3"/>
  <c r="D28" i="3"/>
  <c r="G28" i="3"/>
  <c r="B29" i="5"/>
  <c r="D20" i="5"/>
  <c r="E20" i="5"/>
  <c r="T22" i="5"/>
  <c r="R22" i="5"/>
  <c r="O23" i="5" s="1"/>
  <c r="S22" i="5"/>
  <c r="N21" i="5"/>
  <c r="M21" i="5"/>
  <c r="L21" i="5"/>
  <c r="I22" i="5" s="1"/>
  <c r="I16" i="3"/>
  <c r="J16" i="3"/>
  <c r="C29" i="3" l="1"/>
  <c r="G29" i="3"/>
  <c r="B30" i="3"/>
  <c r="D29" i="3"/>
  <c r="L29" i="3"/>
  <c r="B30" i="5"/>
  <c r="P23" i="5"/>
  <c r="Q23" i="5"/>
  <c r="J22" i="5"/>
  <c r="K22" i="5"/>
  <c r="E17" i="3"/>
  <c r="F17" i="3" s="1"/>
  <c r="L28" i="3"/>
  <c r="H28" i="3"/>
  <c r="K28" i="3" s="1"/>
  <c r="F20" i="5"/>
  <c r="C21" i="5" s="1"/>
  <c r="G20" i="5"/>
  <c r="H20" i="5"/>
  <c r="S23" i="5" l="1"/>
  <c r="R23" i="5"/>
  <c r="O24" i="5" s="1"/>
  <c r="T23" i="5"/>
  <c r="M22" i="5"/>
  <c r="N22" i="5"/>
  <c r="L22" i="5"/>
  <c r="I23" i="5" s="1"/>
  <c r="C30" i="3"/>
  <c r="D30" i="3"/>
  <c r="G30" i="3"/>
  <c r="B31" i="3"/>
  <c r="B31" i="5"/>
  <c r="D21" i="5"/>
  <c r="E21" i="5"/>
  <c r="F21" i="5"/>
  <c r="C22" i="5" s="1"/>
  <c r="H29" i="3"/>
  <c r="K29" i="3" s="1"/>
  <c r="I17" i="3"/>
  <c r="J17" i="3"/>
  <c r="Q24" i="5" l="1"/>
  <c r="P24" i="5"/>
  <c r="K23" i="5"/>
  <c r="J23" i="5"/>
  <c r="D31" i="3"/>
  <c r="L31" i="3"/>
  <c r="C31" i="3"/>
  <c r="G31" i="3"/>
  <c r="H31" i="3" s="1"/>
  <c r="K31" i="3" s="1"/>
  <c r="B32" i="3"/>
  <c r="B32" i="5"/>
  <c r="E22" i="5"/>
  <c r="D22" i="5"/>
  <c r="E18" i="3"/>
  <c r="F18" i="3" s="1"/>
  <c r="H30" i="3"/>
  <c r="K30" i="3" s="1"/>
  <c r="L30" i="3"/>
  <c r="G21" i="5"/>
  <c r="H21" i="5"/>
  <c r="T24" i="5" l="1"/>
  <c r="S24" i="5"/>
  <c r="R24" i="5"/>
  <c r="O25" i="5" s="1"/>
  <c r="L23" i="5"/>
  <c r="I24" i="5" s="1"/>
  <c r="N23" i="5"/>
  <c r="M23" i="5"/>
  <c r="D32" i="3"/>
  <c r="G32" i="3"/>
  <c r="L32" i="3"/>
  <c r="C32" i="3"/>
  <c r="H32" i="3"/>
  <c r="K32" i="3"/>
  <c r="B33" i="3"/>
  <c r="B33" i="5"/>
  <c r="P25" i="5"/>
  <c r="G22" i="5"/>
  <c r="H22" i="5"/>
  <c r="F22" i="5"/>
  <c r="C23" i="5" s="1"/>
  <c r="I18" i="3"/>
  <c r="J18" i="3"/>
  <c r="Q25" i="5" l="1"/>
  <c r="R25" i="5"/>
  <c r="O26" i="5" s="1"/>
  <c r="S25" i="5"/>
  <c r="T25" i="5"/>
  <c r="J24" i="5"/>
  <c r="K24" i="5"/>
  <c r="L24" i="5"/>
  <c r="I25" i="5" s="1"/>
  <c r="M24" i="5"/>
  <c r="N24" i="5"/>
  <c r="D33" i="3"/>
  <c r="L33" i="3" s="1"/>
  <c r="G33" i="3"/>
  <c r="C33" i="3"/>
  <c r="H33" i="3"/>
  <c r="K33" i="3"/>
  <c r="B34" i="3"/>
  <c r="B34" i="5"/>
  <c r="D23" i="5"/>
  <c r="E23" i="5"/>
  <c r="F23" i="5"/>
  <c r="C24" i="5" s="1"/>
  <c r="G23" i="5"/>
  <c r="H23" i="5"/>
  <c r="E19" i="3"/>
  <c r="F19" i="3" s="1"/>
  <c r="P26" i="5" l="1"/>
  <c r="Q26" i="5"/>
  <c r="S26" i="5" s="1"/>
  <c r="K25" i="5"/>
  <c r="J25" i="5"/>
  <c r="C34" i="3"/>
  <c r="D34" i="3"/>
  <c r="G34" i="3"/>
  <c r="B35" i="3"/>
  <c r="B35" i="5"/>
  <c r="E24" i="5"/>
  <c r="D24" i="5"/>
  <c r="I19" i="3"/>
  <c r="J19" i="3"/>
  <c r="G24" i="5" l="1"/>
  <c r="R26" i="5"/>
  <c r="O27" i="5" s="1"/>
  <c r="T26" i="5"/>
  <c r="L25" i="5"/>
  <c r="I26" i="5" s="1"/>
  <c r="N25" i="5"/>
  <c r="M25" i="5"/>
  <c r="H24" i="5"/>
  <c r="F24" i="5"/>
  <c r="C25" i="5" s="1"/>
  <c r="D35" i="3"/>
  <c r="C35" i="3"/>
  <c r="G35" i="3"/>
  <c r="B36" i="3"/>
  <c r="B36" i="5"/>
  <c r="E20" i="3"/>
  <c r="F20" i="3" s="1"/>
  <c r="H34" i="3"/>
  <c r="K34" i="3" s="1"/>
  <c r="L34" i="3"/>
  <c r="Q27" i="5" l="1"/>
  <c r="S27" i="5" s="1"/>
  <c r="P27" i="5"/>
  <c r="J26" i="5"/>
  <c r="K26" i="5"/>
  <c r="E25" i="5"/>
  <c r="G25" i="5" s="1"/>
  <c r="D25" i="5"/>
  <c r="C36" i="3"/>
  <c r="G36" i="3"/>
  <c r="H36" i="3" s="1"/>
  <c r="K36" i="3" s="1"/>
  <c r="D36" i="3"/>
  <c r="L36" i="3" s="1"/>
  <c r="B37" i="3"/>
  <c r="B37" i="5"/>
  <c r="L35" i="3"/>
  <c r="H35" i="3"/>
  <c r="K35" i="3" s="1"/>
  <c r="H25" i="5"/>
  <c r="F25" i="5"/>
  <c r="C26" i="5" s="1"/>
  <c r="I20" i="3"/>
  <c r="J20" i="3"/>
  <c r="R27" i="5" l="1"/>
  <c r="O28" i="5" s="1"/>
  <c r="T27" i="5"/>
  <c r="M26" i="5"/>
  <c r="L26" i="5"/>
  <c r="I27" i="5" s="1"/>
  <c r="N26" i="5"/>
  <c r="D37" i="3"/>
  <c r="L37" i="3"/>
  <c r="C37" i="3"/>
  <c r="G37" i="3"/>
  <c r="B38" i="3"/>
  <c r="B38" i="5"/>
  <c r="E26" i="5"/>
  <c r="D26" i="5"/>
  <c r="H26" i="5" s="1"/>
  <c r="F26" i="5"/>
  <c r="C27" i="5" s="1"/>
  <c r="G26" i="5"/>
  <c r="E21" i="3"/>
  <c r="F21" i="3" s="1"/>
  <c r="P28" i="5" l="1"/>
  <c r="Q28" i="5"/>
  <c r="K27" i="5"/>
  <c r="M27" i="5" s="1"/>
  <c r="J27" i="5"/>
  <c r="L27" i="5"/>
  <c r="I28" i="5" s="1"/>
  <c r="N27" i="5"/>
  <c r="C38" i="3"/>
  <c r="G38" i="3"/>
  <c r="D38" i="3"/>
  <c r="B39" i="3"/>
  <c r="B39" i="5"/>
  <c r="D27" i="5"/>
  <c r="E27" i="5"/>
  <c r="G27" i="5" s="1"/>
  <c r="H37" i="3"/>
  <c r="K37" i="3" s="1"/>
  <c r="I21" i="3"/>
  <c r="J21" i="3"/>
  <c r="T28" i="5" l="1"/>
  <c r="S28" i="5"/>
  <c r="R28" i="5"/>
  <c r="O29" i="5" s="1"/>
  <c r="K28" i="5"/>
  <c r="J28" i="5"/>
  <c r="L28" i="5"/>
  <c r="I29" i="5" s="1"/>
  <c r="D39" i="3"/>
  <c r="B40" i="3"/>
  <c r="C39" i="3"/>
  <c r="G39" i="3"/>
  <c r="B40" i="5"/>
  <c r="E22" i="3"/>
  <c r="F22" i="3" s="1"/>
  <c r="L38" i="3"/>
  <c r="H38" i="3"/>
  <c r="K38" i="3" s="1"/>
  <c r="H27" i="5"/>
  <c r="F27" i="5"/>
  <c r="C28" i="5" s="1"/>
  <c r="Q29" i="5" l="1"/>
  <c r="S29" i="5" s="1"/>
  <c r="P29" i="5"/>
  <c r="R29" i="5"/>
  <c r="O30" i="5" s="1"/>
  <c r="T29" i="5"/>
  <c r="N28" i="5"/>
  <c r="M28" i="5"/>
  <c r="J29" i="5"/>
  <c r="K29" i="5"/>
  <c r="G40" i="3"/>
  <c r="B41" i="3"/>
  <c r="C40" i="3"/>
  <c r="D40" i="3"/>
  <c r="L40" i="3"/>
  <c r="B41" i="5"/>
  <c r="D28" i="5"/>
  <c r="E28" i="5"/>
  <c r="H28" i="5"/>
  <c r="H39" i="3"/>
  <c r="K39" i="3" s="1"/>
  <c r="L39" i="3"/>
  <c r="I22" i="3"/>
  <c r="J22" i="3"/>
  <c r="H40" i="3" l="1"/>
  <c r="K40" i="3" s="1"/>
  <c r="Q30" i="5"/>
  <c r="S30" i="5" s="1"/>
  <c r="P30" i="5"/>
  <c r="R30" i="5" s="1"/>
  <c r="O31" i="5" s="1"/>
  <c r="L29" i="5"/>
  <c r="I30" i="5" s="1"/>
  <c r="M29" i="5"/>
  <c r="N29" i="5"/>
  <c r="D41" i="3"/>
  <c r="B42" i="3"/>
  <c r="C41" i="3"/>
  <c r="G41" i="3"/>
  <c r="L41" i="3"/>
  <c r="B42" i="5"/>
  <c r="E23" i="3"/>
  <c r="F23" i="3" s="1"/>
  <c r="F28" i="5"/>
  <c r="C29" i="5" s="1"/>
  <c r="G28" i="5"/>
  <c r="T30" i="5"/>
  <c r="J30" i="5" l="1"/>
  <c r="K30" i="5"/>
  <c r="H41" i="3"/>
  <c r="K41" i="3" s="1"/>
  <c r="N30" i="5"/>
  <c r="M30" i="5"/>
  <c r="L30" i="5"/>
  <c r="I31" i="5" s="1"/>
  <c r="D42" i="3"/>
  <c r="C42" i="3"/>
  <c r="G42" i="3"/>
  <c r="B43" i="3"/>
  <c r="B43" i="5"/>
  <c r="E29" i="5"/>
  <c r="D29" i="5"/>
  <c r="P31" i="5"/>
  <c r="T31" i="5" s="1"/>
  <c r="Q31" i="5"/>
  <c r="S31" i="5" s="1"/>
  <c r="R31" i="5"/>
  <c r="O32" i="5" s="1"/>
  <c r="I23" i="3"/>
  <c r="J23" i="3"/>
  <c r="J31" i="5" l="1"/>
  <c r="K31" i="5"/>
  <c r="C43" i="3"/>
  <c r="G43" i="3"/>
  <c r="D43" i="3"/>
  <c r="B44" i="3"/>
  <c r="B44" i="5"/>
  <c r="Q32" i="5"/>
  <c r="P32" i="5"/>
  <c r="E24" i="3"/>
  <c r="F24" i="3" s="1"/>
  <c r="L42" i="3"/>
  <c r="H42" i="3"/>
  <c r="K42" i="3" s="1"/>
  <c r="F29" i="5"/>
  <c r="C30" i="5" s="1"/>
  <c r="G29" i="5"/>
  <c r="H29" i="5"/>
  <c r="L31" i="5" l="1"/>
  <c r="I32" i="5" s="1"/>
  <c r="M31" i="5"/>
  <c r="N31" i="5"/>
  <c r="D44" i="3"/>
  <c r="G44" i="3"/>
  <c r="L44" i="3"/>
  <c r="C44" i="3"/>
  <c r="B45" i="3"/>
  <c r="B45" i="5"/>
  <c r="J32" i="5"/>
  <c r="K32" i="5"/>
  <c r="M32" i="5" s="1"/>
  <c r="D30" i="5"/>
  <c r="E30" i="5"/>
  <c r="F30" i="5"/>
  <c r="C31" i="5" s="1"/>
  <c r="H43" i="3"/>
  <c r="K43" i="3" s="1"/>
  <c r="L43" i="3"/>
  <c r="S32" i="5"/>
  <c r="T32" i="5"/>
  <c r="R32" i="5"/>
  <c r="O33" i="5" s="1"/>
  <c r="I24" i="3"/>
  <c r="J24" i="3"/>
  <c r="N32" i="5" l="1"/>
  <c r="L32" i="5"/>
  <c r="I33" i="5" s="1"/>
  <c r="K33" i="5" s="1"/>
  <c r="G30" i="5"/>
  <c r="H30" i="5"/>
  <c r="C45" i="3"/>
  <c r="G45" i="3"/>
  <c r="B46" i="3"/>
  <c r="D45" i="3"/>
  <c r="L45" i="3"/>
  <c r="B46" i="5"/>
  <c r="J33" i="5"/>
  <c r="E31" i="5"/>
  <c r="D31" i="5"/>
  <c r="P33" i="5"/>
  <c r="Q33" i="5"/>
  <c r="E25" i="3"/>
  <c r="F25" i="3" s="1"/>
  <c r="H44" i="3"/>
  <c r="K44" i="3" s="1"/>
  <c r="C46" i="3" l="1"/>
  <c r="B47" i="3"/>
  <c r="D46" i="3"/>
  <c r="G46" i="3"/>
  <c r="B47" i="5"/>
  <c r="H45" i="3"/>
  <c r="K45" i="3" s="1"/>
  <c r="M33" i="5"/>
  <c r="L33" i="5"/>
  <c r="I34" i="5" s="1"/>
  <c r="N33" i="5"/>
  <c r="H31" i="5"/>
  <c r="G31" i="5"/>
  <c r="F31" i="5"/>
  <c r="C32" i="5" s="1"/>
  <c r="R33" i="5"/>
  <c r="O34" i="5" s="1"/>
  <c r="S33" i="5"/>
  <c r="T33" i="5"/>
  <c r="I25" i="3"/>
  <c r="J25" i="3"/>
  <c r="C47" i="3" l="1"/>
  <c r="G47" i="3"/>
  <c r="B48" i="3"/>
  <c r="D47" i="3"/>
  <c r="B48" i="5"/>
  <c r="J34" i="5"/>
  <c r="L34" i="5" s="1"/>
  <c r="I35" i="5" s="1"/>
  <c r="K34" i="5"/>
  <c r="D32" i="5"/>
  <c r="E32" i="5"/>
  <c r="F32" i="5"/>
  <c r="C33" i="5" s="1"/>
  <c r="P34" i="5"/>
  <c r="R34" i="5" s="1"/>
  <c r="O35" i="5" s="1"/>
  <c r="Q34" i="5"/>
  <c r="S34" i="5" s="1"/>
  <c r="T34" i="5"/>
  <c r="E26" i="3"/>
  <c r="F26" i="3" s="1"/>
  <c r="H46" i="3"/>
  <c r="K46" i="3" s="1"/>
  <c r="L46" i="3"/>
  <c r="H32" i="5" l="1"/>
  <c r="G32" i="5"/>
  <c r="C48" i="3"/>
  <c r="G48" i="3"/>
  <c r="D48" i="3"/>
  <c r="B49" i="3"/>
  <c r="B49" i="5"/>
  <c r="K35" i="5"/>
  <c r="J35" i="5"/>
  <c r="H33" i="5"/>
  <c r="G33" i="5"/>
  <c r="F33" i="5"/>
  <c r="C34" i="5" s="1"/>
  <c r="E33" i="5"/>
  <c r="D33" i="5"/>
  <c r="Q35" i="5"/>
  <c r="P35" i="5"/>
  <c r="H47" i="3"/>
  <c r="K47" i="3" s="1"/>
  <c r="L47" i="3"/>
  <c r="M34" i="5"/>
  <c r="N34" i="5"/>
  <c r="I26" i="3"/>
  <c r="J26" i="3"/>
  <c r="D49" i="3" l="1"/>
  <c r="L49" i="3" s="1"/>
  <c r="G49" i="3"/>
  <c r="H49" i="3" s="1"/>
  <c r="K49" i="3" s="1"/>
  <c r="C49" i="3"/>
  <c r="B50" i="3"/>
  <c r="B50" i="5"/>
  <c r="E34" i="5"/>
  <c r="D34" i="5"/>
  <c r="E27" i="3"/>
  <c r="F27" i="3" s="1"/>
  <c r="H48" i="3"/>
  <c r="K48" i="3" s="1"/>
  <c r="L48" i="3"/>
  <c r="N35" i="5"/>
  <c r="M35" i="5"/>
  <c r="L35" i="5"/>
  <c r="I36" i="5" s="1"/>
  <c r="S35" i="5"/>
  <c r="T35" i="5"/>
  <c r="R35" i="5"/>
  <c r="O36" i="5" s="1"/>
  <c r="F34" i="5" l="1"/>
  <c r="C35" i="5" s="1"/>
  <c r="H34" i="5"/>
  <c r="G34" i="5"/>
  <c r="C50" i="3"/>
  <c r="G50" i="3"/>
  <c r="H50" i="3" s="1"/>
  <c r="K50" i="3" s="1"/>
  <c r="B51" i="3"/>
  <c r="D50" i="3"/>
  <c r="B51" i="5"/>
  <c r="E35" i="5"/>
  <c r="D35" i="5"/>
  <c r="J36" i="5"/>
  <c r="K36" i="5"/>
  <c r="M36" i="5" s="1"/>
  <c r="L36" i="5"/>
  <c r="I37" i="5" s="1"/>
  <c r="N36" i="5"/>
  <c r="P36" i="5"/>
  <c r="Q36" i="5"/>
  <c r="I27" i="3"/>
  <c r="J27" i="3"/>
  <c r="D51" i="3" l="1"/>
  <c r="L51" i="3" s="1"/>
  <c r="C51" i="3"/>
  <c r="G51" i="3"/>
  <c r="B52" i="3"/>
  <c r="B52" i="5"/>
  <c r="K37" i="5"/>
  <c r="J37" i="5"/>
  <c r="E28" i="3"/>
  <c r="F28" i="3" s="1"/>
  <c r="L50" i="3"/>
  <c r="H35" i="5"/>
  <c r="G35" i="5"/>
  <c r="F35" i="5"/>
  <c r="C36" i="5" s="1"/>
  <c r="R36" i="5"/>
  <c r="O37" i="5" s="1"/>
  <c r="S36" i="5"/>
  <c r="T36" i="5"/>
  <c r="H51" i="3" l="1"/>
  <c r="K51" i="3" s="1"/>
  <c r="C52" i="3"/>
  <c r="D52" i="3"/>
  <c r="G52" i="3"/>
  <c r="B53" i="3"/>
  <c r="L52" i="3"/>
  <c r="B53" i="5"/>
  <c r="D36" i="5"/>
  <c r="E36" i="5"/>
  <c r="F36" i="5"/>
  <c r="C37" i="5" s="1"/>
  <c r="P37" i="5"/>
  <c r="T37" i="5" s="1"/>
  <c r="Q37" i="5"/>
  <c r="S37" i="5" s="1"/>
  <c r="R37" i="5"/>
  <c r="O38" i="5" s="1"/>
  <c r="N37" i="5"/>
  <c r="M37" i="5"/>
  <c r="L37" i="5"/>
  <c r="I38" i="5" s="1"/>
  <c r="I28" i="3"/>
  <c r="J28" i="3"/>
  <c r="H52" i="3" l="1"/>
  <c r="K52" i="3" s="1"/>
  <c r="D53" i="3"/>
  <c r="G53" i="3"/>
  <c r="B54" i="3"/>
  <c r="C53" i="3"/>
  <c r="B54" i="5"/>
  <c r="E37" i="5"/>
  <c r="D37" i="5"/>
  <c r="Q38" i="5"/>
  <c r="P38" i="5"/>
  <c r="J38" i="5"/>
  <c r="K38" i="5"/>
  <c r="L38" i="5"/>
  <c r="I39" i="5" s="1"/>
  <c r="M38" i="5"/>
  <c r="N38" i="5"/>
  <c r="E29" i="3"/>
  <c r="F29" i="3" s="1"/>
  <c r="G36" i="5"/>
  <c r="H36" i="5"/>
  <c r="D54" i="3" l="1"/>
  <c r="G54" i="3"/>
  <c r="H54" i="3" s="1"/>
  <c r="K54" i="3" s="1"/>
  <c r="B55" i="3"/>
  <c r="C54" i="3"/>
  <c r="L54" i="3"/>
  <c r="B55" i="5"/>
  <c r="K39" i="5"/>
  <c r="J39" i="5"/>
  <c r="H53" i="3"/>
  <c r="K53" i="3" s="1"/>
  <c r="L53" i="3"/>
  <c r="H37" i="5"/>
  <c r="G37" i="5"/>
  <c r="F37" i="5"/>
  <c r="C38" i="5" s="1"/>
  <c r="T38" i="5"/>
  <c r="S38" i="5"/>
  <c r="R38" i="5"/>
  <c r="O39" i="5" s="1"/>
  <c r="I29" i="3"/>
  <c r="J29" i="3"/>
  <c r="D55" i="3" l="1"/>
  <c r="C55" i="3"/>
  <c r="G55" i="3"/>
  <c r="B56" i="3"/>
  <c r="B56" i="5"/>
  <c r="D38" i="5"/>
  <c r="E38" i="5"/>
  <c r="G38" i="5" s="1"/>
  <c r="F38" i="5"/>
  <c r="C39" i="5" s="1"/>
  <c r="H38" i="5"/>
  <c r="P39" i="5"/>
  <c r="Q39" i="5"/>
  <c r="R39" i="5"/>
  <c r="O40" i="5" s="1"/>
  <c r="E30" i="3"/>
  <c r="F30" i="3" s="1"/>
  <c r="N39" i="5"/>
  <c r="M39" i="5"/>
  <c r="L39" i="5"/>
  <c r="I40" i="5" s="1"/>
  <c r="S39" i="5" l="1"/>
  <c r="T39" i="5"/>
  <c r="C56" i="3"/>
  <c r="D56" i="3"/>
  <c r="G56" i="3"/>
  <c r="B57" i="3"/>
  <c r="B57" i="5"/>
  <c r="E39" i="5"/>
  <c r="D39" i="5"/>
  <c r="Q40" i="5"/>
  <c r="P40" i="5"/>
  <c r="J40" i="5"/>
  <c r="L40" i="5" s="1"/>
  <c r="I41" i="5" s="1"/>
  <c r="K40" i="5"/>
  <c r="H55" i="3"/>
  <c r="K55" i="3" s="1"/>
  <c r="L55" i="3"/>
  <c r="I30" i="3"/>
  <c r="J30" i="3"/>
  <c r="D57" i="3" l="1"/>
  <c r="L57" i="3" s="1"/>
  <c r="B58" i="3"/>
  <c r="C57" i="3"/>
  <c r="G57" i="3"/>
  <c r="H57" i="3" s="1"/>
  <c r="K57" i="3" s="1"/>
  <c r="B58" i="5"/>
  <c r="K41" i="5"/>
  <c r="J41" i="5"/>
  <c r="E31" i="3"/>
  <c r="F31" i="3" s="1"/>
  <c r="H56" i="3"/>
  <c r="K56" i="3" s="1"/>
  <c r="L56" i="3"/>
  <c r="H39" i="5"/>
  <c r="G39" i="5"/>
  <c r="F39" i="5"/>
  <c r="C40" i="5" s="1"/>
  <c r="T40" i="5"/>
  <c r="S40" i="5"/>
  <c r="R40" i="5"/>
  <c r="O41" i="5" s="1"/>
  <c r="M40" i="5"/>
  <c r="N40" i="5"/>
  <c r="D58" i="3" l="1"/>
  <c r="G58" i="3"/>
  <c r="L58" i="3"/>
  <c r="C58" i="3"/>
  <c r="H58" i="3"/>
  <c r="K58" i="3"/>
  <c r="B59" i="3"/>
  <c r="B59" i="5"/>
  <c r="D40" i="5"/>
  <c r="E40" i="5"/>
  <c r="F40" i="5"/>
  <c r="C41" i="5" s="1"/>
  <c r="G40" i="5"/>
  <c r="H40" i="5"/>
  <c r="P41" i="5"/>
  <c r="Q41" i="5"/>
  <c r="S41" i="5" s="1"/>
  <c r="N41" i="5"/>
  <c r="M41" i="5"/>
  <c r="L41" i="5"/>
  <c r="I42" i="5" s="1"/>
  <c r="I31" i="3"/>
  <c r="J31" i="3"/>
  <c r="R41" i="5" l="1"/>
  <c r="O42" i="5" s="1"/>
  <c r="T41" i="5"/>
  <c r="C59" i="3"/>
  <c r="G59" i="3"/>
  <c r="B60" i="3"/>
  <c r="D59" i="3"/>
  <c r="B60" i="5"/>
  <c r="H41" i="5"/>
  <c r="F41" i="5"/>
  <c r="C42" i="5" s="1"/>
  <c r="E41" i="5"/>
  <c r="G41" i="5" s="1"/>
  <c r="D41" i="5"/>
  <c r="J42" i="5"/>
  <c r="K42" i="5"/>
  <c r="L42" i="5"/>
  <c r="I43" i="5" s="1"/>
  <c r="M42" i="5"/>
  <c r="N42" i="5"/>
  <c r="E32" i="3"/>
  <c r="F32" i="3" s="1"/>
  <c r="Q42" i="5" l="1"/>
  <c r="S42" i="5" s="1"/>
  <c r="P42" i="5"/>
  <c r="D60" i="3"/>
  <c r="G60" i="3"/>
  <c r="L60" i="3"/>
  <c r="C60" i="3"/>
  <c r="B61" i="3"/>
  <c r="B61" i="5"/>
  <c r="E42" i="5"/>
  <c r="D42" i="5"/>
  <c r="K43" i="5"/>
  <c r="J43" i="5"/>
  <c r="L59" i="3"/>
  <c r="H59" i="3"/>
  <c r="K59" i="3" s="1"/>
  <c r="T42" i="5"/>
  <c r="R42" i="5"/>
  <c r="O43" i="5" s="1"/>
  <c r="I32" i="3"/>
  <c r="J32" i="3"/>
  <c r="H60" i="3" l="1"/>
  <c r="K60" i="3" s="1"/>
  <c r="D61" i="3"/>
  <c r="L61" i="3" s="1"/>
  <c r="C61" i="3"/>
  <c r="G61" i="3"/>
  <c r="B62" i="3"/>
  <c r="B62" i="5"/>
  <c r="P43" i="5"/>
  <c r="Q43" i="5"/>
  <c r="E33" i="3"/>
  <c r="F33" i="3" s="1"/>
  <c r="H42" i="5"/>
  <c r="G42" i="5"/>
  <c r="F42" i="5"/>
  <c r="C43" i="5" s="1"/>
  <c r="N43" i="5"/>
  <c r="M43" i="5"/>
  <c r="L43" i="5"/>
  <c r="I44" i="5" s="1"/>
  <c r="T43" i="5" l="1"/>
  <c r="R43" i="5"/>
  <c r="O44" i="5" s="1"/>
  <c r="S43" i="5"/>
  <c r="C62" i="3"/>
  <c r="D62" i="3"/>
  <c r="G62" i="3"/>
  <c r="B63" i="3"/>
  <c r="B63" i="5"/>
  <c r="D43" i="5"/>
  <c r="F43" i="5" s="1"/>
  <c r="C44" i="5" s="1"/>
  <c r="E43" i="5"/>
  <c r="G43" i="5" s="1"/>
  <c r="H43" i="5"/>
  <c r="J44" i="5"/>
  <c r="K44" i="5"/>
  <c r="L44" i="5"/>
  <c r="I45" i="5" s="1"/>
  <c r="H61" i="3"/>
  <c r="K61" i="3" s="1"/>
  <c r="I33" i="3"/>
  <c r="J33" i="3"/>
  <c r="Q44" i="5" l="1"/>
  <c r="P44" i="5"/>
  <c r="D63" i="3"/>
  <c r="L63" i="3"/>
  <c r="C63" i="3"/>
  <c r="G63" i="3"/>
  <c r="H63" i="3" s="1"/>
  <c r="K63" i="3" s="1"/>
  <c r="B64" i="3"/>
  <c r="B64" i="5"/>
  <c r="E44" i="5"/>
  <c r="D44" i="5"/>
  <c r="K45" i="5"/>
  <c r="J45" i="5"/>
  <c r="E34" i="3"/>
  <c r="F34" i="3" s="1"/>
  <c r="H62" i="3"/>
  <c r="K62" i="3" s="1"/>
  <c r="L62" i="3"/>
  <c r="T44" i="5"/>
  <c r="S44" i="5"/>
  <c r="R44" i="5"/>
  <c r="O45" i="5" s="1"/>
  <c r="M44" i="5"/>
  <c r="N44" i="5"/>
  <c r="F44" i="5" l="1"/>
  <c r="C45" i="5" s="1"/>
  <c r="H44" i="5"/>
  <c r="G44" i="5"/>
  <c r="C64" i="3"/>
  <c r="G64" i="3"/>
  <c r="D64" i="3"/>
  <c r="B65" i="3"/>
  <c r="B65" i="5"/>
  <c r="E45" i="5"/>
  <c r="D45" i="5"/>
  <c r="P45" i="5"/>
  <c r="Q45" i="5"/>
  <c r="N45" i="5"/>
  <c r="M45" i="5"/>
  <c r="L45" i="5"/>
  <c r="I46" i="5" s="1"/>
  <c r="I34" i="3"/>
  <c r="J34" i="3"/>
  <c r="D65" i="3" l="1"/>
  <c r="L65" i="3" s="1"/>
  <c r="B66" i="3"/>
  <c r="C65" i="3"/>
  <c r="G65" i="3"/>
  <c r="H65" i="3" s="1"/>
  <c r="K65" i="3" s="1"/>
  <c r="B66" i="5"/>
  <c r="J46" i="5"/>
  <c r="M46" i="5" s="1"/>
  <c r="K46" i="5"/>
  <c r="L46" i="5"/>
  <c r="I47" i="5" s="1"/>
  <c r="N46" i="5"/>
  <c r="E35" i="3"/>
  <c r="F35" i="3" s="1"/>
  <c r="H64" i="3"/>
  <c r="K64" i="3" s="1"/>
  <c r="L64" i="3"/>
  <c r="H45" i="5"/>
  <c r="G45" i="5"/>
  <c r="F45" i="5"/>
  <c r="C46" i="5" s="1"/>
  <c r="R45" i="5"/>
  <c r="O46" i="5" s="1"/>
  <c r="S45" i="5"/>
  <c r="T45" i="5"/>
  <c r="D66" i="3" l="1"/>
  <c r="G66" i="3"/>
  <c r="B67" i="3"/>
  <c r="C66" i="3"/>
  <c r="B67" i="5"/>
  <c r="K47" i="5"/>
  <c r="J47" i="5"/>
  <c r="D46" i="5"/>
  <c r="E46" i="5"/>
  <c r="G46" i="5" s="1"/>
  <c r="F46" i="5"/>
  <c r="C47" i="5" s="1"/>
  <c r="H46" i="5"/>
  <c r="P46" i="5"/>
  <c r="Q46" i="5"/>
  <c r="R46" i="5"/>
  <c r="O47" i="5" s="1"/>
  <c r="I35" i="3"/>
  <c r="J35" i="3"/>
  <c r="L66" i="3" l="1"/>
  <c r="H66" i="3"/>
  <c r="K66" i="3" s="1"/>
  <c r="D67" i="3"/>
  <c r="H67" i="3" s="1"/>
  <c r="K67" i="3" s="1"/>
  <c r="G67" i="3"/>
  <c r="C67" i="3"/>
  <c r="B68" i="3"/>
  <c r="B68" i="5"/>
  <c r="H47" i="5"/>
  <c r="E47" i="5"/>
  <c r="D47" i="5"/>
  <c r="Q47" i="5"/>
  <c r="P47" i="5"/>
  <c r="E36" i="3"/>
  <c r="F36" i="3" s="1"/>
  <c r="N47" i="5"/>
  <c r="M47" i="5"/>
  <c r="L47" i="5"/>
  <c r="I48" i="5" s="1"/>
  <c r="S46" i="5"/>
  <c r="T46" i="5"/>
  <c r="T47" i="5" l="1"/>
  <c r="S47" i="5"/>
  <c r="R47" i="5"/>
  <c r="O48" i="5" s="1"/>
  <c r="C68" i="3"/>
  <c r="B69" i="3"/>
  <c r="D68" i="3"/>
  <c r="G68" i="3"/>
  <c r="B69" i="5"/>
  <c r="Q48" i="5"/>
  <c r="P48" i="5"/>
  <c r="J48" i="5"/>
  <c r="K48" i="5"/>
  <c r="L48" i="5"/>
  <c r="I49" i="5" s="1"/>
  <c r="M48" i="5"/>
  <c r="N48" i="5"/>
  <c r="L67" i="3"/>
  <c r="G47" i="5"/>
  <c r="F47" i="5"/>
  <c r="C48" i="5" s="1"/>
  <c r="I36" i="3"/>
  <c r="J36" i="3"/>
  <c r="C69" i="3" l="1"/>
  <c r="B70" i="3"/>
  <c r="D69" i="3"/>
  <c r="H69" i="3" s="1"/>
  <c r="K69" i="3" s="1"/>
  <c r="G69" i="3"/>
  <c r="L69" i="3"/>
  <c r="B70" i="5"/>
  <c r="K49" i="5"/>
  <c r="J49" i="5"/>
  <c r="D48" i="5"/>
  <c r="E48" i="5"/>
  <c r="F48" i="5"/>
  <c r="C49" i="5" s="1"/>
  <c r="E37" i="3"/>
  <c r="F37" i="3" s="1"/>
  <c r="H68" i="3"/>
  <c r="K68" i="3" s="1"/>
  <c r="L68" i="3"/>
  <c r="T48" i="5"/>
  <c r="S48" i="5"/>
  <c r="R48" i="5"/>
  <c r="O49" i="5" s="1"/>
  <c r="L49" i="5" l="1"/>
  <c r="I50" i="5" s="1"/>
  <c r="N49" i="5"/>
  <c r="M49" i="5"/>
  <c r="G48" i="5"/>
  <c r="H48" i="5"/>
  <c r="C70" i="3"/>
  <c r="B71" i="3"/>
  <c r="D70" i="3"/>
  <c r="G70" i="3"/>
  <c r="B71" i="5"/>
  <c r="K50" i="5"/>
  <c r="J50" i="5"/>
  <c r="E49" i="5"/>
  <c r="D49" i="5"/>
  <c r="P49" i="5"/>
  <c r="T49" i="5" s="1"/>
  <c r="Q49" i="5"/>
  <c r="S49" i="5" s="1"/>
  <c r="R49" i="5"/>
  <c r="O50" i="5" s="1"/>
  <c r="I37" i="3"/>
  <c r="J37" i="3"/>
  <c r="D71" i="3" l="1"/>
  <c r="G71" i="3"/>
  <c r="B72" i="3"/>
  <c r="C71" i="3"/>
  <c r="B72" i="5"/>
  <c r="Q50" i="5"/>
  <c r="P50" i="5"/>
  <c r="E38" i="3"/>
  <c r="F38" i="3" s="1"/>
  <c r="L70" i="3"/>
  <c r="H70" i="3"/>
  <c r="K70" i="3" s="1"/>
  <c r="M50" i="5"/>
  <c r="N50" i="5"/>
  <c r="L50" i="5"/>
  <c r="I51" i="5" s="1"/>
  <c r="H49" i="5"/>
  <c r="G49" i="5"/>
  <c r="F49" i="5"/>
  <c r="C50" i="5" s="1"/>
  <c r="C72" i="3" l="1"/>
  <c r="G72" i="3"/>
  <c r="D72" i="3"/>
  <c r="B73" i="3"/>
  <c r="B73" i="5"/>
  <c r="J51" i="5"/>
  <c r="M51" i="5" s="1"/>
  <c r="K51" i="5"/>
  <c r="L51" i="5"/>
  <c r="I52" i="5" s="1"/>
  <c r="N51" i="5"/>
  <c r="D50" i="5"/>
  <c r="E50" i="5"/>
  <c r="H71" i="3"/>
  <c r="K71" i="3" s="1"/>
  <c r="L71" i="3"/>
  <c r="R50" i="5"/>
  <c r="O51" i="5" s="1"/>
  <c r="T50" i="5"/>
  <c r="S50" i="5"/>
  <c r="I38" i="3"/>
  <c r="J38" i="3"/>
  <c r="F50" i="5" l="1"/>
  <c r="C51" i="5" s="1"/>
  <c r="G50" i="5"/>
  <c r="H50" i="5"/>
  <c r="C73" i="3"/>
  <c r="D73" i="3"/>
  <c r="G73" i="3"/>
  <c r="B74" i="3"/>
  <c r="B74" i="5"/>
  <c r="K52" i="5"/>
  <c r="J52" i="5"/>
  <c r="E51" i="5"/>
  <c r="D51" i="5"/>
  <c r="P51" i="5"/>
  <c r="Q51" i="5"/>
  <c r="R51" i="5"/>
  <c r="O52" i="5" s="1"/>
  <c r="E39" i="3"/>
  <c r="F39" i="3" s="1"/>
  <c r="H72" i="3"/>
  <c r="K72" i="3" s="1"/>
  <c r="L72" i="3"/>
  <c r="M52" i="5" l="1"/>
  <c r="L52" i="5"/>
  <c r="I53" i="5" s="1"/>
  <c r="N52" i="5"/>
  <c r="S51" i="5"/>
  <c r="T51" i="5"/>
  <c r="C74" i="3"/>
  <c r="G74" i="3"/>
  <c r="D74" i="3"/>
  <c r="L74" i="3" s="1"/>
  <c r="B75" i="3"/>
  <c r="B75" i="5"/>
  <c r="Q52" i="5"/>
  <c r="P52" i="5"/>
  <c r="R52" i="5" s="1"/>
  <c r="O53" i="5" s="1"/>
  <c r="H73" i="3"/>
  <c r="K73" i="3" s="1"/>
  <c r="L73" i="3"/>
  <c r="H51" i="5"/>
  <c r="G51" i="5"/>
  <c r="F51" i="5"/>
  <c r="C52" i="5" s="1"/>
  <c r="I39" i="3"/>
  <c r="J39" i="3"/>
  <c r="H74" i="3" l="1"/>
  <c r="K74" i="3" s="1"/>
  <c r="L53" i="5"/>
  <c r="I54" i="5" s="1"/>
  <c r="K53" i="5"/>
  <c r="M53" i="5" s="1"/>
  <c r="J53" i="5"/>
  <c r="N53" i="5" s="1"/>
  <c r="D75" i="3"/>
  <c r="G75" i="3"/>
  <c r="L75" i="3"/>
  <c r="B76" i="3"/>
  <c r="C75" i="3"/>
  <c r="H75" i="3"/>
  <c r="K75" i="3" s="1"/>
  <c r="B76" i="5"/>
  <c r="K54" i="5"/>
  <c r="J54" i="5"/>
  <c r="Q53" i="5"/>
  <c r="P53" i="5"/>
  <c r="D52" i="5"/>
  <c r="E52" i="5"/>
  <c r="F52" i="5"/>
  <c r="C53" i="5" s="1"/>
  <c r="E40" i="3"/>
  <c r="F40" i="3" s="1"/>
  <c r="T52" i="5"/>
  <c r="S52" i="5"/>
  <c r="C76" i="3" l="1"/>
  <c r="D76" i="3"/>
  <c r="G76" i="3"/>
  <c r="H76" i="3" s="1"/>
  <c r="K76" i="3" s="1"/>
  <c r="L76" i="3"/>
  <c r="B77" i="3"/>
  <c r="B77" i="5"/>
  <c r="E53" i="5"/>
  <c r="D53" i="5"/>
  <c r="M54" i="5"/>
  <c r="N54" i="5"/>
  <c r="L54" i="5"/>
  <c r="I55" i="5" s="1"/>
  <c r="S53" i="5"/>
  <c r="R53" i="5"/>
  <c r="O54" i="5" s="1"/>
  <c r="T53" i="5"/>
  <c r="G52" i="5"/>
  <c r="H52" i="5"/>
  <c r="I40" i="3"/>
  <c r="J40" i="3"/>
  <c r="C77" i="3" l="1"/>
  <c r="D77" i="3"/>
  <c r="L77" i="3" s="1"/>
  <c r="G77" i="3"/>
  <c r="H77" i="3" s="1"/>
  <c r="K77" i="3" s="1"/>
  <c r="B78" i="3"/>
  <c r="B78" i="5"/>
  <c r="J55" i="5"/>
  <c r="K55" i="5"/>
  <c r="P54" i="5"/>
  <c r="Q54" i="5"/>
  <c r="S54" i="5" s="1"/>
  <c r="R54" i="5"/>
  <c r="O55" i="5" s="1"/>
  <c r="T54" i="5"/>
  <c r="E41" i="3"/>
  <c r="F41" i="3" s="1"/>
  <c r="H53" i="5"/>
  <c r="G53" i="5"/>
  <c r="F53" i="5"/>
  <c r="C54" i="5" s="1"/>
  <c r="M55" i="5" l="1"/>
  <c r="L55" i="5"/>
  <c r="I56" i="5" s="1"/>
  <c r="N55" i="5"/>
  <c r="C78" i="3"/>
  <c r="D78" i="3"/>
  <c r="L78" i="3" s="1"/>
  <c r="G78" i="3"/>
  <c r="H78" i="3" s="1"/>
  <c r="K78" i="3" s="1"/>
  <c r="B79" i="3"/>
  <c r="B79" i="5"/>
  <c r="K56" i="5"/>
  <c r="J56" i="5"/>
  <c r="Q55" i="5"/>
  <c r="P55" i="5"/>
  <c r="D54" i="5"/>
  <c r="E54" i="5"/>
  <c r="G54" i="5" s="1"/>
  <c r="I41" i="3"/>
  <c r="J41" i="3"/>
  <c r="L56" i="5" l="1"/>
  <c r="I57" i="5" s="1"/>
  <c r="N56" i="5"/>
  <c r="M56" i="5"/>
  <c r="F54" i="5"/>
  <c r="C55" i="5" s="1"/>
  <c r="H54" i="5"/>
  <c r="C79" i="3"/>
  <c r="D79" i="3"/>
  <c r="G79" i="3"/>
  <c r="B80" i="3"/>
  <c r="B80" i="5"/>
  <c r="K57" i="5"/>
  <c r="J57" i="5"/>
  <c r="E42" i="3"/>
  <c r="F42" i="3" s="1"/>
  <c r="T55" i="5"/>
  <c r="R55" i="5"/>
  <c r="O56" i="5" s="1"/>
  <c r="S55" i="5"/>
  <c r="E55" i="5" l="1"/>
  <c r="D55" i="5"/>
  <c r="C80" i="3"/>
  <c r="D80" i="3"/>
  <c r="G80" i="3"/>
  <c r="B81" i="3"/>
  <c r="B81" i="5"/>
  <c r="P56" i="5"/>
  <c r="T56" i="5" s="1"/>
  <c r="Q56" i="5"/>
  <c r="S56" i="5" s="1"/>
  <c r="R56" i="5"/>
  <c r="O57" i="5" s="1"/>
  <c r="L79" i="3"/>
  <c r="H79" i="3"/>
  <c r="K79" i="3" s="1"/>
  <c r="N57" i="5"/>
  <c r="M57" i="5"/>
  <c r="L57" i="5"/>
  <c r="I58" i="5" s="1"/>
  <c r="I42" i="3"/>
  <c r="J42" i="3"/>
  <c r="H55" i="5" l="1"/>
  <c r="G55" i="5"/>
  <c r="F55" i="5"/>
  <c r="C56" i="5" s="1"/>
  <c r="C81" i="3"/>
  <c r="D81" i="3"/>
  <c r="G81" i="3"/>
  <c r="H81" i="3" s="1"/>
  <c r="K81" i="3" s="1"/>
  <c r="L81" i="3"/>
  <c r="B82" i="3"/>
  <c r="B82" i="5"/>
  <c r="Q57" i="5"/>
  <c r="P57" i="5"/>
  <c r="J58" i="5"/>
  <c r="K58" i="5"/>
  <c r="L58" i="5"/>
  <c r="I59" i="5" s="1"/>
  <c r="M58" i="5"/>
  <c r="N58" i="5"/>
  <c r="D56" i="5"/>
  <c r="F56" i="5" s="1"/>
  <c r="C57" i="5" s="1"/>
  <c r="E56" i="5"/>
  <c r="G56" i="5" s="1"/>
  <c r="H56" i="5"/>
  <c r="E43" i="3"/>
  <c r="F43" i="3" s="1"/>
  <c r="H80" i="3"/>
  <c r="K80" i="3" s="1"/>
  <c r="L80" i="3"/>
  <c r="C82" i="3" l="1"/>
  <c r="D82" i="3"/>
  <c r="G82" i="3"/>
  <c r="H82" i="3" s="1"/>
  <c r="K82" i="3" s="1"/>
  <c r="L82" i="3"/>
  <c r="B83" i="3"/>
  <c r="B83" i="5"/>
  <c r="K59" i="5"/>
  <c r="M59" i="5" s="1"/>
  <c r="J59" i="5"/>
  <c r="H57" i="5"/>
  <c r="E57" i="5"/>
  <c r="D57" i="5"/>
  <c r="T57" i="5"/>
  <c r="S57" i="5"/>
  <c r="R57" i="5"/>
  <c r="O58" i="5" s="1"/>
  <c r="I43" i="3"/>
  <c r="J43" i="3"/>
  <c r="N59" i="5" l="1"/>
  <c r="L59" i="5"/>
  <c r="I60" i="5" s="1"/>
  <c r="C83" i="3"/>
  <c r="D83" i="3"/>
  <c r="G83" i="3"/>
  <c r="H83" i="3" s="1"/>
  <c r="K83" i="3" s="1"/>
  <c r="L83" i="3"/>
  <c r="B84" i="3"/>
  <c r="B84" i="5"/>
  <c r="P58" i="5"/>
  <c r="Q58" i="5"/>
  <c r="T58" i="5"/>
  <c r="E44" i="3"/>
  <c r="F44" i="3" s="1"/>
  <c r="G57" i="5"/>
  <c r="F57" i="5"/>
  <c r="C58" i="5" s="1"/>
  <c r="K60" i="5" l="1"/>
  <c r="J60" i="5"/>
  <c r="C84" i="3"/>
  <c r="D84" i="3"/>
  <c r="G84" i="3"/>
  <c r="H84" i="3" s="1"/>
  <c r="K84" i="3" s="1"/>
  <c r="L84" i="3"/>
  <c r="B85" i="3"/>
  <c r="B85" i="5"/>
  <c r="D58" i="5"/>
  <c r="E58" i="5"/>
  <c r="F58" i="5"/>
  <c r="C59" i="5" s="1"/>
  <c r="L60" i="5"/>
  <c r="I61" i="5" s="1"/>
  <c r="R58" i="5"/>
  <c r="O59" i="5" s="1"/>
  <c r="S58" i="5"/>
  <c r="I44" i="3"/>
  <c r="J44" i="3"/>
  <c r="N60" i="5" l="1"/>
  <c r="M60" i="5"/>
  <c r="G58" i="5"/>
  <c r="H58" i="5"/>
  <c r="C85" i="3"/>
  <c r="D85" i="3"/>
  <c r="G85" i="3"/>
  <c r="B86" i="3"/>
  <c r="B86" i="5"/>
  <c r="E59" i="5"/>
  <c r="D59" i="5"/>
  <c r="J61" i="5"/>
  <c r="L61" i="5" s="1"/>
  <c r="I62" i="5" s="1"/>
  <c r="K61" i="5"/>
  <c r="M61" i="5" s="1"/>
  <c r="N61" i="5"/>
  <c r="P59" i="5"/>
  <c r="Q59" i="5"/>
  <c r="E45" i="3"/>
  <c r="F45" i="3" s="1"/>
  <c r="C86" i="3" l="1"/>
  <c r="D86" i="3"/>
  <c r="G86" i="3"/>
  <c r="H86" i="3" s="1"/>
  <c r="K86" i="3" s="1"/>
  <c r="L86" i="3"/>
  <c r="B87" i="3"/>
  <c r="B87" i="5"/>
  <c r="K62" i="5"/>
  <c r="J62" i="5"/>
  <c r="H85" i="3"/>
  <c r="K85" i="3" s="1"/>
  <c r="L85" i="3"/>
  <c r="H59" i="5"/>
  <c r="F59" i="5"/>
  <c r="C60" i="5" s="1"/>
  <c r="G59" i="5"/>
  <c r="S59" i="5"/>
  <c r="R59" i="5"/>
  <c r="O60" i="5" s="1"/>
  <c r="T59" i="5"/>
  <c r="I45" i="3"/>
  <c r="J45" i="3"/>
  <c r="C87" i="3" l="1"/>
  <c r="D87" i="3"/>
  <c r="G87" i="3"/>
  <c r="H87" i="3"/>
  <c r="K87" i="3"/>
  <c r="L87" i="3"/>
  <c r="B88" i="3"/>
  <c r="B88" i="5"/>
  <c r="D60" i="5"/>
  <c r="E60" i="5"/>
  <c r="F60" i="5"/>
  <c r="C61" i="5" s="1"/>
  <c r="P60" i="5"/>
  <c r="Q60" i="5"/>
  <c r="E46" i="3"/>
  <c r="F46" i="3" s="1"/>
  <c r="N62" i="5"/>
  <c r="M62" i="5"/>
  <c r="L62" i="5"/>
  <c r="I63" i="5" s="1"/>
  <c r="S60" i="5" l="1"/>
  <c r="T60" i="5"/>
  <c r="R60" i="5"/>
  <c r="O61" i="5" s="1"/>
  <c r="P61" i="5" s="1"/>
  <c r="C88" i="3"/>
  <c r="D88" i="3"/>
  <c r="G88" i="3"/>
  <c r="H88" i="3" s="1"/>
  <c r="K88" i="3" s="1"/>
  <c r="B89" i="3"/>
  <c r="B89" i="5"/>
  <c r="E61" i="5"/>
  <c r="D61" i="5"/>
  <c r="Q61" i="5"/>
  <c r="J63" i="5"/>
  <c r="K63" i="5"/>
  <c r="L63" i="5"/>
  <c r="I64" i="5" s="1"/>
  <c r="M63" i="5"/>
  <c r="N63" i="5"/>
  <c r="G60" i="5"/>
  <c r="H60" i="5"/>
  <c r="I46" i="3"/>
  <c r="J46" i="3"/>
  <c r="T61" i="5" l="1"/>
  <c r="S61" i="5"/>
  <c r="R61" i="5"/>
  <c r="O62" i="5" s="1"/>
  <c r="C89" i="3"/>
  <c r="D89" i="3"/>
  <c r="H89" i="3" s="1"/>
  <c r="K89" i="3" s="1"/>
  <c r="G89" i="3"/>
  <c r="L89" i="3"/>
  <c r="B90" i="3"/>
  <c r="B90" i="5"/>
  <c r="K64" i="5"/>
  <c r="J64" i="5"/>
  <c r="E47" i="3"/>
  <c r="F47" i="3" s="1"/>
  <c r="L88" i="3"/>
  <c r="G61" i="5"/>
  <c r="F61" i="5"/>
  <c r="C62" i="5" s="1"/>
  <c r="H61" i="5"/>
  <c r="Q62" i="5" l="1"/>
  <c r="P62" i="5"/>
  <c r="R62" i="5" s="1"/>
  <c r="O63" i="5" s="1"/>
  <c r="I47" i="3"/>
  <c r="J47" i="3"/>
  <c r="C90" i="3"/>
  <c r="D90" i="3"/>
  <c r="G90" i="3"/>
  <c r="H90" i="3" s="1"/>
  <c r="K90" i="3" s="1"/>
  <c r="L90" i="3"/>
  <c r="B91" i="3"/>
  <c r="B91" i="5"/>
  <c r="E48" i="3"/>
  <c r="F48" i="3" s="1"/>
  <c r="D62" i="5"/>
  <c r="E62" i="5"/>
  <c r="F62" i="5"/>
  <c r="C63" i="5" s="1"/>
  <c r="G62" i="5"/>
  <c r="H62" i="5"/>
  <c r="T62" i="5"/>
  <c r="S62" i="5"/>
  <c r="N64" i="5"/>
  <c r="M64" i="5"/>
  <c r="L64" i="5"/>
  <c r="I65" i="5" s="1"/>
  <c r="C91" i="3" l="1"/>
  <c r="D91" i="3"/>
  <c r="G91" i="3"/>
  <c r="B92" i="3"/>
  <c r="B92" i="5"/>
  <c r="E63" i="5"/>
  <c r="D63" i="5"/>
  <c r="P63" i="5"/>
  <c r="Q63" i="5"/>
  <c r="R63" i="5"/>
  <c r="O64" i="5" s="1"/>
  <c r="S63" i="5"/>
  <c r="T63" i="5"/>
  <c r="J65" i="5"/>
  <c r="K65" i="5"/>
  <c r="M65" i="5" s="1"/>
  <c r="I48" i="3"/>
  <c r="J48" i="3"/>
  <c r="H91" i="3" l="1"/>
  <c r="K91" i="3" s="1"/>
  <c r="L91" i="3"/>
  <c r="L65" i="5"/>
  <c r="I66" i="5" s="1"/>
  <c r="K66" i="5" s="1"/>
  <c r="N65" i="5"/>
  <c r="C92" i="3"/>
  <c r="D92" i="3"/>
  <c r="L92" i="3" s="1"/>
  <c r="G92" i="3"/>
  <c r="H92" i="3" s="1"/>
  <c r="K92" i="3" s="1"/>
  <c r="B93" i="3"/>
  <c r="B93" i="5"/>
  <c r="Q64" i="5"/>
  <c r="P64" i="5"/>
  <c r="J66" i="5"/>
  <c r="E49" i="3"/>
  <c r="F49" i="3" s="1"/>
  <c r="H63" i="5"/>
  <c r="G63" i="5"/>
  <c r="F63" i="5"/>
  <c r="C64" i="5" s="1"/>
  <c r="T64" i="5" l="1"/>
  <c r="S64" i="5"/>
  <c r="R64" i="5"/>
  <c r="O65" i="5" s="1"/>
  <c r="C93" i="3"/>
  <c r="D93" i="3"/>
  <c r="L93" i="3" s="1"/>
  <c r="G93" i="3"/>
  <c r="H93" i="3" s="1"/>
  <c r="K93" i="3" s="1"/>
  <c r="B94" i="3"/>
  <c r="B94" i="5"/>
  <c r="Q65" i="5"/>
  <c r="P65" i="5"/>
  <c r="D64" i="5"/>
  <c r="H64" i="5" s="1"/>
  <c r="E64" i="5"/>
  <c r="G64" i="5" s="1"/>
  <c r="F64" i="5"/>
  <c r="C65" i="5" s="1"/>
  <c r="N66" i="5"/>
  <c r="M66" i="5"/>
  <c r="L66" i="5"/>
  <c r="I67" i="5" s="1"/>
  <c r="I49" i="3"/>
  <c r="J49" i="3"/>
  <c r="C94" i="3" l="1"/>
  <c r="D94" i="3"/>
  <c r="G94" i="3"/>
  <c r="H94" i="3"/>
  <c r="K94" i="3"/>
  <c r="L94" i="3"/>
  <c r="B95" i="3"/>
  <c r="B95" i="5"/>
  <c r="E65" i="5"/>
  <c r="D65" i="5"/>
  <c r="J67" i="5"/>
  <c r="K67" i="5"/>
  <c r="M67" i="5" s="1"/>
  <c r="L67" i="5"/>
  <c r="I68" i="5" s="1"/>
  <c r="N67" i="5"/>
  <c r="E50" i="3"/>
  <c r="F50" i="3" s="1"/>
  <c r="T65" i="5"/>
  <c r="S65" i="5"/>
  <c r="R65" i="5"/>
  <c r="O66" i="5" s="1"/>
  <c r="C95" i="3" l="1"/>
  <c r="D95" i="3"/>
  <c r="G95" i="3"/>
  <c r="B96" i="3"/>
  <c r="B96" i="5"/>
  <c r="K68" i="5"/>
  <c r="M68" i="5" s="1"/>
  <c r="J68" i="5"/>
  <c r="P66" i="5"/>
  <c r="Q66" i="5"/>
  <c r="R66" i="5"/>
  <c r="O67" i="5" s="1"/>
  <c r="H65" i="5"/>
  <c r="G65" i="5"/>
  <c r="F65" i="5"/>
  <c r="C66" i="5" s="1"/>
  <c r="I50" i="3"/>
  <c r="J50" i="3"/>
  <c r="N68" i="5" l="1"/>
  <c r="L68" i="5"/>
  <c r="I69" i="5" s="1"/>
  <c r="S66" i="5"/>
  <c r="T66" i="5"/>
  <c r="C96" i="3"/>
  <c r="D96" i="3"/>
  <c r="G96" i="3"/>
  <c r="H96" i="3"/>
  <c r="K96" i="3"/>
  <c r="L96" i="3"/>
  <c r="B97" i="3"/>
  <c r="B97" i="5"/>
  <c r="Q67" i="5"/>
  <c r="P67" i="5"/>
  <c r="D66" i="5"/>
  <c r="E66" i="5"/>
  <c r="G66" i="5" s="1"/>
  <c r="F66" i="5"/>
  <c r="C67" i="5" s="1"/>
  <c r="H66" i="5"/>
  <c r="E51" i="3"/>
  <c r="F51" i="3" s="1"/>
  <c r="H95" i="3"/>
  <c r="K95" i="3" s="1"/>
  <c r="L95" i="3"/>
  <c r="K69" i="5" l="1"/>
  <c r="J69" i="5"/>
  <c r="L69" i="5" s="1"/>
  <c r="I70" i="5" s="1"/>
  <c r="C97" i="3"/>
  <c r="D97" i="3"/>
  <c r="G97" i="3"/>
  <c r="B98" i="3"/>
  <c r="B98" i="5"/>
  <c r="E67" i="5"/>
  <c r="D67" i="5"/>
  <c r="N69" i="5"/>
  <c r="M69" i="5"/>
  <c r="T67" i="5"/>
  <c r="S67" i="5"/>
  <c r="R67" i="5"/>
  <c r="O68" i="5" s="1"/>
  <c r="I51" i="3"/>
  <c r="J51" i="3"/>
  <c r="C98" i="3" l="1"/>
  <c r="D98" i="3"/>
  <c r="G98" i="3"/>
  <c r="H98" i="3" s="1"/>
  <c r="K98" i="3" s="1"/>
  <c r="L98" i="3"/>
  <c r="B99" i="3"/>
  <c r="B99" i="5"/>
  <c r="J70" i="5"/>
  <c r="K70" i="5"/>
  <c r="P68" i="5"/>
  <c r="Q68" i="5"/>
  <c r="R68" i="5"/>
  <c r="O69" i="5" s="1"/>
  <c r="S68" i="5"/>
  <c r="T68" i="5"/>
  <c r="E52" i="3"/>
  <c r="F52" i="3" s="1"/>
  <c r="H97" i="3"/>
  <c r="K97" i="3" s="1"/>
  <c r="L97" i="3"/>
  <c r="H67" i="5"/>
  <c r="G67" i="5"/>
  <c r="F67" i="5"/>
  <c r="C68" i="5" s="1"/>
  <c r="L70" i="5" l="1"/>
  <c r="I71" i="5" s="1"/>
  <c r="M70" i="5"/>
  <c r="N70" i="5"/>
  <c r="C99" i="3"/>
  <c r="D99" i="3"/>
  <c r="L99" i="3" s="1"/>
  <c r="G99" i="3"/>
  <c r="B100" i="3"/>
  <c r="B100" i="5"/>
  <c r="Q69" i="5"/>
  <c r="P69" i="5"/>
  <c r="D68" i="5"/>
  <c r="F68" i="5" s="1"/>
  <c r="C69" i="5" s="1"/>
  <c r="E68" i="5"/>
  <c r="G68" i="5" s="1"/>
  <c r="H68" i="5"/>
  <c r="I52" i="3"/>
  <c r="J52" i="3"/>
  <c r="H99" i="3" l="1"/>
  <c r="K99" i="3" s="1"/>
  <c r="K71" i="5"/>
  <c r="J71" i="5"/>
  <c r="L71" i="5" s="1"/>
  <c r="I72" i="5" s="1"/>
  <c r="C100" i="3"/>
  <c r="D100" i="3"/>
  <c r="L100" i="3" s="1"/>
  <c r="G100" i="3"/>
  <c r="H100" i="3" s="1"/>
  <c r="K100" i="3" s="1"/>
  <c r="B101" i="3"/>
  <c r="B101" i="5"/>
  <c r="E69" i="5"/>
  <c r="D69" i="5"/>
  <c r="E53" i="3"/>
  <c r="F53" i="3" s="1"/>
  <c r="N71" i="5"/>
  <c r="M71" i="5"/>
  <c r="T69" i="5"/>
  <c r="S69" i="5"/>
  <c r="R69" i="5"/>
  <c r="O70" i="5" s="1"/>
  <c r="C101" i="3" l="1"/>
  <c r="D101" i="3"/>
  <c r="G101" i="3"/>
  <c r="B102" i="3"/>
  <c r="B102" i="5"/>
  <c r="J72" i="5"/>
  <c r="K72" i="5"/>
  <c r="P70" i="5"/>
  <c r="Q70" i="5"/>
  <c r="F69" i="5"/>
  <c r="C70" i="5" s="1"/>
  <c r="H69" i="5"/>
  <c r="G69" i="5"/>
  <c r="I53" i="3"/>
  <c r="J53" i="3"/>
  <c r="L101" i="3" l="1"/>
  <c r="H101" i="3"/>
  <c r="K101" i="3" s="1"/>
  <c r="C102" i="3"/>
  <c r="D102" i="3"/>
  <c r="G102" i="3"/>
  <c r="B103" i="3"/>
  <c r="B103" i="5"/>
  <c r="D70" i="5"/>
  <c r="H70" i="5" s="1"/>
  <c r="E70" i="5"/>
  <c r="F70" i="5"/>
  <c r="C71" i="5" s="1"/>
  <c r="G70" i="5"/>
  <c r="E54" i="3"/>
  <c r="F54" i="3" s="1"/>
  <c r="M72" i="5"/>
  <c r="N72" i="5"/>
  <c r="L72" i="5"/>
  <c r="I73" i="5" s="1"/>
  <c r="S70" i="5"/>
  <c r="T70" i="5"/>
  <c r="R70" i="5"/>
  <c r="O71" i="5" s="1"/>
  <c r="C103" i="3" l="1"/>
  <c r="D103" i="3"/>
  <c r="L103" i="3" s="1"/>
  <c r="G103" i="3"/>
  <c r="B104" i="3"/>
  <c r="B104" i="5"/>
  <c r="E71" i="5"/>
  <c r="D71" i="5"/>
  <c r="J73" i="5"/>
  <c r="K73" i="5"/>
  <c r="N73" i="5"/>
  <c r="P71" i="5"/>
  <c r="R71" i="5" s="1"/>
  <c r="O72" i="5" s="1"/>
  <c r="Q71" i="5"/>
  <c r="S71" i="5" s="1"/>
  <c r="T71" i="5"/>
  <c r="H102" i="3"/>
  <c r="K102" i="3" s="1"/>
  <c r="L102" i="3"/>
  <c r="I54" i="3"/>
  <c r="J54" i="3"/>
  <c r="L73" i="5" l="1"/>
  <c r="I74" i="5" s="1"/>
  <c r="M73" i="5"/>
  <c r="C104" i="3"/>
  <c r="D104" i="3"/>
  <c r="G104" i="3"/>
  <c r="B105" i="3"/>
  <c r="B105" i="5"/>
  <c r="Q72" i="5"/>
  <c r="P72" i="5"/>
  <c r="E55" i="3"/>
  <c r="F55" i="3" s="1"/>
  <c r="H103" i="3"/>
  <c r="K103" i="3" s="1"/>
  <c r="H71" i="5"/>
  <c r="G71" i="5"/>
  <c r="F71" i="5"/>
  <c r="C72" i="5" s="1"/>
  <c r="S72" i="5" l="1"/>
  <c r="K74" i="5"/>
  <c r="J74" i="5"/>
  <c r="T72" i="5"/>
  <c r="R72" i="5"/>
  <c r="O73" i="5" s="1"/>
  <c r="C105" i="3"/>
  <c r="D105" i="3"/>
  <c r="L105" i="3" s="1"/>
  <c r="G105" i="3"/>
  <c r="H105" i="3" s="1"/>
  <c r="K105" i="3" s="1"/>
  <c r="B106" i="3"/>
  <c r="B106" i="5"/>
  <c r="Q73" i="5"/>
  <c r="P73" i="5"/>
  <c r="D72" i="5"/>
  <c r="E72" i="5"/>
  <c r="H104" i="3"/>
  <c r="K104" i="3" s="1"/>
  <c r="L104" i="3"/>
  <c r="N74" i="5"/>
  <c r="M74" i="5"/>
  <c r="L74" i="5"/>
  <c r="I75" i="5" s="1"/>
  <c r="I55" i="3"/>
  <c r="J55" i="3"/>
  <c r="C106" i="3" l="1"/>
  <c r="D106" i="3"/>
  <c r="L106" i="3" s="1"/>
  <c r="G106" i="3"/>
  <c r="H106" i="3" s="1"/>
  <c r="K106" i="3" s="1"/>
  <c r="B107" i="3"/>
  <c r="B107" i="5"/>
  <c r="J75" i="5"/>
  <c r="M75" i="5" s="1"/>
  <c r="K75" i="5"/>
  <c r="L75" i="5"/>
  <c r="I76" i="5" s="1"/>
  <c r="N75" i="5"/>
  <c r="E56" i="3"/>
  <c r="F56" i="3" s="1"/>
  <c r="T73" i="5"/>
  <c r="R73" i="5"/>
  <c r="O74" i="5" s="1"/>
  <c r="S73" i="5"/>
  <c r="F72" i="5"/>
  <c r="C73" i="5" s="1"/>
  <c r="G72" i="5"/>
  <c r="H72" i="5"/>
  <c r="C107" i="3" l="1"/>
  <c r="D107" i="3"/>
  <c r="L107" i="3" s="1"/>
  <c r="G107" i="3"/>
  <c r="H107" i="3" s="1"/>
  <c r="K107" i="3" s="1"/>
  <c r="B108" i="3"/>
  <c r="B108" i="5"/>
  <c r="K76" i="5"/>
  <c r="J76" i="5"/>
  <c r="P74" i="5"/>
  <c r="T74" i="5" s="1"/>
  <c r="Q74" i="5"/>
  <c r="S74" i="5" s="1"/>
  <c r="R74" i="5"/>
  <c r="O75" i="5" s="1"/>
  <c r="D73" i="5"/>
  <c r="E73" i="5"/>
  <c r="F73" i="5"/>
  <c r="C74" i="5" s="1"/>
  <c r="G73" i="5"/>
  <c r="H73" i="5"/>
  <c r="I56" i="3"/>
  <c r="J56" i="3"/>
  <c r="L76" i="5" l="1"/>
  <c r="I77" i="5" s="1"/>
  <c r="N76" i="5"/>
  <c r="M76" i="5"/>
  <c r="C108" i="3"/>
  <c r="D108" i="3"/>
  <c r="G108" i="3"/>
  <c r="H108" i="3" s="1"/>
  <c r="K108" i="3" s="1"/>
  <c r="L108" i="3"/>
  <c r="B109" i="3"/>
  <c r="B109" i="5"/>
  <c r="K77" i="5"/>
  <c r="J77" i="5"/>
  <c r="Q75" i="5"/>
  <c r="P75" i="5"/>
  <c r="E74" i="5"/>
  <c r="D74" i="5"/>
  <c r="E57" i="3"/>
  <c r="F57" i="3" s="1"/>
  <c r="C109" i="3" l="1"/>
  <c r="D109" i="3"/>
  <c r="G109" i="3"/>
  <c r="B110" i="3"/>
  <c r="B110" i="5"/>
  <c r="N77" i="5"/>
  <c r="M77" i="5"/>
  <c r="L77" i="5"/>
  <c r="I78" i="5" s="1"/>
  <c r="R75" i="5"/>
  <c r="O76" i="5" s="1"/>
  <c r="T75" i="5"/>
  <c r="S75" i="5"/>
  <c r="H74" i="5"/>
  <c r="F74" i="5"/>
  <c r="C75" i="5" s="1"/>
  <c r="G74" i="5"/>
  <c r="I57" i="3"/>
  <c r="J57" i="3"/>
  <c r="C110" i="3" l="1"/>
  <c r="D110" i="3"/>
  <c r="L110" i="3" s="1"/>
  <c r="G110" i="3"/>
  <c r="H110" i="3" s="1"/>
  <c r="K110" i="3" s="1"/>
  <c r="B111" i="3"/>
  <c r="B111" i="5"/>
  <c r="J78" i="5"/>
  <c r="K78" i="5"/>
  <c r="M78" i="5" s="1"/>
  <c r="L78" i="5"/>
  <c r="I79" i="5" s="1"/>
  <c r="N78" i="5"/>
  <c r="P76" i="5"/>
  <c r="Q76" i="5"/>
  <c r="D75" i="5"/>
  <c r="E75" i="5"/>
  <c r="E58" i="3"/>
  <c r="F58" i="3" s="1"/>
  <c r="H109" i="3"/>
  <c r="K109" i="3" s="1"/>
  <c r="L109" i="3"/>
  <c r="F75" i="5" l="1"/>
  <c r="C76" i="5" s="1"/>
  <c r="G75" i="5"/>
  <c r="H75" i="5"/>
  <c r="C111" i="3"/>
  <c r="D111" i="3"/>
  <c r="G111" i="3"/>
  <c r="H111" i="3" s="1"/>
  <c r="K111" i="3" s="1"/>
  <c r="L111" i="3"/>
  <c r="B112" i="3"/>
  <c r="B112" i="5"/>
  <c r="K79" i="5"/>
  <c r="J79" i="5"/>
  <c r="R76" i="5"/>
  <c r="O77" i="5" s="1"/>
  <c r="S76" i="5"/>
  <c r="T76" i="5"/>
  <c r="I58" i="3"/>
  <c r="J58" i="3"/>
  <c r="E76" i="5" l="1"/>
  <c r="D76" i="5"/>
  <c r="C112" i="3"/>
  <c r="D112" i="3"/>
  <c r="G112" i="3"/>
  <c r="H112" i="3" s="1"/>
  <c r="K112" i="3" s="1"/>
  <c r="L112" i="3"/>
  <c r="B113" i="3"/>
  <c r="B113" i="5"/>
  <c r="P77" i="5"/>
  <c r="Q77" i="5"/>
  <c r="S77" i="5" s="1"/>
  <c r="R77" i="5"/>
  <c r="O78" i="5" s="1"/>
  <c r="T77" i="5"/>
  <c r="E59" i="3"/>
  <c r="F59" i="3" s="1"/>
  <c r="N79" i="5"/>
  <c r="M79" i="5"/>
  <c r="L79" i="5"/>
  <c r="I80" i="5" s="1"/>
  <c r="G76" i="5" l="1"/>
  <c r="F76" i="5"/>
  <c r="C77" i="5" s="1"/>
  <c r="H76" i="5"/>
  <c r="C113" i="3"/>
  <c r="D113" i="3"/>
  <c r="G113" i="3"/>
  <c r="B114" i="3"/>
  <c r="B114" i="5"/>
  <c r="Q78" i="5"/>
  <c r="P78" i="5"/>
  <c r="J80" i="5"/>
  <c r="K80" i="5"/>
  <c r="M80" i="5" s="1"/>
  <c r="I59" i="3"/>
  <c r="J59" i="3"/>
  <c r="D77" i="5" l="1"/>
  <c r="E77" i="5"/>
  <c r="G77" i="5" s="1"/>
  <c r="F77" i="5"/>
  <c r="C78" i="5" s="1"/>
  <c r="H77" i="5"/>
  <c r="N80" i="5"/>
  <c r="L80" i="5"/>
  <c r="I81" i="5" s="1"/>
  <c r="C114" i="3"/>
  <c r="D114" i="3"/>
  <c r="G114" i="3"/>
  <c r="L114" i="3"/>
  <c r="B115" i="3"/>
  <c r="B115" i="5"/>
  <c r="K81" i="5"/>
  <c r="J81" i="5"/>
  <c r="E78" i="5"/>
  <c r="D78" i="5"/>
  <c r="E60" i="3"/>
  <c r="F60" i="3" s="1"/>
  <c r="H113" i="3"/>
  <c r="K113" i="3" s="1"/>
  <c r="L113" i="3"/>
  <c r="T78" i="5"/>
  <c r="S78" i="5"/>
  <c r="R78" i="5"/>
  <c r="O79" i="5" s="1"/>
  <c r="L81" i="5" l="1"/>
  <c r="I82" i="5" s="1"/>
  <c r="N81" i="5"/>
  <c r="M81" i="5"/>
  <c r="C115" i="3"/>
  <c r="D115" i="3"/>
  <c r="L115" i="3" s="1"/>
  <c r="G115" i="3"/>
  <c r="H115" i="3" s="1"/>
  <c r="K115" i="3" s="1"/>
  <c r="B116" i="3"/>
  <c r="B116" i="5"/>
  <c r="K82" i="5"/>
  <c r="J82" i="5"/>
  <c r="P79" i="5"/>
  <c r="Q79" i="5"/>
  <c r="S79" i="5" s="1"/>
  <c r="R79" i="5"/>
  <c r="O80" i="5" s="1"/>
  <c r="T79" i="5"/>
  <c r="H114" i="3"/>
  <c r="K114" i="3" s="1"/>
  <c r="H78" i="5"/>
  <c r="G78" i="5"/>
  <c r="F78" i="5"/>
  <c r="C79" i="5" s="1"/>
  <c r="I60" i="3"/>
  <c r="J60" i="3"/>
  <c r="C116" i="3" l="1"/>
  <c r="D116" i="3"/>
  <c r="L116" i="3" s="1"/>
  <c r="G116" i="3"/>
  <c r="H116" i="3" s="1"/>
  <c r="K116" i="3" s="1"/>
  <c r="B117" i="3"/>
  <c r="B117" i="5"/>
  <c r="Q80" i="5"/>
  <c r="P80" i="5"/>
  <c r="D79" i="5"/>
  <c r="E79" i="5"/>
  <c r="E61" i="3"/>
  <c r="F61" i="3" s="1"/>
  <c r="L82" i="5"/>
  <c r="I83" i="5" s="1"/>
  <c r="N82" i="5"/>
  <c r="M82" i="5"/>
  <c r="C117" i="3" l="1"/>
  <c r="D117" i="3"/>
  <c r="L117" i="3" s="1"/>
  <c r="G117" i="3"/>
  <c r="H117" i="3" s="1"/>
  <c r="K117" i="3" s="1"/>
  <c r="B118" i="3"/>
  <c r="B118" i="5"/>
  <c r="K83" i="5"/>
  <c r="J83" i="5"/>
  <c r="N83" i="5"/>
  <c r="T80" i="5"/>
  <c r="S80" i="5"/>
  <c r="R80" i="5"/>
  <c r="O81" i="5" s="1"/>
  <c r="F79" i="5"/>
  <c r="C80" i="5" s="1"/>
  <c r="G79" i="5"/>
  <c r="H79" i="5"/>
  <c r="I61" i="3"/>
  <c r="J61" i="3"/>
  <c r="C118" i="3" l="1"/>
  <c r="D118" i="3"/>
  <c r="G118" i="3"/>
  <c r="H118" i="3" s="1"/>
  <c r="K118" i="3" s="1"/>
  <c r="L118" i="3"/>
  <c r="B119" i="3"/>
  <c r="B119" i="5"/>
  <c r="P81" i="5"/>
  <c r="Q81" i="5"/>
  <c r="D80" i="5"/>
  <c r="E80" i="5"/>
  <c r="G80" i="5" s="1"/>
  <c r="F80" i="5"/>
  <c r="C81" i="5" s="1"/>
  <c r="H80" i="5"/>
  <c r="E62" i="3"/>
  <c r="F62" i="3" s="1"/>
  <c r="M83" i="5"/>
  <c r="L83" i="5"/>
  <c r="I84" i="5" s="1"/>
  <c r="C119" i="3" l="1"/>
  <c r="D119" i="3"/>
  <c r="G119" i="3"/>
  <c r="H119" i="3" s="1"/>
  <c r="K119" i="3" s="1"/>
  <c r="B120" i="3"/>
  <c r="B120" i="5"/>
  <c r="E81" i="5"/>
  <c r="D81" i="5"/>
  <c r="J84" i="5"/>
  <c r="L84" i="5" s="1"/>
  <c r="I85" i="5" s="1"/>
  <c r="K84" i="5"/>
  <c r="N84" i="5"/>
  <c r="M84" i="5"/>
  <c r="R81" i="5"/>
  <c r="O82" i="5" s="1"/>
  <c r="S81" i="5"/>
  <c r="T81" i="5"/>
  <c r="I62" i="3"/>
  <c r="J62" i="3"/>
  <c r="C120" i="3" l="1"/>
  <c r="D120" i="3"/>
  <c r="G120" i="3"/>
  <c r="B121" i="3"/>
  <c r="B121" i="5"/>
  <c r="J85" i="5"/>
  <c r="K85" i="5"/>
  <c r="Q82" i="5"/>
  <c r="P82" i="5"/>
  <c r="S82" i="5" s="1"/>
  <c r="T82" i="5"/>
  <c r="R82" i="5"/>
  <c r="O83" i="5" s="1"/>
  <c r="E63" i="3"/>
  <c r="F63" i="3" s="1"/>
  <c r="L119" i="3"/>
  <c r="H81" i="5"/>
  <c r="G81" i="5"/>
  <c r="F81" i="5"/>
  <c r="C82" i="5" s="1"/>
  <c r="C121" i="3" l="1"/>
  <c r="D121" i="3"/>
  <c r="G121" i="3"/>
  <c r="B122" i="3"/>
  <c r="B122" i="5"/>
  <c r="P83" i="5"/>
  <c r="Q83" i="5"/>
  <c r="T83" i="5"/>
  <c r="E82" i="5"/>
  <c r="D82" i="5"/>
  <c r="H120" i="3"/>
  <c r="K120" i="3" s="1"/>
  <c r="L120" i="3"/>
  <c r="N85" i="5"/>
  <c r="L85" i="5"/>
  <c r="I86" i="5" s="1"/>
  <c r="M85" i="5"/>
  <c r="I63" i="3"/>
  <c r="J63" i="3"/>
  <c r="C122" i="3" l="1"/>
  <c r="D122" i="3"/>
  <c r="G122" i="3"/>
  <c r="H122" i="3" s="1"/>
  <c r="K122" i="3" s="1"/>
  <c r="L122" i="3"/>
  <c r="B123" i="3"/>
  <c r="B123" i="5"/>
  <c r="J86" i="5"/>
  <c r="K86" i="5"/>
  <c r="E64" i="3"/>
  <c r="F64" i="3" s="1"/>
  <c r="H121" i="3"/>
  <c r="K121" i="3" s="1"/>
  <c r="L121" i="3"/>
  <c r="S83" i="5"/>
  <c r="R83" i="5"/>
  <c r="O84" i="5" s="1"/>
  <c r="G82" i="5"/>
  <c r="F82" i="5"/>
  <c r="C83" i="5" s="1"/>
  <c r="H82" i="5"/>
  <c r="C123" i="3" l="1"/>
  <c r="D123" i="3"/>
  <c r="G123" i="3"/>
  <c r="L123" i="3"/>
  <c r="B124" i="3"/>
  <c r="B124" i="5"/>
  <c r="Q84" i="5"/>
  <c r="P84" i="5"/>
  <c r="E83" i="5"/>
  <c r="D83" i="5"/>
  <c r="M86" i="5"/>
  <c r="L86" i="5"/>
  <c r="I87" i="5" s="1"/>
  <c r="N86" i="5"/>
  <c r="I64" i="3"/>
  <c r="J64" i="3"/>
  <c r="H83" i="5" l="1"/>
  <c r="G83" i="5"/>
  <c r="F83" i="5"/>
  <c r="C84" i="5" s="1"/>
  <c r="E84" i="5" s="1"/>
  <c r="C124" i="3"/>
  <c r="D124" i="3"/>
  <c r="L124" i="3" s="1"/>
  <c r="G124" i="3"/>
  <c r="H124" i="3" s="1"/>
  <c r="K124" i="3" s="1"/>
  <c r="B125" i="3"/>
  <c r="B125" i="5"/>
  <c r="D84" i="5"/>
  <c r="K87" i="5"/>
  <c r="J87" i="5"/>
  <c r="E65" i="3"/>
  <c r="F65" i="3" s="1"/>
  <c r="H123" i="3"/>
  <c r="K123" i="3" s="1"/>
  <c r="R84" i="5"/>
  <c r="O85" i="5" s="1"/>
  <c r="T84" i="5"/>
  <c r="S84" i="5"/>
  <c r="C125" i="3" l="1"/>
  <c r="D125" i="3"/>
  <c r="L125" i="3" s="1"/>
  <c r="G125" i="3"/>
  <c r="H125" i="3" s="1"/>
  <c r="K125" i="3" s="1"/>
  <c r="B126" i="3"/>
  <c r="B126" i="5"/>
  <c r="P85" i="5"/>
  <c r="T85" i="5"/>
  <c r="Q85" i="5"/>
  <c r="G84" i="5"/>
  <c r="H84" i="5"/>
  <c r="F84" i="5"/>
  <c r="C85" i="5" s="1"/>
  <c r="M87" i="5"/>
  <c r="N87" i="5"/>
  <c r="L87" i="5"/>
  <c r="I88" i="5" s="1"/>
  <c r="I65" i="3"/>
  <c r="J65" i="3"/>
  <c r="R85" i="5" l="1"/>
  <c r="O86" i="5" s="1"/>
  <c r="S85" i="5"/>
  <c r="C126" i="3"/>
  <c r="D126" i="3"/>
  <c r="G126" i="3"/>
  <c r="B127" i="3"/>
  <c r="B127" i="5"/>
  <c r="Q86" i="5"/>
  <c r="P86" i="5"/>
  <c r="R86" i="5"/>
  <c r="O87" i="5" s="1"/>
  <c r="E85" i="5"/>
  <c r="D85" i="5"/>
  <c r="K88" i="5"/>
  <c r="J88" i="5"/>
  <c r="E66" i="3"/>
  <c r="F66" i="3" s="1"/>
  <c r="C127" i="3" l="1"/>
  <c r="D127" i="3"/>
  <c r="L127" i="3" s="1"/>
  <c r="G127" i="3"/>
  <c r="B128" i="3"/>
  <c r="B128" i="5"/>
  <c r="Q87" i="5"/>
  <c r="P87" i="5"/>
  <c r="L126" i="3"/>
  <c r="H126" i="3"/>
  <c r="K126" i="3" s="1"/>
  <c r="S86" i="5"/>
  <c r="T86" i="5"/>
  <c r="G85" i="5"/>
  <c r="H85" i="5"/>
  <c r="F85" i="5"/>
  <c r="C86" i="5" s="1"/>
  <c r="M88" i="5"/>
  <c r="L88" i="5"/>
  <c r="I89" i="5" s="1"/>
  <c r="N88" i="5"/>
  <c r="I66" i="3"/>
  <c r="J66" i="3"/>
  <c r="S87" i="5" l="1"/>
  <c r="C128" i="3"/>
  <c r="D128" i="3"/>
  <c r="L128" i="3" s="1"/>
  <c r="G128" i="3"/>
  <c r="H128" i="3" s="1"/>
  <c r="K128" i="3" s="1"/>
  <c r="B129" i="3"/>
  <c r="B129" i="5"/>
  <c r="E86" i="5"/>
  <c r="D86" i="5"/>
  <c r="J89" i="5"/>
  <c r="K89" i="5"/>
  <c r="E67" i="3"/>
  <c r="F67" i="3" s="1"/>
  <c r="H127" i="3"/>
  <c r="K127" i="3" s="1"/>
  <c r="T87" i="5"/>
  <c r="R87" i="5"/>
  <c r="O88" i="5" s="1"/>
  <c r="M89" i="5" l="1"/>
  <c r="L89" i="5"/>
  <c r="I90" i="5" s="1"/>
  <c r="N89" i="5"/>
  <c r="C129" i="3"/>
  <c r="D129" i="3"/>
  <c r="G129" i="3"/>
  <c r="B130" i="3"/>
  <c r="B130" i="5"/>
  <c r="K90" i="5"/>
  <c r="J90" i="5"/>
  <c r="Q88" i="5"/>
  <c r="P88" i="5"/>
  <c r="R88" i="5"/>
  <c r="O89" i="5" s="1"/>
  <c r="F86" i="5"/>
  <c r="C87" i="5" s="1"/>
  <c r="H86" i="5"/>
  <c r="G86" i="5"/>
  <c r="I67" i="3"/>
  <c r="J67" i="3"/>
  <c r="C130" i="3" l="1"/>
  <c r="D130" i="3"/>
  <c r="L130" i="3" s="1"/>
  <c r="G130" i="3"/>
  <c r="H130" i="3" s="1"/>
  <c r="K130" i="3" s="1"/>
  <c r="B131" i="3"/>
  <c r="B131" i="5"/>
  <c r="Q89" i="5"/>
  <c r="P89" i="5"/>
  <c r="D87" i="5"/>
  <c r="H87" i="5"/>
  <c r="E87" i="5"/>
  <c r="E68" i="3"/>
  <c r="F68" i="3" s="1"/>
  <c r="H129" i="3"/>
  <c r="K129" i="3" s="1"/>
  <c r="L129" i="3"/>
  <c r="N90" i="5"/>
  <c r="M90" i="5"/>
  <c r="L90" i="5"/>
  <c r="I91" i="5" s="1"/>
  <c r="S88" i="5"/>
  <c r="T88" i="5"/>
  <c r="T89" i="5" l="1"/>
  <c r="S89" i="5"/>
  <c r="R89" i="5"/>
  <c r="O90" i="5" s="1"/>
  <c r="C131" i="3"/>
  <c r="D131" i="3"/>
  <c r="G131" i="3"/>
  <c r="H131" i="3" s="1"/>
  <c r="K131" i="3" s="1"/>
  <c r="L131" i="3"/>
  <c r="B132" i="3"/>
  <c r="B132" i="5"/>
  <c r="J91" i="5"/>
  <c r="K91" i="5"/>
  <c r="L91" i="5"/>
  <c r="I92" i="5" s="1"/>
  <c r="F87" i="5"/>
  <c r="C88" i="5" s="1"/>
  <c r="G87" i="5"/>
  <c r="I68" i="3"/>
  <c r="J68" i="3"/>
  <c r="Q90" i="5" l="1"/>
  <c r="P90" i="5"/>
  <c r="C132" i="3"/>
  <c r="D132" i="3"/>
  <c r="G132" i="3"/>
  <c r="B133" i="3"/>
  <c r="B133" i="5"/>
  <c r="K92" i="5"/>
  <c r="J92" i="5"/>
  <c r="E88" i="5"/>
  <c r="D88" i="5"/>
  <c r="E69" i="3"/>
  <c r="F69" i="3" s="1"/>
  <c r="M91" i="5"/>
  <c r="N91" i="5"/>
  <c r="T90" i="5" l="1"/>
  <c r="S90" i="5"/>
  <c r="R90" i="5"/>
  <c r="O91" i="5" s="1"/>
  <c r="C133" i="3"/>
  <c r="D133" i="3"/>
  <c r="G133" i="3"/>
  <c r="H133" i="3" s="1"/>
  <c r="K133" i="3" s="1"/>
  <c r="L133" i="3"/>
  <c r="B134" i="3"/>
  <c r="B134" i="5"/>
  <c r="L132" i="3"/>
  <c r="H132" i="3"/>
  <c r="K132" i="3" s="1"/>
  <c r="N92" i="5"/>
  <c r="L92" i="5"/>
  <c r="I93" i="5" s="1"/>
  <c r="M92" i="5"/>
  <c r="H88" i="5"/>
  <c r="F88" i="5"/>
  <c r="C89" i="5" s="1"/>
  <c r="G88" i="5"/>
  <c r="I69" i="3"/>
  <c r="J69" i="3"/>
  <c r="P91" i="5" l="1"/>
  <c r="Q91" i="5"/>
  <c r="R91" i="5"/>
  <c r="O92" i="5" s="1"/>
  <c r="C134" i="3"/>
  <c r="D134" i="3"/>
  <c r="L134" i="3" s="1"/>
  <c r="G134" i="3"/>
  <c r="H134" i="3" s="1"/>
  <c r="K134" i="3" s="1"/>
  <c r="B135" i="3"/>
  <c r="B135" i="5"/>
  <c r="J93" i="5"/>
  <c r="L93" i="5" s="1"/>
  <c r="I94" i="5" s="1"/>
  <c r="K93" i="5"/>
  <c r="M93" i="5" s="1"/>
  <c r="N93" i="5"/>
  <c r="D89" i="5"/>
  <c r="E89" i="5"/>
  <c r="E70" i="3"/>
  <c r="F70" i="3" s="1"/>
  <c r="S91" i="5" l="1"/>
  <c r="T91" i="5"/>
  <c r="Q92" i="5"/>
  <c r="P92" i="5"/>
  <c r="C135" i="3"/>
  <c r="D135" i="3"/>
  <c r="L135" i="3" s="1"/>
  <c r="G135" i="3"/>
  <c r="H135" i="3" s="1"/>
  <c r="K135" i="3" s="1"/>
  <c r="B136" i="3"/>
  <c r="B136" i="5"/>
  <c r="K94" i="5"/>
  <c r="J94" i="5"/>
  <c r="R92" i="5"/>
  <c r="O93" i="5" s="1"/>
  <c r="T92" i="5"/>
  <c r="S92" i="5"/>
  <c r="G89" i="5"/>
  <c r="H89" i="5"/>
  <c r="F89" i="5"/>
  <c r="C90" i="5" s="1"/>
  <c r="I70" i="3"/>
  <c r="J70" i="3"/>
  <c r="C136" i="3" l="1"/>
  <c r="D136" i="3"/>
  <c r="G136" i="3"/>
  <c r="B137" i="3"/>
  <c r="B137" i="5"/>
  <c r="P93" i="5"/>
  <c r="T93" i="5" s="1"/>
  <c r="Q93" i="5"/>
  <c r="D90" i="5"/>
  <c r="E90" i="5"/>
  <c r="H90" i="5"/>
  <c r="E71" i="3"/>
  <c r="F71" i="3" s="1"/>
  <c r="N94" i="5"/>
  <c r="M94" i="5"/>
  <c r="L94" i="5"/>
  <c r="I95" i="5" s="1"/>
  <c r="C137" i="3" l="1"/>
  <c r="D137" i="3"/>
  <c r="G137" i="3"/>
  <c r="B138" i="3"/>
  <c r="B138" i="5"/>
  <c r="J95" i="5"/>
  <c r="K95" i="5"/>
  <c r="L136" i="3"/>
  <c r="H136" i="3"/>
  <c r="K136" i="3" s="1"/>
  <c r="S93" i="5"/>
  <c r="R93" i="5"/>
  <c r="O94" i="5" s="1"/>
  <c r="G90" i="5"/>
  <c r="F90" i="5"/>
  <c r="C91" i="5" s="1"/>
  <c r="I71" i="3"/>
  <c r="J71" i="3"/>
  <c r="M95" i="5" l="1"/>
  <c r="N95" i="5"/>
  <c r="L95" i="5"/>
  <c r="I96" i="5" s="1"/>
  <c r="C138" i="3"/>
  <c r="D138" i="3"/>
  <c r="G138" i="3"/>
  <c r="H138" i="3" s="1"/>
  <c r="K138" i="3" s="1"/>
  <c r="L138" i="3"/>
  <c r="B139" i="3"/>
  <c r="B139" i="5"/>
  <c r="P94" i="5"/>
  <c r="Q94" i="5"/>
  <c r="D91" i="5"/>
  <c r="E91" i="5"/>
  <c r="F91" i="5"/>
  <c r="C92" i="5" s="1"/>
  <c r="G91" i="5"/>
  <c r="H91" i="5"/>
  <c r="E72" i="3"/>
  <c r="F72" i="3" s="1"/>
  <c r="H137" i="3"/>
  <c r="K137" i="3" s="1"/>
  <c r="L137" i="3"/>
  <c r="S94" i="5" l="1"/>
  <c r="K96" i="5"/>
  <c r="J96" i="5"/>
  <c r="T94" i="5"/>
  <c r="R94" i="5"/>
  <c r="O95" i="5" s="1"/>
  <c r="C139" i="3"/>
  <c r="D139" i="3"/>
  <c r="L139" i="3" s="1"/>
  <c r="G139" i="3"/>
  <c r="H139" i="3"/>
  <c r="K139" i="3" s="1"/>
  <c r="B140" i="3"/>
  <c r="B140" i="5"/>
  <c r="E92" i="5"/>
  <c r="D92" i="5"/>
  <c r="I72" i="3"/>
  <c r="J72" i="3"/>
  <c r="L96" i="5" l="1"/>
  <c r="I97" i="5" s="1"/>
  <c r="M96" i="5"/>
  <c r="N96" i="5"/>
  <c r="Q95" i="5"/>
  <c r="P95" i="5"/>
  <c r="C140" i="3"/>
  <c r="D140" i="3"/>
  <c r="H140" i="3" s="1"/>
  <c r="K140" i="3" s="1"/>
  <c r="G140" i="3"/>
  <c r="L140" i="3"/>
  <c r="B141" i="3"/>
  <c r="B141" i="5"/>
  <c r="E73" i="3"/>
  <c r="F73" i="3" s="1"/>
  <c r="I73" i="3" s="1"/>
  <c r="J73" i="3"/>
  <c r="H92" i="5"/>
  <c r="G92" i="5"/>
  <c r="F92" i="5"/>
  <c r="C93" i="5" s="1"/>
  <c r="J97" i="5" l="1"/>
  <c r="K97" i="5"/>
  <c r="L97" i="5"/>
  <c r="I98" i="5" s="1"/>
  <c r="S95" i="5"/>
  <c r="R95" i="5"/>
  <c r="O96" i="5" s="1"/>
  <c r="T95" i="5"/>
  <c r="C141" i="3"/>
  <c r="D141" i="3"/>
  <c r="G141" i="3"/>
  <c r="H141" i="3" s="1"/>
  <c r="K141" i="3" s="1"/>
  <c r="L141" i="3"/>
  <c r="B142" i="3"/>
  <c r="B142" i="5"/>
  <c r="E74" i="3"/>
  <c r="F74" i="3" s="1"/>
  <c r="D93" i="5"/>
  <c r="F93" i="5" s="1"/>
  <c r="C94" i="5" s="1"/>
  <c r="E93" i="5"/>
  <c r="G93" i="5"/>
  <c r="H93" i="5"/>
  <c r="N97" i="5" l="1"/>
  <c r="M97" i="5"/>
  <c r="K98" i="5"/>
  <c r="J98" i="5"/>
  <c r="P96" i="5"/>
  <c r="Q96" i="5"/>
  <c r="C142" i="3"/>
  <c r="D142" i="3"/>
  <c r="G142" i="3"/>
  <c r="H142" i="3" s="1"/>
  <c r="K142" i="3" s="1"/>
  <c r="L142" i="3"/>
  <c r="B143" i="3"/>
  <c r="B143" i="5"/>
  <c r="E94" i="5"/>
  <c r="D94" i="5"/>
  <c r="I74" i="3"/>
  <c r="J74" i="3"/>
  <c r="T96" i="5"/>
  <c r="R96" i="5"/>
  <c r="O97" i="5" s="1"/>
  <c r="S96" i="5"/>
  <c r="N98" i="5" l="1"/>
  <c r="M98" i="5"/>
  <c r="L98" i="5"/>
  <c r="I99" i="5" s="1"/>
  <c r="C143" i="3"/>
  <c r="D143" i="3"/>
  <c r="G143" i="3"/>
  <c r="H143" i="3" s="1"/>
  <c r="K143" i="3" s="1"/>
  <c r="L143" i="3"/>
  <c r="B144" i="3"/>
  <c r="B144" i="5"/>
  <c r="E75" i="3"/>
  <c r="F75" i="3" s="1"/>
  <c r="P97" i="5"/>
  <c r="Q97" i="5"/>
  <c r="H94" i="5"/>
  <c r="G94" i="5"/>
  <c r="F94" i="5"/>
  <c r="C95" i="5" s="1"/>
  <c r="K99" i="5" l="1"/>
  <c r="J99" i="5"/>
  <c r="R97" i="5"/>
  <c r="O98" i="5" s="1"/>
  <c r="S97" i="5"/>
  <c r="T97" i="5"/>
  <c r="C144" i="3"/>
  <c r="D144" i="3"/>
  <c r="G144" i="3"/>
  <c r="H144" i="3" s="1"/>
  <c r="K144" i="3" s="1"/>
  <c r="B145" i="3"/>
  <c r="B145" i="5"/>
  <c r="D95" i="5"/>
  <c r="E95" i="5"/>
  <c r="I75" i="3"/>
  <c r="J75" i="3"/>
  <c r="M99" i="5" l="1"/>
  <c r="L99" i="5"/>
  <c r="I100" i="5" s="1"/>
  <c r="N99" i="5"/>
  <c r="Q98" i="5"/>
  <c r="P98" i="5"/>
  <c r="F95" i="5"/>
  <c r="C96" i="5" s="1"/>
  <c r="G95" i="5"/>
  <c r="H95" i="5"/>
  <c r="C145" i="3"/>
  <c r="D145" i="3"/>
  <c r="G145" i="3"/>
  <c r="H145" i="3" s="1"/>
  <c r="K145" i="3" s="1"/>
  <c r="L145" i="3"/>
  <c r="B146" i="3"/>
  <c r="B146" i="5"/>
  <c r="E76" i="3"/>
  <c r="F76" i="3" s="1"/>
  <c r="L144" i="3"/>
  <c r="K100" i="5" l="1"/>
  <c r="M100" i="5" s="1"/>
  <c r="J100" i="5"/>
  <c r="T98" i="5"/>
  <c r="S98" i="5"/>
  <c r="R98" i="5"/>
  <c r="O99" i="5" s="1"/>
  <c r="E96" i="5"/>
  <c r="D96" i="5"/>
  <c r="C146" i="3"/>
  <c r="D146" i="3"/>
  <c r="G146" i="3"/>
  <c r="B147" i="3"/>
  <c r="B147" i="5"/>
  <c r="I76" i="3"/>
  <c r="J76" i="3"/>
  <c r="P99" i="5" l="1"/>
  <c r="Q99" i="5"/>
  <c r="N100" i="5"/>
  <c r="L100" i="5"/>
  <c r="I101" i="5" s="1"/>
  <c r="T99" i="5"/>
  <c r="R99" i="5"/>
  <c r="O100" i="5" s="1"/>
  <c r="S99" i="5"/>
  <c r="H96" i="5"/>
  <c r="F96" i="5"/>
  <c r="C97" i="5" s="1"/>
  <c r="G96" i="5"/>
  <c r="C147" i="3"/>
  <c r="D147" i="3"/>
  <c r="G147" i="3"/>
  <c r="H147" i="3" s="1"/>
  <c r="K147" i="3" s="1"/>
  <c r="L147" i="3"/>
  <c r="B148" i="3"/>
  <c r="B148" i="5"/>
  <c r="D97" i="5"/>
  <c r="E97" i="5"/>
  <c r="G97" i="5" s="1"/>
  <c r="F97" i="5"/>
  <c r="C98" i="5" s="1"/>
  <c r="H97" i="5"/>
  <c r="E77" i="3"/>
  <c r="F77" i="3" s="1"/>
  <c r="H146" i="3"/>
  <c r="K146" i="3" s="1"/>
  <c r="L146" i="3"/>
  <c r="K101" i="5" l="1"/>
  <c r="M101" i="5" s="1"/>
  <c r="J101" i="5"/>
  <c r="R100" i="5"/>
  <c r="O101" i="5" s="1"/>
  <c r="P100" i="5"/>
  <c r="Q100" i="5"/>
  <c r="S100" i="5"/>
  <c r="T100" i="5"/>
  <c r="C148" i="3"/>
  <c r="D148" i="3"/>
  <c r="G148" i="3"/>
  <c r="H148" i="3" s="1"/>
  <c r="K148" i="3" s="1"/>
  <c r="L148" i="3"/>
  <c r="B149" i="3"/>
  <c r="B149" i="5"/>
  <c r="Q101" i="5"/>
  <c r="P101" i="5"/>
  <c r="H98" i="5"/>
  <c r="E98" i="5"/>
  <c r="D98" i="5"/>
  <c r="F98" i="5" s="1"/>
  <c r="C99" i="5" s="1"/>
  <c r="I77" i="3"/>
  <c r="J77" i="3"/>
  <c r="G98" i="5" l="1"/>
  <c r="N101" i="5"/>
  <c r="L101" i="5"/>
  <c r="I102" i="5" s="1"/>
  <c r="C149" i="3"/>
  <c r="D149" i="3"/>
  <c r="L149" i="3" s="1"/>
  <c r="G149" i="3"/>
  <c r="H149" i="3" s="1"/>
  <c r="K149" i="3" s="1"/>
  <c r="B150" i="3"/>
  <c r="B150" i="5"/>
  <c r="E99" i="5"/>
  <c r="D99" i="5"/>
  <c r="E78" i="3"/>
  <c r="F78" i="3" s="1"/>
  <c r="T101" i="5"/>
  <c r="S101" i="5"/>
  <c r="R101" i="5"/>
  <c r="O102" i="5" s="1"/>
  <c r="K102" i="5" l="1"/>
  <c r="J102" i="5"/>
  <c r="C150" i="3"/>
  <c r="D150" i="3"/>
  <c r="L150" i="3" s="1"/>
  <c r="G150" i="3"/>
  <c r="H150" i="3" s="1"/>
  <c r="K150" i="3" s="1"/>
  <c r="B151" i="3"/>
  <c r="B151" i="5"/>
  <c r="P102" i="5"/>
  <c r="Q102" i="5"/>
  <c r="S102" i="5" s="1"/>
  <c r="R102" i="5"/>
  <c r="O103" i="5" s="1"/>
  <c r="T102" i="5"/>
  <c r="H99" i="5"/>
  <c r="G99" i="5"/>
  <c r="F99" i="5"/>
  <c r="C100" i="5" s="1"/>
  <c r="I78" i="3"/>
  <c r="J78" i="3"/>
  <c r="M102" i="5" l="1"/>
  <c r="L102" i="5"/>
  <c r="I103" i="5" s="1"/>
  <c r="N102" i="5"/>
  <c r="C151" i="3"/>
  <c r="D151" i="3"/>
  <c r="G151" i="3"/>
  <c r="H151" i="3"/>
  <c r="K151" i="3" s="1"/>
  <c r="L151" i="3"/>
  <c r="B152" i="3"/>
  <c r="B152" i="5"/>
  <c r="Q103" i="5"/>
  <c r="P103" i="5"/>
  <c r="D100" i="5"/>
  <c r="E100" i="5"/>
  <c r="E79" i="3"/>
  <c r="F79" i="3" s="1"/>
  <c r="K103" i="5" l="1"/>
  <c r="J103" i="5"/>
  <c r="N103" i="5" s="1"/>
  <c r="M103" i="5"/>
  <c r="L103" i="5"/>
  <c r="I104" i="5" s="1"/>
  <c r="G100" i="5"/>
  <c r="F100" i="5"/>
  <c r="C101" i="5" s="1"/>
  <c r="H100" i="5"/>
  <c r="C152" i="3"/>
  <c r="D152" i="3"/>
  <c r="L152" i="3" s="1"/>
  <c r="G152" i="3"/>
  <c r="H152" i="3"/>
  <c r="K152" i="3" s="1"/>
  <c r="B153" i="3"/>
  <c r="B153" i="5"/>
  <c r="E101" i="5"/>
  <c r="D101" i="5"/>
  <c r="S103" i="5"/>
  <c r="R103" i="5"/>
  <c r="O104" i="5" s="1"/>
  <c r="T103" i="5"/>
  <c r="I79" i="3"/>
  <c r="J79" i="3"/>
  <c r="J104" i="5" l="1"/>
  <c r="K104" i="5"/>
  <c r="H101" i="5"/>
  <c r="G101" i="5"/>
  <c r="F101" i="5"/>
  <c r="C102" i="5" s="1"/>
  <c r="C153" i="3"/>
  <c r="D153" i="3"/>
  <c r="G153" i="3"/>
  <c r="H153" i="3" s="1"/>
  <c r="K153" i="3" s="1"/>
  <c r="L153" i="3"/>
  <c r="B154" i="3"/>
  <c r="B154" i="5"/>
  <c r="E102" i="5"/>
  <c r="D102" i="5"/>
  <c r="P104" i="5"/>
  <c r="Q104" i="5"/>
  <c r="E80" i="3"/>
  <c r="F80" i="3" s="1"/>
  <c r="S104" i="5" l="1"/>
  <c r="N104" i="5"/>
  <c r="L104" i="5"/>
  <c r="I105" i="5" s="1"/>
  <c r="M104" i="5"/>
  <c r="R104" i="5"/>
  <c r="O105" i="5" s="1"/>
  <c r="T104" i="5"/>
  <c r="C154" i="3"/>
  <c r="D154" i="3"/>
  <c r="L154" i="3" s="1"/>
  <c r="G154" i="3"/>
  <c r="H154" i="3" s="1"/>
  <c r="K154" i="3" s="1"/>
  <c r="B155" i="3"/>
  <c r="B155" i="5"/>
  <c r="Q105" i="5"/>
  <c r="P105" i="5"/>
  <c r="G102" i="5"/>
  <c r="H102" i="5"/>
  <c r="F102" i="5"/>
  <c r="C103" i="5" s="1"/>
  <c r="I80" i="3"/>
  <c r="J80" i="3"/>
  <c r="J105" i="5" l="1"/>
  <c r="N105" i="5" s="1"/>
  <c r="K105" i="5"/>
  <c r="M105" i="5" s="1"/>
  <c r="L105" i="5"/>
  <c r="I106" i="5" s="1"/>
  <c r="C155" i="3"/>
  <c r="D155" i="3"/>
  <c r="L155" i="3" s="1"/>
  <c r="G155" i="3"/>
  <c r="H155" i="3" s="1"/>
  <c r="K155" i="3" s="1"/>
  <c r="B156" i="3"/>
  <c r="B156" i="5"/>
  <c r="D103" i="5"/>
  <c r="H103" i="5" s="1"/>
  <c r="E103" i="5"/>
  <c r="F103" i="5"/>
  <c r="C104" i="5" s="1"/>
  <c r="G103" i="5"/>
  <c r="E81" i="3"/>
  <c r="F81" i="3" s="1"/>
  <c r="T105" i="5"/>
  <c r="S105" i="5"/>
  <c r="R105" i="5"/>
  <c r="O106" i="5" s="1"/>
  <c r="K106" i="5" l="1"/>
  <c r="J106" i="5"/>
  <c r="C156" i="3"/>
  <c r="D156" i="3"/>
  <c r="G156" i="3"/>
  <c r="B157" i="3"/>
  <c r="B157" i="5"/>
  <c r="E104" i="5"/>
  <c r="D104" i="5"/>
  <c r="P106" i="5"/>
  <c r="Q106" i="5"/>
  <c r="R106" i="5"/>
  <c r="O107" i="5" s="1"/>
  <c r="I81" i="3"/>
  <c r="J81" i="3"/>
  <c r="N106" i="5" l="1"/>
  <c r="M106" i="5"/>
  <c r="L106" i="5"/>
  <c r="I107" i="5" s="1"/>
  <c r="C157" i="3"/>
  <c r="D157" i="3"/>
  <c r="L157" i="3" s="1"/>
  <c r="G157" i="3"/>
  <c r="H157" i="3" s="1"/>
  <c r="K157" i="3" s="1"/>
  <c r="B158" i="3"/>
  <c r="B158" i="5"/>
  <c r="Q107" i="5"/>
  <c r="P107" i="5"/>
  <c r="E82" i="3"/>
  <c r="F82" i="3" s="1"/>
  <c r="H156" i="3"/>
  <c r="K156" i="3" s="1"/>
  <c r="L156" i="3"/>
  <c r="H104" i="5"/>
  <c r="G104" i="5"/>
  <c r="F104" i="5"/>
  <c r="C105" i="5" s="1"/>
  <c r="S106" i="5"/>
  <c r="T106" i="5"/>
  <c r="J107" i="5" l="1"/>
  <c r="N107" i="5" s="1"/>
  <c r="K107" i="5"/>
  <c r="L107" i="5"/>
  <c r="I108" i="5" s="1"/>
  <c r="M107" i="5"/>
  <c r="C158" i="3"/>
  <c r="D158" i="3"/>
  <c r="G158" i="3"/>
  <c r="B159" i="3"/>
  <c r="B159" i="5"/>
  <c r="D105" i="5"/>
  <c r="F105" i="5" s="1"/>
  <c r="C106" i="5" s="1"/>
  <c r="E105" i="5"/>
  <c r="G105" i="5" s="1"/>
  <c r="H105" i="5"/>
  <c r="T107" i="5"/>
  <c r="S107" i="5"/>
  <c r="R107" i="5"/>
  <c r="O108" i="5" s="1"/>
  <c r="I82" i="3"/>
  <c r="J82" i="3"/>
  <c r="J108" i="5" l="1"/>
  <c r="K108" i="5"/>
  <c r="C159" i="3"/>
  <c r="D159" i="3"/>
  <c r="G159" i="3"/>
  <c r="H159" i="3" s="1"/>
  <c r="K159" i="3" s="1"/>
  <c r="L159" i="3"/>
  <c r="B160" i="3"/>
  <c r="B160" i="5"/>
  <c r="E106" i="5"/>
  <c r="D106" i="5"/>
  <c r="P108" i="5"/>
  <c r="Q108" i="5"/>
  <c r="S108" i="5" s="1"/>
  <c r="R108" i="5"/>
  <c r="O109" i="5" s="1"/>
  <c r="T108" i="5"/>
  <c r="E83" i="3"/>
  <c r="F83" i="3" s="1"/>
  <c r="H158" i="3"/>
  <c r="K158" i="3" s="1"/>
  <c r="L158" i="3"/>
  <c r="L108" i="5" l="1"/>
  <c r="I109" i="5" s="1"/>
  <c r="M108" i="5"/>
  <c r="N108" i="5"/>
  <c r="C160" i="3"/>
  <c r="D160" i="3"/>
  <c r="G160" i="3"/>
  <c r="H160" i="3" s="1"/>
  <c r="K160" i="3" s="1"/>
  <c r="B161" i="3"/>
  <c r="B161" i="5"/>
  <c r="Q109" i="5"/>
  <c r="P109" i="5"/>
  <c r="G106" i="5"/>
  <c r="F106" i="5"/>
  <c r="C107" i="5" s="1"/>
  <c r="H106" i="5"/>
  <c r="I83" i="3"/>
  <c r="J83" i="3"/>
  <c r="K109" i="5" l="1"/>
  <c r="J109" i="5"/>
  <c r="C161" i="3"/>
  <c r="D161" i="3"/>
  <c r="G161" i="3"/>
  <c r="H161" i="3" s="1"/>
  <c r="K161" i="3" s="1"/>
  <c r="L161" i="3"/>
  <c r="B162" i="3"/>
  <c r="B162" i="5"/>
  <c r="D107" i="5"/>
  <c r="E107" i="5"/>
  <c r="F107" i="5"/>
  <c r="C108" i="5" s="1"/>
  <c r="E84" i="3"/>
  <c r="F84" i="3" s="1"/>
  <c r="L160" i="3"/>
  <c r="T109" i="5"/>
  <c r="S109" i="5"/>
  <c r="R109" i="5"/>
  <c r="O110" i="5" s="1"/>
  <c r="M109" i="5" l="1"/>
  <c r="L109" i="5"/>
  <c r="I110" i="5" s="1"/>
  <c r="N109" i="5"/>
  <c r="G107" i="5"/>
  <c r="H107" i="5"/>
  <c r="C162" i="3"/>
  <c r="D162" i="3"/>
  <c r="L162" i="3" s="1"/>
  <c r="G162" i="3"/>
  <c r="H162" i="3" s="1"/>
  <c r="K162" i="3" s="1"/>
  <c r="B163" i="3"/>
  <c r="B163" i="5"/>
  <c r="E108" i="5"/>
  <c r="D108" i="5"/>
  <c r="P110" i="5"/>
  <c r="T110" i="5" s="1"/>
  <c r="Q110" i="5"/>
  <c r="R110" i="5"/>
  <c r="O111" i="5" s="1"/>
  <c r="S110" i="5"/>
  <c r="I84" i="3"/>
  <c r="J84" i="3"/>
  <c r="K110" i="5" l="1"/>
  <c r="M110" i="5" s="1"/>
  <c r="J110" i="5"/>
  <c r="N110" i="5"/>
  <c r="L110" i="5"/>
  <c r="I111" i="5" s="1"/>
  <c r="C163" i="3"/>
  <c r="D163" i="3"/>
  <c r="H163" i="3" s="1"/>
  <c r="K163" i="3" s="1"/>
  <c r="G163" i="3"/>
  <c r="B164" i="3"/>
  <c r="B164" i="5"/>
  <c r="Q111" i="5"/>
  <c r="P111" i="5"/>
  <c r="E85" i="3"/>
  <c r="F85" i="3" s="1"/>
  <c r="H108" i="5"/>
  <c r="F108" i="5"/>
  <c r="C109" i="5" s="1"/>
  <c r="G108" i="5"/>
  <c r="K111" i="5" l="1"/>
  <c r="J111" i="5"/>
  <c r="C164" i="3"/>
  <c r="D164" i="3"/>
  <c r="L164" i="3" s="1"/>
  <c r="G164" i="3"/>
  <c r="H164" i="3" s="1"/>
  <c r="K164" i="3" s="1"/>
  <c r="B165" i="3"/>
  <c r="B165" i="5"/>
  <c r="D109" i="5"/>
  <c r="E109" i="5"/>
  <c r="F109" i="5"/>
  <c r="C110" i="5" s="1"/>
  <c r="L163" i="3"/>
  <c r="T111" i="5"/>
  <c r="S111" i="5"/>
  <c r="R111" i="5"/>
  <c r="O112" i="5" s="1"/>
  <c r="I85" i="3"/>
  <c r="J85" i="3"/>
  <c r="N111" i="5" l="1"/>
  <c r="M111" i="5"/>
  <c r="L111" i="5"/>
  <c r="I112" i="5" s="1"/>
  <c r="G109" i="5"/>
  <c r="H109" i="5"/>
  <c r="C165" i="3"/>
  <c r="D165" i="3"/>
  <c r="L165" i="3" s="1"/>
  <c r="G165" i="3"/>
  <c r="H165" i="3" s="1"/>
  <c r="K165" i="3" s="1"/>
  <c r="B166" i="3"/>
  <c r="B166" i="5"/>
  <c r="E110" i="5"/>
  <c r="D110" i="5"/>
  <c r="P112" i="5"/>
  <c r="Q112" i="5"/>
  <c r="R112" i="5"/>
  <c r="O113" i="5" s="1"/>
  <c r="E86" i="3"/>
  <c r="F86" i="3" s="1"/>
  <c r="K112" i="5" l="1"/>
  <c r="J112" i="5"/>
  <c r="S112" i="5"/>
  <c r="T112" i="5"/>
  <c r="C166" i="3"/>
  <c r="D166" i="3"/>
  <c r="G166" i="3"/>
  <c r="B167" i="3"/>
  <c r="B167" i="5"/>
  <c r="Q113" i="5"/>
  <c r="P113" i="5"/>
  <c r="H110" i="5"/>
  <c r="G110" i="5"/>
  <c r="F110" i="5"/>
  <c r="C111" i="5" s="1"/>
  <c r="I86" i="3"/>
  <c r="J86" i="3"/>
  <c r="M112" i="5" l="1"/>
  <c r="N112" i="5"/>
  <c r="L112" i="5"/>
  <c r="I113" i="5" s="1"/>
  <c r="C167" i="3"/>
  <c r="D167" i="3"/>
  <c r="L167" i="3" s="1"/>
  <c r="G167" i="3"/>
  <c r="H167" i="3" s="1"/>
  <c r="K167" i="3" s="1"/>
  <c r="B168" i="3"/>
  <c r="B168" i="5"/>
  <c r="D111" i="5"/>
  <c r="E111" i="5"/>
  <c r="G111" i="5" s="1"/>
  <c r="F111" i="5"/>
  <c r="C112" i="5" s="1"/>
  <c r="H111" i="5"/>
  <c r="E87" i="3"/>
  <c r="F87" i="3" s="1"/>
  <c r="H166" i="3"/>
  <c r="K166" i="3" s="1"/>
  <c r="L166" i="3"/>
  <c r="T113" i="5"/>
  <c r="S113" i="5"/>
  <c r="R113" i="5"/>
  <c r="O114" i="5" s="1"/>
  <c r="J113" i="5" l="1"/>
  <c r="K113" i="5"/>
  <c r="N113" i="5"/>
  <c r="C168" i="3"/>
  <c r="D168" i="3"/>
  <c r="L168" i="3" s="1"/>
  <c r="G168" i="3"/>
  <c r="H168" i="3" s="1"/>
  <c r="K168" i="3" s="1"/>
  <c r="B169" i="3"/>
  <c r="B169" i="5"/>
  <c r="E112" i="5"/>
  <c r="D112" i="5"/>
  <c r="P114" i="5"/>
  <c r="Q114" i="5"/>
  <c r="R114" i="5"/>
  <c r="O115" i="5" s="1"/>
  <c r="I87" i="3"/>
  <c r="J87" i="3"/>
  <c r="M113" i="5" l="1"/>
  <c r="L113" i="5"/>
  <c r="I114" i="5" s="1"/>
  <c r="C169" i="3"/>
  <c r="D169" i="3"/>
  <c r="L169" i="3" s="1"/>
  <c r="G169" i="3"/>
  <c r="B170" i="3"/>
  <c r="B170" i="5"/>
  <c r="Q115" i="5"/>
  <c r="P115" i="5"/>
  <c r="E88" i="3"/>
  <c r="F88" i="3" s="1"/>
  <c r="H112" i="5"/>
  <c r="G112" i="5"/>
  <c r="F112" i="5"/>
  <c r="C113" i="5" s="1"/>
  <c r="S114" i="5"/>
  <c r="T114" i="5"/>
  <c r="J114" i="5" l="1"/>
  <c r="K114" i="5"/>
  <c r="L114" i="5"/>
  <c r="I115" i="5" s="1"/>
  <c r="M114" i="5"/>
  <c r="N114" i="5"/>
  <c r="C170" i="3"/>
  <c r="D170" i="3"/>
  <c r="L170" i="3" s="1"/>
  <c r="G170" i="3"/>
  <c r="H170" i="3"/>
  <c r="K170" i="3" s="1"/>
  <c r="B171" i="3"/>
  <c r="B171" i="5"/>
  <c r="D113" i="5"/>
  <c r="E113" i="5"/>
  <c r="F113" i="5"/>
  <c r="C114" i="5" s="1"/>
  <c r="G113" i="5"/>
  <c r="H113" i="5"/>
  <c r="H169" i="3"/>
  <c r="K169" i="3" s="1"/>
  <c r="T115" i="5"/>
  <c r="R115" i="5"/>
  <c r="O116" i="5" s="1"/>
  <c r="S115" i="5"/>
  <c r="I88" i="3"/>
  <c r="J88" i="3"/>
  <c r="L115" i="5" l="1"/>
  <c r="I116" i="5" s="1"/>
  <c r="K115" i="5"/>
  <c r="J115" i="5"/>
  <c r="C171" i="3"/>
  <c r="D171" i="3"/>
  <c r="G171" i="3"/>
  <c r="H171" i="3" s="1"/>
  <c r="K171" i="3" s="1"/>
  <c r="L171" i="3"/>
  <c r="B172" i="3"/>
  <c r="B172" i="5"/>
  <c r="E114" i="5"/>
  <c r="D114" i="5"/>
  <c r="P116" i="5"/>
  <c r="Q116" i="5"/>
  <c r="E89" i="3"/>
  <c r="F89" i="3" s="1"/>
  <c r="M116" i="5" l="1"/>
  <c r="K116" i="5"/>
  <c r="J116" i="5"/>
  <c r="M115" i="5"/>
  <c r="N115" i="5"/>
  <c r="C172" i="3"/>
  <c r="D172" i="3"/>
  <c r="G172" i="3"/>
  <c r="B173" i="3"/>
  <c r="B173" i="5"/>
  <c r="G114" i="5"/>
  <c r="F114" i="5"/>
  <c r="C115" i="5" s="1"/>
  <c r="H114" i="5"/>
  <c r="S116" i="5"/>
  <c r="T116" i="5"/>
  <c r="R116" i="5"/>
  <c r="O117" i="5" s="1"/>
  <c r="I89" i="3"/>
  <c r="J89" i="3"/>
  <c r="N116" i="5" l="1"/>
  <c r="L116" i="5"/>
  <c r="I117" i="5" s="1"/>
  <c r="C173" i="3"/>
  <c r="D173" i="3"/>
  <c r="G173" i="3"/>
  <c r="H173" i="3" s="1"/>
  <c r="K173" i="3" s="1"/>
  <c r="L173" i="3"/>
  <c r="B174" i="3"/>
  <c r="B174" i="5"/>
  <c r="D115" i="5"/>
  <c r="E115" i="5"/>
  <c r="P117" i="5"/>
  <c r="Q117" i="5"/>
  <c r="R117" i="5"/>
  <c r="O118" i="5" s="1"/>
  <c r="E90" i="3"/>
  <c r="F90" i="3" s="1"/>
  <c r="I90" i="3" s="1"/>
  <c r="J90" i="3"/>
  <c r="H172" i="3"/>
  <c r="K172" i="3" s="1"/>
  <c r="L172" i="3"/>
  <c r="J117" i="5" l="1"/>
  <c r="K117" i="5"/>
  <c r="C174" i="3"/>
  <c r="D174" i="3"/>
  <c r="G174" i="3"/>
  <c r="H174" i="3" s="1"/>
  <c r="K174" i="3" s="1"/>
  <c r="L174" i="3"/>
  <c r="B175" i="3"/>
  <c r="B175" i="5"/>
  <c r="Q118" i="5"/>
  <c r="P118" i="5"/>
  <c r="E91" i="3"/>
  <c r="F91" i="3" s="1"/>
  <c r="F115" i="5"/>
  <c r="C116" i="5" s="1"/>
  <c r="G115" i="5"/>
  <c r="H115" i="5"/>
  <c r="S117" i="5"/>
  <c r="T117" i="5"/>
  <c r="L117" i="5" l="1"/>
  <c r="I118" i="5" s="1"/>
  <c r="M117" i="5"/>
  <c r="N117" i="5"/>
  <c r="C175" i="3"/>
  <c r="D175" i="3"/>
  <c r="G175" i="3"/>
  <c r="B176" i="3"/>
  <c r="B176" i="5"/>
  <c r="D116" i="5"/>
  <c r="H116" i="5" s="1"/>
  <c r="E116" i="5"/>
  <c r="F116" i="5"/>
  <c r="C117" i="5" s="1"/>
  <c r="G116" i="5"/>
  <c r="T118" i="5"/>
  <c r="S118" i="5"/>
  <c r="R118" i="5"/>
  <c r="O119" i="5" s="1"/>
  <c r="I91" i="3"/>
  <c r="J91" i="3"/>
  <c r="J118" i="5" l="1"/>
  <c r="N118" i="5" s="1"/>
  <c r="K118" i="5"/>
  <c r="L118" i="5"/>
  <c r="I119" i="5" s="1"/>
  <c r="M118" i="5"/>
  <c r="C176" i="3"/>
  <c r="D176" i="3"/>
  <c r="G176" i="3"/>
  <c r="H176" i="3" s="1"/>
  <c r="K176" i="3" s="1"/>
  <c r="L176" i="3"/>
  <c r="B177" i="3"/>
  <c r="B177" i="5"/>
  <c r="E117" i="5"/>
  <c r="D117" i="5"/>
  <c r="P119" i="5"/>
  <c r="Q119" i="5"/>
  <c r="T119" i="5"/>
  <c r="C48" i="2"/>
  <c r="E92" i="3"/>
  <c r="F92" i="3" s="1"/>
  <c r="H175" i="3"/>
  <c r="K175" i="3" s="1"/>
  <c r="L175" i="3"/>
  <c r="J119" i="5" l="1"/>
  <c r="L119" i="5" s="1"/>
  <c r="I120" i="5" s="1"/>
  <c r="N119" i="5"/>
  <c r="K119" i="5"/>
  <c r="M119" i="5" s="1"/>
  <c r="C177" i="3"/>
  <c r="D177" i="3"/>
  <c r="L177" i="3" s="1"/>
  <c r="G177" i="3"/>
  <c r="H177" i="3" s="1"/>
  <c r="K177" i="3" s="1"/>
  <c r="B178" i="3"/>
  <c r="B178" i="5"/>
  <c r="C49" i="2"/>
  <c r="C50" i="2" s="1"/>
  <c r="H117" i="5"/>
  <c r="G117" i="5"/>
  <c r="F117" i="5"/>
  <c r="C118" i="5" s="1"/>
  <c r="R119" i="5"/>
  <c r="O120" i="5" s="1"/>
  <c r="S119" i="5"/>
  <c r="I92" i="3"/>
  <c r="J92" i="3"/>
  <c r="N120" i="5" l="1"/>
  <c r="J120" i="5"/>
  <c r="K120" i="5"/>
  <c r="C178" i="3"/>
  <c r="D178" i="3"/>
  <c r="H178" i="3" s="1"/>
  <c r="K178" i="3" s="1"/>
  <c r="G178" i="3"/>
  <c r="L178" i="3"/>
  <c r="B179" i="3"/>
  <c r="B179" i="5"/>
  <c r="D118" i="5"/>
  <c r="E118" i="5"/>
  <c r="G118" i="5" s="1"/>
  <c r="F118" i="5"/>
  <c r="C119" i="5" s="1"/>
  <c r="H118" i="5"/>
  <c r="P120" i="5"/>
  <c r="R120" i="5" s="1"/>
  <c r="O121" i="5" s="1"/>
  <c r="Q120" i="5"/>
  <c r="E93" i="3"/>
  <c r="F93" i="3" s="1"/>
  <c r="M120" i="5" l="1"/>
  <c r="L120" i="5"/>
  <c r="I121" i="5" s="1"/>
  <c r="C179" i="3"/>
  <c r="D179" i="3"/>
  <c r="L179" i="3" s="1"/>
  <c r="G179" i="3"/>
  <c r="H179" i="3" s="1"/>
  <c r="K179" i="3" s="1"/>
  <c r="B180" i="3"/>
  <c r="B180" i="5"/>
  <c r="E119" i="5"/>
  <c r="D119" i="5"/>
  <c r="Q121" i="5"/>
  <c r="P121" i="5"/>
  <c r="S120" i="5"/>
  <c r="T120" i="5"/>
  <c r="I93" i="3"/>
  <c r="J93" i="3"/>
  <c r="J121" i="5" l="1"/>
  <c r="L121" i="5" s="1"/>
  <c r="I122" i="5" s="1"/>
  <c r="K121" i="5"/>
  <c r="M121" i="5" s="1"/>
  <c r="N121" i="5"/>
  <c r="C180" i="3"/>
  <c r="D180" i="3"/>
  <c r="G180" i="3"/>
  <c r="L180" i="3"/>
  <c r="B181" i="3"/>
  <c r="B181" i="5"/>
  <c r="E94" i="3"/>
  <c r="F94" i="3" s="1"/>
  <c r="H119" i="5"/>
  <c r="G119" i="5"/>
  <c r="F119" i="5"/>
  <c r="C120" i="5" s="1"/>
  <c r="T121" i="5"/>
  <c r="S121" i="5"/>
  <c r="R121" i="5"/>
  <c r="O122" i="5" s="1"/>
  <c r="J122" i="5" l="1"/>
  <c r="M122" i="5" s="1"/>
  <c r="K122" i="5"/>
  <c r="L122" i="5"/>
  <c r="I123" i="5" s="1"/>
  <c r="N122" i="5"/>
  <c r="C181" i="3"/>
  <c r="D181" i="3"/>
  <c r="G181" i="3"/>
  <c r="H181" i="3" s="1"/>
  <c r="K181" i="3" s="1"/>
  <c r="B182" i="3"/>
  <c r="B182" i="5"/>
  <c r="D120" i="5"/>
  <c r="E120" i="5"/>
  <c r="F120" i="5"/>
  <c r="C121" i="5" s="1"/>
  <c r="G120" i="5"/>
  <c r="H120" i="5"/>
  <c r="P122" i="5"/>
  <c r="R122" i="5" s="1"/>
  <c r="O123" i="5" s="1"/>
  <c r="Q122" i="5"/>
  <c r="S122" i="5" s="1"/>
  <c r="T122" i="5"/>
  <c r="H180" i="3"/>
  <c r="K180" i="3" s="1"/>
  <c r="I94" i="3"/>
  <c r="J94" i="3"/>
  <c r="J123" i="5" l="1"/>
  <c r="K123" i="5"/>
  <c r="C182" i="3"/>
  <c r="D182" i="3"/>
  <c r="L182" i="3" s="1"/>
  <c r="G182" i="3"/>
  <c r="B183" i="3"/>
  <c r="B183" i="5"/>
  <c r="E121" i="5"/>
  <c r="D121" i="5"/>
  <c r="Q123" i="5"/>
  <c r="P123" i="5"/>
  <c r="E95" i="3"/>
  <c r="F95" i="3" s="1"/>
  <c r="L181" i="3"/>
  <c r="H182" i="3" l="1"/>
  <c r="K182" i="3" s="1"/>
  <c r="M123" i="5"/>
  <c r="L123" i="5"/>
  <c r="I124" i="5" s="1"/>
  <c r="N123" i="5"/>
  <c r="C183" i="3"/>
  <c r="D183" i="3"/>
  <c r="L183" i="3" s="1"/>
  <c r="G183" i="3"/>
  <c r="H183" i="3" s="1"/>
  <c r="K183" i="3" s="1"/>
  <c r="B184" i="3"/>
  <c r="B184" i="5"/>
  <c r="H121" i="5"/>
  <c r="G121" i="5"/>
  <c r="F121" i="5"/>
  <c r="C122" i="5" s="1"/>
  <c r="T123" i="5"/>
  <c r="R123" i="5"/>
  <c r="O124" i="5" s="1"/>
  <c r="S123" i="5"/>
  <c r="I95" i="3"/>
  <c r="J95" i="3"/>
  <c r="J124" i="5" l="1"/>
  <c r="K124" i="5"/>
  <c r="N124" i="5"/>
  <c r="M124" i="5"/>
  <c r="L124" i="5"/>
  <c r="I125" i="5" s="1"/>
  <c r="C184" i="3"/>
  <c r="D184" i="3"/>
  <c r="L184" i="3" s="1"/>
  <c r="G184" i="3"/>
  <c r="H184" i="3" s="1"/>
  <c r="K184" i="3" s="1"/>
  <c r="B185" i="3"/>
  <c r="B185" i="5"/>
  <c r="D122" i="5"/>
  <c r="E122" i="5"/>
  <c r="G122" i="5" s="1"/>
  <c r="F122" i="5"/>
  <c r="C123" i="5" s="1"/>
  <c r="H122" i="5"/>
  <c r="P124" i="5"/>
  <c r="Q124" i="5"/>
  <c r="R124" i="5"/>
  <c r="O125" i="5" s="1"/>
  <c r="S124" i="5"/>
  <c r="T124" i="5"/>
  <c r="E96" i="3"/>
  <c r="F96" i="3" s="1"/>
  <c r="I96" i="3" s="1"/>
  <c r="J96" i="3"/>
  <c r="J125" i="5" l="1"/>
  <c r="K125" i="5"/>
  <c r="C185" i="3"/>
  <c r="D185" i="3"/>
  <c r="L185" i="3" s="1"/>
  <c r="G185" i="3"/>
  <c r="B186" i="3"/>
  <c r="B186" i="5"/>
  <c r="E123" i="5"/>
  <c r="D123" i="5"/>
  <c r="Q125" i="5"/>
  <c r="P125" i="5"/>
  <c r="E97" i="3"/>
  <c r="F97" i="3" s="1"/>
  <c r="H185" i="3" l="1"/>
  <c r="K185" i="3" s="1"/>
  <c r="N125" i="5"/>
  <c r="L125" i="5"/>
  <c r="I126" i="5" s="1"/>
  <c r="M125" i="5"/>
  <c r="C186" i="3"/>
  <c r="D186" i="3"/>
  <c r="G186" i="3"/>
  <c r="B187" i="3"/>
  <c r="B187" i="5"/>
  <c r="F123" i="5"/>
  <c r="C124" i="5" s="1"/>
  <c r="H123" i="5"/>
  <c r="G123" i="5"/>
  <c r="T125" i="5"/>
  <c r="S125" i="5"/>
  <c r="R125" i="5"/>
  <c r="O126" i="5" s="1"/>
  <c r="I97" i="3"/>
  <c r="J97" i="3"/>
  <c r="J126" i="5" l="1"/>
  <c r="K126" i="5"/>
  <c r="C187" i="3"/>
  <c r="D187" i="3"/>
  <c r="G187" i="3"/>
  <c r="H187" i="3" s="1"/>
  <c r="K187" i="3" s="1"/>
  <c r="L187" i="3"/>
  <c r="B188" i="3"/>
  <c r="B188" i="5"/>
  <c r="D124" i="5"/>
  <c r="E124" i="5"/>
  <c r="F124" i="5"/>
  <c r="C125" i="5" s="1"/>
  <c r="G124" i="5"/>
  <c r="H124" i="5"/>
  <c r="P126" i="5"/>
  <c r="Q126" i="5"/>
  <c r="S126" i="5" s="1"/>
  <c r="R126" i="5"/>
  <c r="O127" i="5" s="1"/>
  <c r="T126" i="5"/>
  <c r="E98" i="3"/>
  <c r="F98" i="3" s="1"/>
  <c r="H186" i="3"/>
  <c r="K186" i="3" s="1"/>
  <c r="L186" i="3"/>
  <c r="L126" i="5" l="1"/>
  <c r="I127" i="5" s="1"/>
  <c r="N126" i="5"/>
  <c r="M126" i="5"/>
  <c r="C188" i="3"/>
  <c r="D188" i="3"/>
  <c r="L188" i="3" s="1"/>
  <c r="G188" i="3"/>
  <c r="B189" i="3"/>
  <c r="B189" i="5"/>
  <c r="E125" i="5"/>
  <c r="D125" i="5"/>
  <c r="Q127" i="5"/>
  <c r="P127" i="5"/>
  <c r="I98" i="3"/>
  <c r="J98" i="3"/>
  <c r="K127" i="5" l="1"/>
  <c r="J127" i="5"/>
  <c r="H188" i="3"/>
  <c r="K188" i="3" s="1"/>
  <c r="R127" i="5"/>
  <c r="O128" i="5" s="1"/>
  <c r="T127" i="5"/>
  <c r="S127" i="5"/>
  <c r="C189" i="3"/>
  <c r="D189" i="3"/>
  <c r="G189" i="3"/>
  <c r="H189" i="3" s="1"/>
  <c r="K189" i="3" s="1"/>
  <c r="L189" i="3"/>
  <c r="B190" i="3"/>
  <c r="B190" i="5"/>
  <c r="Q128" i="5"/>
  <c r="P128" i="5"/>
  <c r="E99" i="3"/>
  <c r="F99" i="3" s="1"/>
  <c r="H125" i="5"/>
  <c r="G125" i="5"/>
  <c r="F125" i="5"/>
  <c r="C126" i="5" s="1"/>
  <c r="M127" i="5" l="1"/>
  <c r="L127" i="5"/>
  <c r="I128" i="5" s="1"/>
  <c r="N127" i="5"/>
  <c r="C190" i="3"/>
  <c r="D190" i="3"/>
  <c r="G190" i="3"/>
  <c r="B191" i="3"/>
  <c r="B191" i="5"/>
  <c r="D126" i="5"/>
  <c r="E126" i="5"/>
  <c r="G126" i="5" s="1"/>
  <c r="F126" i="5"/>
  <c r="C127" i="5" s="1"/>
  <c r="H126" i="5"/>
  <c r="T128" i="5"/>
  <c r="S128" i="5"/>
  <c r="R128" i="5"/>
  <c r="O129" i="5" s="1"/>
  <c r="I99" i="3"/>
  <c r="J99" i="3"/>
  <c r="K128" i="5" l="1"/>
  <c r="J128" i="5"/>
  <c r="C191" i="3"/>
  <c r="D191" i="3"/>
  <c r="G191" i="3"/>
  <c r="H191" i="3" s="1"/>
  <c r="K191" i="3" s="1"/>
  <c r="L191" i="3"/>
  <c r="B192" i="3"/>
  <c r="B192" i="5"/>
  <c r="E127" i="5"/>
  <c r="D127" i="5"/>
  <c r="P129" i="5"/>
  <c r="R129" i="5" s="1"/>
  <c r="O130" i="5" s="1"/>
  <c r="Q129" i="5"/>
  <c r="S129" i="5" s="1"/>
  <c r="T129" i="5"/>
  <c r="E100" i="3"/>
  <c r="F100" i="3" s="1"/>
  <c r="H190" i="3"/>
  <c r="K190" i="3" s="1"/>
  <c r="L190" i="3"/>
  <c r="M128" i="5" l="1"/>
  <c r="N128" i="5"/>
  <c r="L128" i="5"/>
  <c r="I129" i="5" s="1"/>
  <c r="C192" i="3"/>
  <c r="D192" i="3"/>
  <c r="G192" i="3"/>
  <c r="B193" i="3"/>
  <c r="B193" i="5"/>
  <c r="Q130" i="5"/>
  <c r="P130" i="5"/>
  <c r="T130" i="5" s="1"/>
  <c r="G127" i="5"/>
  <c r="F127" i="5"/>
  <c r="C128" i="5" s="1"/>
  <c r="H127" i="5"/>
  <c r="I100" i="3"/>
  <c r="J100" i="3"/>
  <c r="K129" i="5" l="1"/>
  <c r="J129" i="5"/>
  <c r="C193" i="3"/>
  <c r="D193" i="3"/>
  <c r="G193" i="3"/>
  <c r="H193" i="3" s="1"/>
  <c r="K193" i="3" s="1"/>
  <c r="L193" i="3"/>
  <c r="B194" i="3"/>
  <c r="B194" i="5"/>
  <c r="D128" i="5"/>
  <c r="E128" i="5"/>
  <c r="F128" i="5"/>
  <c r="C129" i="5" s="1"/>
  <c r="G128" i="5"/>
  <c r="H128" i="5"/>
  <c r="E101" i="3"/>
  <c r="F101" i="3" s="1"/>
  <c r="H192" i="3"/>
  <c r="K192" i="3" s="1"/>
  <c r="L192" i="3"/>
  <c r="S130" i="5"/>
  <c r="R130" i="5"/>
  <c r="O131" i="5" s="1"/>
  <c r="M129" i="5" l="1"/>
  <c r="N129" i="5"/>
  <c r="L129" i="5"/>
  <c r="I130" i="5" s="1"/>
  <c r="C194" i="3"/>
  <c r="D194" i="3"/>
  <c r="G194" i="3"/>
  <c r="H194" i="3" s="1"/>
  <c r="K194" i="3" s="1"/>
  <c r="L194" i="3"/>
  <c r="B195" i="3"/>
  <c r="B195" i="5"/>
  <c r="H129" i="5"/>
  <c r="G129" i="5"/>
  <c r="E129" i="5"/>
  <c r="D129" i="5"/>
  <c r="F129" i="5" s="1"/>
  <c r="C130" i="5" s="1"/>
  <c r="P131" i="5"/>
  <c r="T131" i="5" s="1"/>
  <c r="Q131" i="5"/>
  <c r="R131" i="5"/>
  <c r="O132" i="5" s="1"/>
  <c r="S131" i="5"/>
  <c r="I101" i="3"/>
  <c r="J101" i="3"/>
  <c r="K130" i="5" l="1"/>
  <c r="M130" i="5" s="1"/>
  <c r="J130" i="5"/>
  <c r="L130" i="5"/>
  <c r="I131" i="5" s="1"/>
  <c r="N130" i="5"/>
  <c r="C195" i="3"/>
  <c r="D195" i="3"/>
  <c r="L195" i="3" s="1"/>
  <c r="G195" i="3"/>
  <c r="H195" i="3" s="1"/>
  <c r="K195" i="3" s="1"/>
  <c r="B196" i="3"/>
  <c r="B196" i="5"/>
  <c r="E130" i="5"/>
  <c r="D130" i="5"/>
  <c r="H130" i="5" s="1"/>
  <c r="Q132" i="5"/>
  <c r="P132" i="5"/>
  <c r="E102" i="3"/>
  <c r="F102" i="3" s="1"/>
  <c r="L131" i="5" l="1"/>
  <c r="I132" i="5" s="1"/>
  <c r="N131" i="5"/>
  <c r="K131" i="5"/>
  <c r="J131" i="5"/>
  <c r="C196" i="3"/>
  <c r="D196" i="3"/>
  <c r="L196" i="3" s="1"/>
  <c r="G196" i="3"/>
  <c r="B197" i="3"/>
  <c r="B197" i="5"/>
  <c r="G130" i="5"/>
  <c r="F130" i="5"/>
  <c r="C131" i="5" s="1"/>
  <c r="T132" i="5"/>
  <c r="S132" i="5"/>
  <c r="R132" i="5"/>
  <c r="O133" i="5" s="1"/>
  <c r="I102" i="3"/>
  <c r="J102" i="3"/>
  <c r="J132" i="5" l="1"/>
  <c r="K132" i="5"/>
  <c r="M131" i="5"/>
  <c r="H196" i="3"/>
  <c r="K196" i="3" s="1"/>
  <c r="C197" i="3"/>
  <c r="D197" i="3"/>
  <c r="G197" i="3"/>
  <c r="B198" i="3"/>
  <c r="B198" i="5"/>
  <c r="D131" i="5"/>
  <c r="E131" i="5"/>
  <c r="F131" i="5"/>
  <c r="C132" i="5" s="1"/>
  <c r="G131" i="5"/>
  <c r="H131" i="5"/>
  <c r="P133" i="5"/>
  <c r="Q133" i="5"/>
  <c r="S133" i="5" s="1"/>
  <c r="R133" i="5"/>
  <c r="O134" i="5" s="1"/>
  <c r="T133" i="5"/>
  <c r="E103" i="3"/>
  <c r="F103" i="3" s="1"/>
  <c r="L132" i="5" l="1"/>
  <c r="I133" i="5" s="1"/>
  <c r="N132" i="5"/>
  <c r="M132" i="5"/>
  <c r="C198" i="3"/>
  <c r="D198" i="3"/>
  <c r="G198" i="3"/>
  <c r="B199" i="3"/>
  <c r="B199" i="5"/>
  <c r="E132" i="5"/>
  <c r="D132" i="5"/>
  <c r="Q134" i="5"/>
  <c r="P134" i="5"/>
  <c r="H197" i="3"/>
  <c r="K197" i="3" s="1"/>
  <c r="L197" i="3"/>
  <c r="I103" i="3"/>
  <c r="J103" i="3"/>
  <c r="J133" i="5" l="1"/>
  <c r="K133" i="5"/>
  <c r="M133" i="5" s="1"/>
  <c r="L133" i="5"/>
  <c r="I134" i="5" s="1"/>
  <c r="N133" i="5"/>
  <c r="C199" i="3"/>
  <c r="D199" i="3"/>
  <c r="L199" i="3" s="1"/>
  <c r="G199" i="3"/>
  <c r="H199" i="3" s="1"/>
  <c r="K199" i="3" s="1"/>
  <c r="B200" i="3"/>
  <c r="B200" i="5"/>
  <c r="E104" i="3"/>
  <c r="F104" i="3" s="1"/>
  <c r="L198" i="3"/>
  <c r="H198" i="3"/>
  <c r="K198" i="3" s="1"/>
  <c r="F132" i="5"/>
  <c r="C133" i="5" s="1"/>
  <c r="H132" i="5"/>
  <c r="G132" i="5"/>
  <c r="T134" i="5"/>
  <c r="R134" i="5"/>
  <c r="O135" i="5" s="1"/>
  <c r="S134" i="5"/>
  <c r="J134" i="5" l="1"/>
  <c r="K134" i="5"/>
  <c r="C200" i="3"/>
  <c r="D200" i="3"/>
  <c r="G200" i="3"/>
  <c r="H200" i="3" s="1"/>
  <c r="K200" i="3" s="1"/>
  <c r="B201" i="3"/>
  <c r="B201" i="5"/>
  <c r="D133" i="5"/>
  <c r="H133" i="5" s="1"/>
  <c r="E133" i="5"/>
  <c r="G133" i="5" s="1"/>
  <c r="F133" i="5"/>
  <c r="C134" i="5" s="1"/>
  <c r="P135" i="5"/>
  <c r="Q135" i="5"/>
  <c r="I104" i="3"/>
  <c r="J104" i="3"/>
  <c r="L134" i="5" l="1"/>
  <c r="I135" i="5" s="1"/>
  <c r="M134" i="5"/>
  <c r="N134" i="5"/>
  <c r="R135" i="5"/>
  <c r="O136" i="5" s="1"/>
  <c r="S135" i="5"/>
  <c r="T135" i="5"/>
  <c r="C201" i="3"/>
  <c r="D201" i="3"/>
  <c r="L201" i="3" s="1"/>
  <c r="G201" i="3"/>
  <c r="B202" i="3"/>
  <c r="B202" i="5"/>
  <c r="E134" i="5"/>
  <c r="D134" i="5"/>
  <c r="E105" i="3"/>
  <c r="F105" i="3" s="1"/>
  <c r="L200" i="3"/>
  <c r="L135" i="5" l="1"/>
  <c r="I136" i="5" s="1"/>
  <c r="M135" i="5"/>
  <c r="N135" i="5"/>
  <c r="J135" i="5"/>
  <c r="K135" i="5"/>
  <c r="Q136" i="5"/>
  <c r="P136" i="5"/>
  <c r="C202" i="3"/>
  <c r="D202" i="3"/>
  <c r="G202" i="3"/>
  <c r="H202" i="3" s="1"/>
  <c r="K202" i="3" s="1"/>
  <c r="L202" i="3"/>
  <c r="B203" i="3"/>
  <c r="B203" i="5"/>
  <c r="H201" i="3"/>
  <c r="K201" i="3" s="1"/>
  <c r="F134" i="5"/>
  <c r="C135" i="5" s="1"/>
  <c r="G134" i="5"/>
  <c r="H134" i="5"/>
  <c r="R136" i="5"/>
  <c r="O137" i="5" s="1"/>
  <c r="T136" i="5"/>
  <c r="S136" i="5"/>
  <c r="I105" i="3"/>
  <c r="J105" i="3"/>
  <c r="J136" i="5" l="1"/>
  <c r="K136" i="5"/>
  <c r="L136" i="5"/>
  <c r="I137" i="5" s="1"/>
  <c r="M136" i="5"/>
  <c r="N136" i="5"/>
  <c r="C203" i="3"/>
  <c r="D203" i="3"/>
  <c r="G203" i="3"/>
  <c r="H203" i="3" s="1"/>
  <c r="K203" i="3" s="1"/>
  <c r="L203" i="3"/>
  <c r="B204" i="3"/>
  <c r="B204" i="5"/>
  <c r="D135" i="5"/>
  <c r="E135" i="5"/>
  <c r="F135" i="5"/>
  <c r="C136" i="5" s="1"/>
  <c r="G135" i="5"/>
  <c r="H135" i="5"/>
  <c r="P137" i="5"/>
  <c r="Q137" i="5"/>
  <c r="E106" i="3"/>
  <c r="F106" i="3" s="1"/>
  <c r="J137" i="5" l="1"/>
  <c r="K137" i="5"/>
  <c r="S137" i="5"/>
  <c r="R137" i="5"/>
  <c r="O138" i="5" s="1"/>
  <c r="T137" i="5"/>
  <c r="C204" i="3"/>
  <c r="D204" i="3"/>
  <c r="L204" i="3" s="1"/>
  <c r="G204" i="3"/>
  <c r="H204" i="3" s="1"/>
  <c r="K204" i="3" s="1"/>
  <c r="B205" i="3"/>
  <c r="B205" i="5"/>
  <c r="E136" i="5"/>
  <c r="D136" i="5"/>
  <c r="I106" i="3"/>
  <c r="J106" i="3"/>
  <c r="N137" i="5" l="1"/>
  <c r="M137" i="5"/>
  <c r="L137" i="5"/>
  <c r="I138" i="5" s="1"/>
  <c r="P138" i="5"/>
  <c r="Q138" i="5"/>
  <c r="C205" i="3"/>
  <c r="D205" i="3"/>
  <c r="H205" i="3" s="1"/>
  <c r="K205" i="3" s="1"/>
  <c r="G205" i="3"/>
  <c r="L205" i="3"/>
  <c r="B206" i="3"/>
  <c r="B206" i="5"/>
  <c r="E107" i="3"/>
  <c r="F107" i="3" s="1"/>
  <c r="H136" i="5"/>
  <c r="G136" i="5"/>
  <c r="F136" i="5"/>
  <c r="C137" i="5" s="1"/>
  <c r="J138" i="5" l="1"/>
  <c r="K138" i="5"/>
  <c r="M138" i="5" s="1"/>
  <c r="N138" i="5"/>
  <c r="L138" i="5"/>
  <c r="I139" i="5" s="1"/>
  <c r="T138" i="5"/>
  <c r="S138" i="5"/>
  <c r="R138" i="5"/>
  <c r="O139" i="5" s="1"/>
  <c r="Q139" i="5" s="1"/>
  <c r="C206" i="3"/>
  <c r="D206" i="3"/>
  <c r="G206" i="3"/>
  <c r="B207" i="3"/>
  <c r="B207" i="5"/>
  <c r="D137" i="5"/>
  <c r="E137" i="5"/>
  <c r="G137" i="5" s="1"/>
  <c r="F137" i="5"/>
  <c r="C138" i="5" s="1"/>
  <c r="H137" i="5"/>
  <c r="P139" i="5"/>
  <c r="I107" i="3"/>
  <c r="J107" i="3"/>
  <c r="N139" i="5" l="1"/>
  <c r="L139" i="5"/>
  <c r="I140" i="5" s="1"/>
  <c r="K139" i="5"/>
  <c r="M139" i="5" s="1"/>
  <c r="J139" i="5"/>
  <c r="C207" i="3"/>
  <c r="D207" i="3"/>
  <c r="G207" i="3"/>
  <c r="L207" i="3"/>
  <c r="B208" i="3"/>
  <c r="B208" i="5"/>
  <c r="E138" i="5"/>
  <c r="D138" i="5"/>
  <c r="E108" i="3"/>
  <c r="F108" i="3" s="1"/>
  <c r="H206" i="3"/>
  <c r="K206" i="3" s="1"/>
  <c r="L206" i="3"/>
  <c r="R139" i="5"/>
  <c r="O140" i="5" s="1"/>
  <c r="S139" i="5"/>
  <c r="T139" i="5"/>
  <c r="J140" i="5" l="1"/>
  <c r="K140" i="5"/>
  <c r="M140" i="5" s="1"/>
  <c r="L140" i="5"/>
  <c r="I141" i="5" s="1"/>
  <c r="N140" i="5"/>
  <c r="C208" i="3"/>
  <c r="D208" i="3"/>
  <c r="G208" i="3"/>
  <c r="B209" i="3"/>
  <c r="B209" i="5"/>
  <c r="P140" i="5"/>
  <c r="T140" i="5" s="1"/>
  <c r="Q140" i="5"/>
  <c r="R140" i="5"/>
  <c r="O141" i="5" s="1"/>
  <c r="S140" i="5"/>
  <c r="H207" i="3"/>
  <c r="K207" i="3" s="1"/>
  <c r="G138" i="5"/>
  <c r="H138" i="5"/>
  <c r="F138" i="5"/>
  <c r="C139" i="5" s="1"/>
  <c r="I108" i="3"/>
  <c r="J108" i="3"/>
  <c r="K141" i="5" l="1"/>
  <c r="J141" i="5"/>
  <c r="C209" i="3"/>
  <c r="D209" i="3"/>
  <c r="G209" i="3"/>
  <c r="H209" i="3" s="1"/>
  <c r="K209" i="3" s="1"/>
  <c r="L209" i="3"/>
  <c r="B210" i="3"/>
  <c r="B210" i="5"/>
  <c r="T141" i="5"/>
  <c r="Q141" i="5"/>
  <c r="P141" i="5"/>
  <c r="D139" i="5"/>
  <c r="E139" i="5"/>
  <c r="F139" i="5"/>
  <c r="C140" i="5" s="1"/>
  <c r="G139" i="5"/>
  <c r="H139" i="5"/>
  <c r="E109" i="3"/>
  <c r="F109" i="3" s="1"/>
  <c r="H208" i="3"/>
  <c r="K208" i="3" s="1"/>
  <c r="L208" i="3"/>
  <c r="L141" i="5" l="1"/>
  <c r="I142" i="5" s="1"/>
  <c r="M141" i="5"/>
  <c r="N141" i="5"/>
  <c r="R141" i="5"/>
  <c r="O142" i="5" s="1"/>
  <c r="S141" i="5"/>
  <c r="C210" i="3"/>
  <c r="D210" i="3"/>
  <c r="G210" i="3"/>
  <c r="B211" i="3"/>
  <c r="B211" i="5"/>
  <c r="Q142" i="5"/>
  <c r="P142" i="5"/>
  <c r="E140" i="5"/>
  <c r="D140" i="5"/>
  <c r="I109" i="3"/>
  <c r="J109" i="3"/>
  <c r="J142" i="5" l="1"/>
  <c r="L142" i="5" s="1"/>
  <c r="I143" i="5" s="1"/>
  <c r="K142" i="5"/>
  <c r="M142" i="5" s="1"/>
  <c r="N142" i="5"/>
  <c r="C211" i="3"/>
  <c r="D211" i="3"/>
  <c r="L211" i="3" s="1"/>
  <c r="G211" i="3"/>
  <c r="B212" i="3"/>
  <c r="B212" i="5"/>
  <c r="E110" i="3"/>
  <c r="F110" i="3" s="1"/>
  <c r="H210" i="3"/>
  <c r="K210" i="3" s="1"/>
  <c r="L210" i="3"/>
  <c r="T142" i="5"/>
  <c r="S142" i="5"/>
  <c r="R142" i="5"/>
  <c r="O143" i="5" s="1"/>
  <c r="H140" i="5"/>
  <c r="G140" i="5"/>
  <c r="F140" i="5"/>
  <c r="C141" i="5" s="1"/>
  <c r="J143" i="5" l="1"/>
  <c r="K143" i="5"/>
  <c r="H211" i="3"/>
  <c r="K211" i="3" s="1"/>
  <c r="C212" i="3"/>
  <c r="D212" i="3"/>
  <c r="G212" i="3"/>
  <c r="B213" i="3"/>
  <c r="B213" i="5"/>
  <c r="P143" i="5"/>
  <c r="Q143" i="5"/>
  <c r="R143" i="5"/>
  <c r="O144" i="5" s="1"/>
  <c r="S143" i="5"/>
  <c r="T143" i="5"/>
  <c r="D141" i="5"/>
  <c r="E141" i="5"/>
  <c r="G141" i="5" s="1"/>
  <c r="F141" i="5"/>
  <c r="C142" i="5" s="1"/>
  <c r="H141" i="5"/>
  <c r="I110" i="3"/>
  <c r="J110" i="3"/>
  <c r="M143" i="5" l="1"/>
  <c r="L143" i="5"/>
  <c r="I144" i="5" s="1"/>
  <c r="N143" i="5"/>
  <c r="C213" i="3"/>
  <c r="D213" i="3"/>
  <c r="G213" i="3"/>
  <c r="B214" i="3"/>
  <c r="B214" i="5"/>
  <c r="Q144" i="5"/>
  <c r="P144" i="5"/>
  <c r="E142" i="5"/>
  <c r="D142" i="5"/>
  <c r="E111" i="3"/>
  <c r="F111" i="3" s="1"/>
  <c r="L212" i="3"/>
  <c r="H212" i="3"/>
  <c r="K212" i="3" s="1"/>
  <c r="J144" i="5" l="1"/>
  <c r="L144" i="5" s="1"/>
  <c r="I145" i="5" s="1"/>
  <c r="K144" i="5"/>
  <c r="M144" i="5"/>
  <c r="N144" i="5"/>
  <c r="G142" i="5"/>
  <c r="L213" i="3"/>
  <c r="H213" i="3"/>
  <c r="K213" i="3" s="1"/>
  <c r="H142" i="5"/>
  <c r="F142" i="5"/>
  <c r="C143" i="5" s="1"/>
  <c r="C214" i="3"/>
  <c r="D214" i="3"/>
  <c r="G214" i="3"/>
  <c r="H214" i="3" s="1"/>
  <c r="K214" i="3" s="1"/>
  <c r="L214" i="3"/>
  <c r="B215" i="3"/>
  <c r="B215" i="5"/>
  <c r="E143" i="5"/>
  <c r="D143" i="5"/>
  <c r="R144" i="5"/>
  <c r="O145" i="5" s="1"/>
  <c r="T144" i="5"/>
  <c r="S144" i="5"/>
  <c r="I111" i="3"/>
  <c r="J111" i="3"/>
  <c r="J145" i="5" l="1"/>
  <c r="K145" i="5"/>
  <c r="C215" i="3"/>
  <c r="D215" i="3"/>
  <c r="G215" i="3"/>
  <c r="H215" i="3" s="1"/>
  <c r="K215" i="3" s="1"/>
  <c r="L215" i="3"/>
  <c r="B216" i="3"/>
  <c r="B216" i="5"/>
  <c r="P145" i="5"/>
  <c r="Q145" i="5"/>
  <c r="S145" i="5" s="1"/>
  <c r="R145" i="5"/>
  <c r="O146" i="5" s="1"/>
  <c r="T145" i="5"/>
  <c r="E112" i="3"/>
  <c r="F112" i="3" s="1"/>
  <c r="H143" i="5"/>
  <c r="G143" i="5"/>
  <c r="F143" i="5"/>
  <c r="C144" i="5" s="1"/>
  <c r="L145" i="5" l="1"/>
  <c r="I146" i="5" s="1"/>
  <c r="N145" i="5"/>
  <c r="M145" i="5"/>
  <c r="C216" i="3"/>
  <c r="D216" i="3"/>
  <c r="L216" i="3" s="1"/>
  <c r="G216" i="3"/>
  <c r="B217" i="3"/>
  <c r="B217" i="5"/>
  <c r="Q146" i="5"/>
  <c r="P146" i="5"/>
  <c r="D144" i="5"/>
  <c r="H144" i="5" s="1"/>
  <c r="E144" i="5"/>
  <c r="F144" i="5"/>
  <c r="C145" i="5" s="1"/>
  <c r="G144" i="5"/>
  <c r="I112" i="3"/>
  <c r="J112" i="3"/>
  <c r="K146" i="5" l="1"/>
  <c r="J146" i="5"/>
  <c r="M146" i="5" s="1"/>
  <c r="N146" i="5"/>
  <c r="L146" i="5"/>
  <c r="I147" i="5" s="1"/>
  <c r="H216" i="3"/>
  <c r="K216" i="3" s="1"/>
  <c r="C217" i="3"/>
  <c r="D217" i="3"/>
  <c r="G217" i="3"/>
  <c r="H217" i="3" s="1"/>
  <c r="K217" i="3" s="1"/>
  <c r="L217" i="3"/>
  <c r="B218" i="3"/>
  <c r="B218" i="5"/>
  <c r="E145" i="5"/>
  <c r="D145" i="5"/>
  <c r="E113" i="3"/>
  <c r="F113" i="3" s="1"/>
  <c r="T146" i="5"/>
  <c r="S146" i="5"/>
  <c r="R146" i="5"/>
  <c r="O147" i="5" s="1"/>
  <c r="K147" i="5" l="1"/>
  <c r="J147" i="5"/>
  <c r="C218" i="3"/>
  <c r="D218" i="3"/>
  <c r="G218" i="3"/>
  <c r="B219" i="3"/>
  <c r="B219" i="5"/>
  <c r="P147" i="5"/>
  <c r="Q147" i="5"/>
  <c r="G145" i="5"/>
  <c r="H145" i="5"/>
  <c r="F145" i="5"/>
  <c r="C146" i="5" s="1"/>
  <c r="I113" i="3"/>
  <c r="J113" i="3"/>
  <c r="N147" i="5" l="1"/>
  <c r="M147" i="5"/>
  <c r="L147" i="5"/>
  <c r="I148" i="5" s="1"/>
  <c r="C219" i="3"/>
  <c r="D219" i="3"/>
  <c r="L219" i="3" s="1"/>
  <c r="G219" i="3"/>
  <c r="B220" i="3"/>
  <c r="B220" i="5"/>
  <c r="D146" i="5"/>
  <c r="E146" i="5"/>
  <c r="G146" i="5" s="1"/>
  <c r="F146" i="5"/>
  <c r="C147" i="5" s="1"/>
  <c r="H146" i="5"/>
  <c r="E114" i="3"/>
  <c r="F114" i="3" s="1"/>
  <c r="L218" i="3"/>
  <c r="H218" i="3"/>
  <c r="K218" i="3" s="1"/>
  <c r="R147" i="5"/>
  <c r="O148" i="5" s="1"/>
  <c r="T147" i="5"/>
  <c r="S147" i="5"/>
  <c r="K148" i="5" l="1"/>
  <c r="J148" i="5"/>
  <c r="H219" i="3"/>
  <c r="K219" i="3" s="1"/>
  <c r="C220" i="3"/>
  <c r="D220" i="3"/>
  <c r="G220" i="3"/>
  <c r="H220" i="3" s="1"/>
  <c r="K220" i="3" s="1"/>
  <c r="L220" i="3"/>
  <c r="B221" i="3"/>
  <c r="B221" i="5"/>
  <c r="E147" i="5"/>
  <c r="D147" i="5"/>
  <c r="P148" i="5"/>
  <c r="Q148" i="5"/>
  <c r="I114" i="3"/>
  <c r="J114" i="3"/>
  <c r="L148" i="5" l="1"/>
  <c r="I149" i="5" s="1"/>
  <c r="M148" i="5"/>
  <c r="N148" i="5"/>
  <c r="C221" i="3"/>
  <c r="D221" i="3"/>
  <c r="G221" i="3"/>
  <c r="H221" i="3" s="1"/>
  <c r="K221" i="3" s="1"/>
  <c r="L221" i="3"/>
  <c r="B222" i="3"/>
  <c r="B222" i="5"/>
  <c r="E115" i="3"/>
  <c r="F115" i="3" s="1"/>
  <c r="H147" i="5"/>
  <c r="G147" i="5"/>
  <c r="F147" i="5"/>
  <c r="C148" i="5" s="1"/>
  <c r="R148" i="5"/>
  <c r="O149" i="5" s="1"/>
  <c r="S148" i="5"/>
  <c r="T148" i="5"/>
  <c r="J149" i="5" l="1"/>
  <c r="K149" i="5"/>
  <c r="C222" i="3"/>
  <c r="D222" i="3"/>
  <c r="G222" i="3"/>
  <c r="B223" i="3"/>
  <c r="B223" i="5"/>
  <c r="D148" i="5"/>
  <c r="E148" i="5"/>
  <c r="G148" i="5" s="1"/>
  <c r="P149" i="5"/>
  <c r="Q149" i="5"/>
  <c r="R149" i="5"/>
  <c r="O150" i="5" s="1"/>
  <c r="I115" i="3"/>
  <c r="J115" i="3"/>
  <c r="N149" i="5" l="1"/>
  <c r="L149" i="5"/>
  <c r="I150" i="5" s="1"/>
  <c r="M149" i="5"/>
  <c r="F148" i="5"/>
  <c r="C149" i="5" s="1"/>
  <c r="H148" i="5"/>
  <c r="T149" i="5"/>
  <c r="S149" i="5"/>
  <c r="C223" i="3"/>
  <c r="D223" i="3"/>
  <c r="G223" i="3"/>
  <c r="H223" i="3"/>
  <c r="K223" i="3"/>
  <c r="L223" i="3"/>
  <c r="B224" i="3"/>
  <c r="B224" i="5"/>
  <c r="E149" i="5"/>
  <c r="D149" i="5"/>
  <c r="Q150" i="5"/>
  <c r="P150" i="5"/>
  <c r="E116" i="3"/>
  <c r="F116" i="3" s="1"/>
  <c r="H222" i="3"/>
  <c r="K222" i="3" s="1"/>
  <c r="L222" i="3"/>
  <c r="K150" i="5" l="1"/>
  <c r="J150" i="5"/>
  <c r="C224" i="3"/>
  <c r="D224" i="3"/>
  <c r="G224" i="3"/>
  <c r="B225" i="3"/>
  <c r="B225" i="5"/>
  <c r="H149" i="5"/>
  <c r="G149" i="5"/>
  <c r="F149" i="5"/>
  <c r="C150" i="5" s="1"/>
  <c r="R150" i="5"/>
  <c r="O151" i="5" s="1"/>
  <c r="T150" i="5"/>
  <c r="S150" i="5"/>
  <c r="I116" i="3"/>
  <c r="J116" i="3"/>
  <c r="N150" i="5" l="1"/>
  <c r="L150" i="5"/>
  <c r="I151" i="5" s="1"/>
  <c r="M150" i="5"/>
  <c r="C225" i="3"/>
  <c r="D225" i="3"/>
  <c r="G225" i="3"/>
  <c r="H225" i="3" s="1"/>
  <c r="K225" i="3" s="1"/>
  <c r="L225" i="3"/>
  <c r="B226" i="3"/>
  <c r="B226" i="5"/>
  <c r="D150" i="5"/>
  <c r="E150" i="5"/>
  <c r="G150" i="5" s="1"/>
  <c r="F150" i="5"/>
  <c r="C151" i="5" s="1"/>
  <c r="H150" i="5"/>
  <c r="P151" i="5"/>
  <c r="T151" i="5" s="1"/>
  <c r="Q151" i="5"/>
  <c r="R151" i="5"/>
  <c r="O152" i="5" s="1"/>
  <c r="S151" i="5"/>
  <c r="E117" i="3"/>
  <c r="F117" i="3" s="1"/>
  <c r="H224" i="3"/>
  <c r="K224" i="3" s="1"/>
  <c r="L224" i="3"/>
  <c r="J151" i="5" l="1"/>
  <c r="K151" i="5"/>
  <c r="C226" i="3"/>
  <c r="D226" i="3"/>
  <c r="L226" i="3" s="1"/>
  <c r="G226" i="3"/>
  <c r="B227" i="3"/>
  <c r="B227" i="5"/>
  <c r="E151" i="5"/>
  <c r="D151" i="5"/>
  <c r="Q152" i="5"/>
  <c r="P152" i="5"/>
  <c r="I117" i="3"/>
  <c r="J117" i="3"/>
  <c r="M151" i="5" l="1"/>
  <c r="H226" i="3"/>
  <c r="K226" i="3" s="1"/>
  <c r="G151" i="5"/>
  <c r="L151" i="5"/>
  <c r="I152" i="5" s="1"/>
  <c r="N151" i="5"/>
  <c r="H151" i="5"/>
  <c r="F151" i="5"/>
  <c r="C152" i="5" s="1"/>
  <c r="C227" i="3"/>
  <c r="D227" i="3"/>
  <c r="G227" i="3"/>
  <c r="B228" i="3"/>
  <c r="B228" i="5"/>
  <c r="E118" i="3"/>
  <c r="F118" i="3" s="1"/>
  <c r="T152" i="5"/>
  <c r="S152" i="5"/>
  <c r="R152" i="5"/>
  <c r="O153" i="5" s="1"/>
  <c r="J152" i="5" l="1"/>
  <c r="K152" i="5"/>
  <c r="N152" i="5"/>
  <c r="M152" i="5"/>
  <c r="L152" i="5"/>
  <c r="I153" i="5" s="1"/>
  <c r="E152" i="5"/>
  <c r="D152" i="5"/>
  <c r="L227" i="3"/>
  <c r="H227" i="3"/>
  <c r="K227" i="3" s="1"/>
  <c r="C228" i="3"/>
  <c r="D228" i="3"/>
  <c r="G228" i="3"/>
  <c r="H228" i="3" s="1"/>
  <c r="K228" i="3" s="1"/>
  <c r="L228" i="3"/>
  <c r="B229" i="3"/>
  <c r="B229" i="5"/>
  <c r="P153" i="5"/>
  <c r="Q153" i="5"/>
  <c r="R153" i="5"/>
  <c r="O154" i="5" s="1"/>
  <c r="H152" i="5"/>
  <c r="G152" i="5"/>
  <c r="F152" i="5"/>
  <c r="C153" i="5" s="1"/>
  <c r="I118" i="3"/>
  <c r="J118" i="3"/>
  <c r="J153" i="5" l="1"/>
  <c r="K153" i="5"/>
  <c r="N153" i="5"/>
  <c r="M153" i="5"/>
  <c r="L153" i="5"/>
  <c r="I154" i="5" s="1"/>
  <c r="C229" i="3"/>
  <c r="D229" i="3"/>
  <c r="G229" i="3"/>
  <c r="B230" i="3"/>
  <c r="B230" i="5"/>
  <c r="Q154" i="5"/>
  <c r="S154" i="5" s="1"/>
  <c r="P154" i="5"/>
  <c r="D153" i="5"/>
  <c r="E153" i="5"/>
  <c r="G153" i="5" s="1"/>
  <c r="F153" i="5"/>
  <c r="C154" i="5" s="1"/>
  <c r="H153" i="5"/>
  <c r="E119" i="3"/>
  <c r="F119" i="3" s="1"/>
  <c r="S153" i="5"/>
  <c r="T153" i="5"/>
  <c r="K154" i="5" l="1"/>
  <c r="J154" i="5"/>
  <c r="H229" i="3"/>
  <c r="K229" i="3" s="1"/>
  <c r="L229" i="3"/>
  <c r="C230" i="3"/>
  <c r="D230" i="3"/>
  <c r="G230" i="3"/>
  <c r="H230" i="3" s="1"/>
  <c r="K230" i="3" s="1"/>
  <c r="L230" i="3"/>
  <c r="B231" i="3"/>
  <c r="B231" i="5"/>
  <c r="D154" i="5"/>
  <c r="H154" i="5" s="1"/>
  <c r="F154" i="5"/>
  <c r="C155" i="5" s="1"/>
  <c r="E154" i="5"/>
  <c r="G154" i="5" s="1"/>
  <c r="R154" i="5"/>
  <c r="O155" i="5" s="1"/>
  <c r="T154" i="5"/>
  <c r="I119" i="3"/>
  <c r="J119" i="3"/>
  <c r="M154" i="5" l="1"/>
  <c r="N154" i="5"/>
  <c r="L154" i="5"/>
  <c r="I155" i="5" s="1"/>
  <c r="C231" i="3"/>
  <c r="D231" i="3"/>
  <c r="G231" i="3"/>
  <c r="H231" i="3"/>
  <c r="K231" i="3"/>
  <c r="L231" i="3"/>
  <c r="B232" i="3"/>
  <c r="B232" i="5"/>
  <c r="D155" i="5"/>
  <c r="E155" i="5"/>
  <c r="H155" i="5"/>
  <c r="P155" i="5"/>
  <c r="R155" i="5"/>
  <c r="O156" i="5" s="1"/>
  <c r="Q155" i="5"/>
  <c r="E120" i="3"/>
  <c r="F120" i="3" s="1"/>
  <c r="J155" i="5" l="1"/>
  <c r="N155" i="5"/>
  <c r="K155" i="5"/>
  <c r="C232" i="3"/>
  <c r="D232" i="3"/>
  <c r="G232" i="3"/>
  <c r="H232" i="3" s="1"/>
  <c r="K232" i="3" s="1"/>
  <c r="L232" i="3"/>
  <c r="B233" i="3"/>
  <c r="B233" i="5"/>
  <c r="P156" i="5"/>
  <c r="Q156" i="5"/>
  <c r="R156" i="5"/>
  <c r="O157" i="5" s="1"/>
  <c r="G155" i="5"/>
  <c r="F155" i="5"/>
  <c r="C156" i="5" s="1"/>
  <c r="T155" i="5"/>
  <c r="S155" i="5"/>
  <c r="I120" i="3"/>
  <c r="J120" i="3"/>
  <c r="M155" i="5" l="1"/>
  <c r="L155" i="5"/>
  <c r="I156" i="5" s="1"/>
  <c r="C233" i="3"/>
  <c r="D233" i="3"/>
  <c r="L233" i="3" s="1"/>
  <c r="G233" i="3"/>
  <c r="H233" i="3" s="1"/>
  <c r="K233" i="3" s="1"/>
  <c r="B234" i="3"/>
  <c r="B234" i="5"/>
  <c r="P157" i="5"/>
  <c r="Q157" i="5"/>
  <c r="D156" i="5"/>
  <c r="E156" i="5"/>
  <c r="H156" i="5"/>
  <c r="E121" i="3"/>
  <c r="F121" i="3" s="1"/>
  <c r="T156" i="5"/>
  <c r="S156" i="5"/>
  <c r="J156" i="5" l="1"/>
  <c r="N156" i="5" s="1"/>
  <c r="K156" i="5"/>
  <c r="M156" i="5" s="1"/>
  <c r="L156" i="5"/>
  <c r="I157" i="5" s="1"/>
  <c r="S157" i="5"/>
  <c r="C234" i="3"/>
  <c r="D234" i="3"/>
  <c r="G234" i="3"/>
  <c r="H234" i="3" s="1"/>
  <c r="K234" i="3" s="1"/>
  <c r="L234" i="3"/>
  <c r="B235" i="3"/>
  <c r="B235" i="5"/>
  <c r="T157" i="5"/>
  <c r="R157" i="5"/>
  <c r="O158" i="5" s="1"/>
  <c r="F156" i="5"/>
  <c r="C157" i="5" s="1"/>
  <c r="G156" i="5"/>
  <c r="I121" i="3"/>
  <c r="J121" i="3"/>
  <c r="K157" i="5" l="1"/>
  <c r="J157" i="5"/>
  <c r="C235" i="3"/>
  <c r="D235" i="3"/>
  <c r="L235" i="3" s="1"/>
  <c r="G235" i="3"/>
  <c r="H235" i="3" s="1"/>
  <c r="K235" i="3" s="1"/>
  <c r="B236" i="3"/>
  <c r="B236" i="5"/>
  <c r="P158" i="5"/>
  <c r="Q158" i="5"/>
  <c r="E157" i="5"/>
  <c r="D157" i="5"/>
  <c r="E122" i="3"/>
  <c r="F122" i="3" s="1"/>
  <c r="L157" i="5" l="1"/>
  <c r="I158" i="5" s="1"/>
  <c r="N157" i="5"/>
  <c r="M157" i="5"/>
  <c r="C236" i="3"/>
  <c r="D236" i="3"/>
  <c r="G236" i="3"/>
  <c r="B237" i="3"/>
  <c r="B237" i="5"/>
  <c r="R158" i="5"/>
  <c r="O159" i="5" s="1"/>
  <c r="T158" i="5"/>
  <c r="S158" i="5"/>
  <c r="G157" i="5"/>
  <c r="H157" i="5"/>
  <c r="F157" i="5"/>
  <c r="C158" i="5" s="1"/>
  <c r="I122" i="3"/>
  <c r="J122" i="3"/>
  <c r="J158" i="5" l="1"/>
  <c r="K158" i="5"/>
  <c r="N158" i="5"/>
  <c r="L158" i="5"/>
  <c r="I159" i="5" s="1"/>
  <c r="C237" i="3"/>
  <c r="D237" i="3"/>
  <c r="G237" i="3"/>
  <c r="H237" i="3" s="1"/>
  <c r="K237" i="3" s="1"/>
  <c r="L237" i="3"/>
  <c r="B238" i="3"/>
  <c r="B238" i="5"/>
  <c r="P159" i="5"/>
  <c r="Q159" i="5"/>
  <c r="E158" i="5"/>
  <c r="D158" i="5"/>
  <c r="E123" i="3"/>
  <c r="F123" i="3" s="1"/>
  <c r="H236" i="3"/>
  <c r="K236" i="3" s="1"/>
  <c r="L236" i="3"/>
  <c r="L159" i="5" l="1"/>
  <c r="I160" i="5" s="1"/>
  <c r="J159" i="5"/>
  <c r="K159" i="5"/>
  <c r="M158" i="5"/>
  <c r="C238" i="3"/>
  <c r="D238" i="3"/>
  <c r="G238" i="3"/>
  <c r="B239" i="3"/>
  <c r="B239" i="5"/>
  <c r="R159" i="5"/>
  <c r="O160" i="5" s="1"/>
  <c r="S159" i="5"/>
  <c r="T159" i="5"/>
  <c r="G158" i="5"/>
  <c r="H158" i="5"/>
  <c r="F158" i="5"/>
  <c r="C159" i="5" s="1"/>
  <c r="I123" i="3"/>
  <c r="J123" i="3"/>
  <c r="K160" i="5" l="1"/>
  <c r="J160" i="5"/>
  <c r="M159" i="5"/>
  <c r="N159" i="5"/>
  <c r="C239" i="3"/>
  <c r="D239" i="3"/>
  <c r="G239" i="3"/>
  <c r="B240" i="3"/>
  <c r="B240" i="5"/>
  <c r="Q160" i="5"/>
  <c r="P160" i="5"/>
  <c r="E159" i="5"/>
  <c r="D159" i="5"/>
  <c r="E124" i="3"/>
  <c r="F124" i="3" s="1"/>
  <c r="H238" i="3"/>
  <c r="K238" i="3" s="1"/>
  <c r="L238" i="3"/>
  <c r="M160" i="5" l="1"/>
  <c r="L160" i="5"/>
  <c r="I161" i="5" s="1"/>
  <c r="N160" i="5"/>
  <c r="C240" i="3"/>
  <c r="D240" i="3"/>
  <c r="G240" i="3"/>
  <c r="B241" i="3"/>
  <c r="B241" i="5"/>
  <c r="H239" i="3"/>
  <c r="K239" i="3" s="1"/>
  <c r="L239" i="3"/>
  <c r="S160" i="5"/>
  <c r="R160" i="5"/>
  <c r="O161" i="5" s="1"/>
  <c r="T160" i="5"/>
  <c r="H159" i="5"/>
  <c r="F159" i="5"/>
  <c r="C160" i="5" s="1"/>
  <c r="G159" i="5"/>
  <c r="I124" i="3"/>
  <c r="J124" i="3"/>
  <c r="K161" i="5" l="1"/>
  <c r="J161" i="5"/>
  <c r="M161" i="5"/>
  <c r="C241" i="3"/>
  <c r="D241" i="3"/>
  <c r="L241" i="3" s="1"/>
  <c r="G241" i="3"/>
  <c r="H241" i="3" s="1"/>
  <c r="K241" i="3" s="1"/>
  <c r="B242" i="3"/>
  <c r="B242" i="5"/>
  <c r="Q161" i="5"/>
  <c r="P161" i="5"/>
  <c r="E160" i="5"/>
  <c r="D160" i="5"/>
  <c r="E125" i="3"/>
  <c r="F125" i="3" s="1"/>
  <c r="H240" i="3"/>
  <c r="K240" i="3" s="1"/>
  <c r="L240" i="3"/>
  <c r="L161" i="5" l="1"/>
  <c r="I162" i="5" s="1"/>
  <c r="N161" i="5"/>
  <c r="C242" i="3"/>
  <c r="D242" i="3"/>
  <c r="G242" i="3"/>
  <c r="B243" i="3"/>
  <c r="B243" i="5"/>
  <c r="T161" i="5"/>
  <c r="S161" i="5"/>
  <c r="R161" i="5"/>
  <c r="O162" i="5" s="1"/>
  <c r="G160" i="5"/>
  <c r="H160" i="5"/>
  <c r="F160" i="5"/>
  <c r="C161" i="5" s="1"/>
  <c r="I125" i="3"/>
  <c r="J125" i="3"/>
  <c r="K162" i="5" l="1"/>
  <c r="M162" i="5" s="1"/>
  <c r="J162" i="5"/>
  <c r="N162" i="5"/>
  <c r="L162" i="5"/>
  <c r="I163" i="5" s="1"/>
  <c r="L242" i="3"/>
  <c r="H242" i="3"/>
  <c r="K242" i="3" s="1"/>
  <c r="C243" i="3"/>
  <c r="D243" i="3"/>
  <c r="G243" i="3"/>
  <c r="L243" i="3"/>
  <c r="B244" i="3"/>
  <c r="B244" i="5"/>
  <c r="P162" i="5"/>
  <c r="Q162" i="5"/>
  <c r="S162" i="5" s="1"/>
  <c r="E161" i="5"/>
  <c r="D161" i="5"/>
  <c r="E126" i="3"/>
  <c r="F126" i="3" s="1"/>
  <c r="K163" i="5" l="1"/>
  <c r="J163" i="5"/>
  <c r="C244" i="3"/>
  <c r="D244" i="3"/>
  <c r="G244" i="3"/>
  <c r="H244" i="3" s="1"/>
  <c r="K244" i="3" s="1"/>
  <c r="L244" i="3"/>
  <c r="B245" i="3"/>
  <c r="B245" i="5"/>
  <c r="H243" i="3"/>
  <c r="K243" i="3" s="1"/>
  <c r="R162" i="5"/>
  <c r="O163" i="5" s="1"/>
  <c r="T162" i="5"/>
  <c r="G161" i="5"/>
  <c r="F161" i="5"/>
  <c r="C162" i="5" s="1"/>
  <c r="H161" i="5"/>
  <c r="I126" i="3"/>
  <c r="J126" i="3"/>
  <c r="M163" i="5" l="1"/>
  <c r="L163" i="5"/>
  <c r="I164" i="5" s="1"/>
  <c r="N163" i="5"/>
  <c r="C245" i="3"/>
  <c r="D245" i="3"/>
  <c r="G245" i="3"/>
  <c r="H245" i="3" s="1"/>
  <c r="K245" i="3" s="1"/>
  <c r="L245" i="3"/>
  <c r="B246" i="3"/>
  <c r="B246" i="5"/>
  <c r="P163" i="5"/>
  <c r="Q163" i="5"/>
  <c r="T163" i="5"/>
  <c r="D162" i="5"/>
  <c r="F162" i="5" s="1"/>
  <c r="C163" i="5" s="1"/>
  <c r="H162" i="5"/>
  <c r="E162" i="5"/>
  <c r="G162" i="5" s="1"/>
  <c r="E127" i="3"/>
  <c r="F127" i="3" s="1"/>
  <c r="K164" i="5" l="1"/>
  <c r="J164" i="5"/>
  <c r="M164" i="5" s="1"/>
  <c r="L164" i="5"/>
  <c r="I165" i="5" s="1"/>
  <c r="N164" i="5"/>
  <c r="C246" i="3"/>
  <c r="D246" i="3"/>
  <c r="L246" i="3" s="1"/>
  <c r="G246" i="3"/>
  <c r="H246" i="3" s="1"/>
  <c r="K246" i="3" s="1"/>
  <c r="B247" i="3"/>
  <c r="B247" i="5"/>
  <c r="D163" i="5"/>
  <c r="E163" i="5"/>
  <c r="R163" i="5"/>
  <c r="O164" i="5" s="1"/>
  <c r="S163" i="5"/>
  <c r="I127" i="3"/>
  <c r="J127" i="3"/>
  <c r="K165" i="5" l="1"/>
  <c r="M165" i="5" s="1"/>
  <c r="J165" i="5"/>
  <c r="C247" i="3"/>
  <c r="D247" i="3"/>
  <c r="G247" i="3"/>
  <c r="H247" i="3" s="1"/>
  <c r="K247" i="3" s="1"/>
  <c r="L247" i="3"/>
  <c r="B248" i="3"/>
  <c r="B248" i="5"/>
  <c r="P164" i="5"/>
  <c r="Q164" i="5"/>
  <c r="E128" i="3"/>
  <c r="F128" i="3" s="1"/>
  <c r="F163" i="5"/>
  <c r="C164" i="5" s="1"/>
  <c r="H163" i="5"/>
  <c r="G163" i="5"/>
  <c r="L165" i="5" l="1"/>
  <c r="I166" i="5" s="1"/>
  <c r="N165" i="5"/>
  <c r="C248" i="3"/>
  <c r="D248" i="3"/>
  <c r="H248" i="3" s="1"/>
  <c r="K248" i="3" s="1"/>
  <c r="G248" i="3"/>
  <c r="L248" i="3"/>
  <c r="B249" i="3"/>
  <c r="B249" i="5"/>
  <c r="D164" i="5"/>
  <c r="E164" i="5"/>
  <c r="H164" i="5"/>
  <c r="S164" i="5"/>
  <c r="R164" i="5"/>
  <c r="O165" i="5" s="1"/>
  <c r="T164" i="5"/>
  <c r="I128" i="3"/>
  <c r="J128" i="3"/>
  <c r="J166" i="5" l="1"/>
  <c r="K166" i="5"/>
  <c r="C249" i="3"/>
  <c r="D249" i="3"/>
  <c r="G249" i="3"/>
  <c r="H249" i="3" s="1"/>
  <c r="K249" i="3" s="1"/>
  <c r="B250" i="3"/>
  <c r="B250" i="5"/>
  <c r="P165" i="5"/>
  <c r="Q165" i="5"/>
  <c r="S165" i="5" s="1"/>
  <c r="E129" i="3"/>
  <c r="F129" i="3" s="1"/>
  <c r="G164" i="5"/>
  <c r="F164" i="5"/>
  <c r="C165" i="5" s="1"/>
  <c r="L166" i="5" l="1"/>
  <c r="I167" i="5" s="1"/>
  <c r="N166" i="5"/>
  <c r="M166" i="5"/>
  <c r="C250" i="3"/>
  <c r="D250" i="3"/>
  <c r="G250" i="3"/>
  <c r="H250" i="3" s="1"/>
  <c r="K250" i="3" s="1"/>
  <c r="B251" i="3"/>
  <c r="B251" i="5"/>
  <c r="E165" i="5"/>
  <c r="D165" i="5"/>
  <c r="L249" i="3"/>
  <c r="R165" i="5"/>
  <c r="O166" i="5" s="1"/>
  <c r="T165" i="5"/>
  <c r="I129" i="3"/>
  <c r="J129" i="3"/>
  <c r="J167" i="5" l="1"/>
  <c r="K167" i="5"/>
  <c r="M167" i="5" s="1"/>
  <c r="N167" i="5"/>
  <c r="L167" i="5"/>
  <c r="I168" i="5" s="1"/>
  <c r="C251" i="3"/>
  <c r="D251" i="3"/>
  <c r="L251" i="3" s="1"/>
  <c r="G251" i="3"/>
  <c r="H251" i="3"/>
  <c r="K251" i="3"/>
  <c r="B252" i="3"/>
  <c r="B252" i="5"/>
  <c r="P166" i="5"/>
  <c r="T166" i="5"/>
  <c r="Q166" i="5"/>
  <c r="R166" i="5"/>
  <c r="O167" i="5" s="1"/>
  <c r="E130" i="3"/>
  <c r="F130" i="3" s="1"/>
  <c r="L250" i="3"/>
  <c r="F165" i="5"/>
  <c r="C166" i="5" s="1"/>
  <c r="G165" i="5"/>
  <c r="H165" i="5"/>
  <c r="K168" i="5" l="1"/>
  <c r="J168" i="5"/>
  <c r="S166" i="5"/>
  <c r="C252" i="3"/>
  <c r="D252" i="3"/>
  <c r="G252" i="3"/>
  <c r="B253" i="3"/>
  <c r="B253" i="5"/>
  <c r="P167" i="5"/>
  <c r="Q167" i="5"/>
  <c r="R167" i="5"/>
  <c r="O168" i="5" s="1"/>
  <c r="E166" i="5"/>
  <c r="D166" i="5"/>
  <c r="H166" i="5" s="1"/>
  <c r="F166" i="5"/>
  <c r="C167" i="5" s="1"/>
  <c r="I130" i="3"/>
  <c r="J130" i="3"/>
  <c r="G166" i="5" l="1"/>
  <c r="M168" i="5"/>
  <c r="N168" i="5"/>
  <c r="L168" i="5"/>
  <c r="I169" i="5" s="1"/>
  <c r="C253" i="3"/>
  <c r="D253" i="3"/>
  <c r="G253" i="3"/>
  <c r="H253" i="3"/>
  <c r="K253" i="3"/>
  <c r="L253" i="3"/>
  <c r="B254" i="3"/>
  <c r="B254" i="5"/>
  <c r="Q168" i="5"/>
  <c r="P168" i="5"/>
  <c r="D167" i="5"/>
  <c r="H167" i="5" s="1"/>
  <c r="F167" i="5"/>
  <c r="C168" i="5" s="1"/>
  <c r="E167" i="5"/>
  <c r="G167" i="5" s="1"/>
  <c r="E131" i="3"/>
  <c r="F131" i="3" s="1"/>
  <c r="H252" i="3"/>
  <c r="K252" i="3" s="1"/>
  <c r="L252" i="3"/>
  <c r="T167" i="5"/>
  <c r="S167" i="5"/>
  <c r="K169" i="5" l="1"/>
  <c r="M169" i="5" s="1"/>
  <c r="J169" i="5"/>
  <c r="N169" i="5"/>
  <c r="L169" i="5"/>
  <c r="I170" i="5" s="1"/>
  <c r="C254" i="3"/>
  <c r="D254" i="3"/>
  <c r="G254" i="3"/>
  <c r="B255" i="3"/>
  <c r="B255" i="5"/>
  <c r="D168" i="5"/>
  <c r="E168" i="5"/>
  <c r="G168" i="5" s="1"/>
  <c r="T168" i="5"/>
  <c r="S168" i="5"/>
  <c r="R168" i="5"/>
  <c r="O169" i="5" s="1"/>
  <c r="I131" i="3"/>
  <c r="J131" i="3"/>
  <c r="K170" i="5" l="1"/>
  <c r="J170" i="5"/>
  <c r="C255" i="3"/>
  <c r="D255" i="3"/>
  <c r="G255" i="3"/>
  <c r="H255" i="3" s="1"/>
  <c r="K255" i="3" s="1"/>
  <c r="L255" i="3"/>
  <c r="B256" i="3"/>
  <c r="B256" i="5"/>
  <c r="Q169" i="5"/>
  <c r="P169" i="5"/>
  <c r="E132" i="3"/>
  <c r="F132" i="3" s="1"/>
  <c r="L254" i="3"/>
  <c r="H254" i="3"/>
  <c r="K254" i="3" s="1"/>
  <c r="H168" i="5"/>
  <c r="F168" i="5"/>
  <c r="C169" i="5" s="1"/>
  <c r="M170" i="5" l="1"/>
  <c r="L170" i="5"/>
  <c r="I171" i="5" s="1"/>
  <c r="N170" i="5"/>
  <c r="C256" i="3"/>
  <c r="D256" i="3"/>
  <c r="G256" i="3"/>
  <c r="H256" i="3" s="1"/>
  <c r="K256" i="3" s="1"/>
  <c r="L256" i="3"/>
  <c r="B257" i="3"/>
  <c r="B257" i="5"/>
  <c r="D169" i="5"/>
  <c r="E169" i="5"/>
  <c r="G169" i="5" s="1"/>
  <c r="R169" i="5"/>
  <c r="O170" i="5" s="1"/>
  <c r="S169" i="5"/>
  <c r="T169" i="5"/>
  <c r="I132" i="3"/>
  <c r="J132" i="3"/>
  <c r="K171" i="5" l="1"/>
  <c r="J171" i="5"/>
  <c r="N171" i="5"/>
  <c r="C257" i="3"/>
  <c r="D257" i="3"/>
  <c r="G257" i="3"/>
  <c r="H257" i="3" s="1"/>
  <c r="K257" i="3" s="1"/>
  <c r="L257" i="3"/>
  <c r="B258" i="3"/>
  <c r="B258" i="5"/>
  <c r="Q170" i="5"/>
  <c r="S170" i="5" s="1"/>
  <c r="P170" i="5"/>
  <c r="E133" i="3"/>
  <c r="F133" i="3" s="1"/>
  <c r="F169" i="5"/>
  <c r="C170" i="5" s="1"/>
  <c r="H169" i="5"/>
  <c r="M171" i="5" l="1"/>
  <c r="L171" i="5"/>
  <c r="I172" i="5" s="1"/>
  <c r="T170" i="5"/>
  <c r="R170" i="5"/>
  <c r="O171" i="5" s="1"/>
  <c r="C258" i="3"/>
  <c r="D258" i="3"/>
  <c r="L258" i="3" s="1"/>
  <c r="G258" i="3"/>
  <c r="H258" i="3"/>
  <c r="K258" i="3" s="1"/>
  <c r="B259" i="3"/>
  <c r="B259" i="5"/>
  <c r="E170" i="5"/>
  <c r="D170" i="5"/>
  <c r="I133" i="3"/>
  <c r="J133" i="3"/>
  <c r="J172" i="5" l="1"/>
  <c r="K172" i="5"/>
  <c r="M172" i="5" s="1"/>
  <c r="L172" i="5"/>
  <c r="I173" i="5" s="1"/>
  <c r="N172" i="5"/>
  <c r="Q171" i="5"/>
  <c r="P171" i="5"/>
  <c r="C259" i="3"/>
  <c r="D259" i="3"/>
  <c r="L259" i="3" s="1"/>
  <c r="G259" i="3"/>
  <c r="H259" i="3" s="1"/>
  <c r="K259" i="3" s="1"/>
  <c r="B260" i="3"/>
  <c r="B260" i="5"/>
  <c r="E134" i="3"/>
  <c r="F134" i="3" s="1"/>
  <c r="T171" i="5"/>
  <c r="S171" i="5"/>
  <c r="R171" i="5"/>
  <c r="O172" i="5" s="1"/>
  <c r="G170" i="5"/>
  <c r="H170" i="5"/>
  <c r="F170" i="5"/>
  <c r="C171" i="5" s="1"/>
  <c r="N173" i="5" l="1"/>
  <c r="L173" i="5"/>
  <c r="I174" i="5" s="1"/>
  <c r="J173" i="5"/>
  <c r="M173" i="5" s="1"/>
  <c r="K173" i="5"/>
  <c r="C260" i="3"/>
  <c r="D260" i="3"/>
  <c r="L260" i="3" s="1"/>
  <c r="G260" i="3"/>
  <c r="H260" i="3" s="1"/>
  <c r="K260" i="3" s="1"/>
  <c r="B261" i="3"/>
  <c r="B261" i="5"/>
  <c r="P172" i="5"/>
  <c r="Q172" i="5"/>
  <c r="T172" i="5"/>
  <c r="D171" i="5"/>
  <c r="E171" i="5"/>
  <c r="F171" i="5"/>
  <c r="C172" i="5" s="1"/>
  <c r="I134" i="3"/>
  <c r="J134" i="3"/>
  <c r="L174" i="5" l="1"/>
  <c r="I175" i="5" s="1"/>
  <c r="N174" i="5"/>
  <c r="K174" i="5"/>
  <c r="M174" i="5" s="1"/>
  <c r="J174" i="5"/>
  <c r="S172" i="5"/>
  <c r="R172" i="5"/>
  <c r="O173" i="5" s="1"/>
  <c r="C261" i="3"/>
  <c r="D261" i="3"/>
  <c r="G261" i="3"/>
  <c r="H261" i="3" s="1"/>
  <c r="K261" i="3" s="1"/>
  <c r="L261" i="3"/>
  <c r="B262" i="3"/>
  <c r="B262" i="5"/>
  <c r="Q173" i="5"/>
  <c r="P173" i="5"/>
  <c r="E172" i="5"/>
  <c r="D172" i="5"/>
  <c r="E135" i="3"/>
  <c r="F135" i="3" s="1"/>
  <c r="G171" i="5"/>
  <c r="H171" i="5"/>
  <c r="J175" i="5" l="1"/>
  <c r="N175" i="5"/>
  <c r="K175" i="5"/>
  <c r="C262" i="3"/>
  <c r="D262" i="3"/>
  <c r="G262" i="3"/>
  <c r="B263" i="3"/>
  <c r="B263" i="5"/>
  <c r="T173" i="5"/>
  <c r="S173" i="5"/>
  <c r="R173" i="5"/>
  <c r="O174" i="5" s="1"/>
  <c r="H172" i="5"/>
  <c r="G172" i="5"/>
  <c r="F172" i="5"/>
  <c r="C173" i="5" s="1"/>
  <c r="I135" i="3"/>
  <c r="J135" i="3"/>
  <c r="M175" i="5" l="1"/>
  <c r="L175" i="5"/>
  <c r="I176" i="5" s="1"/>
  <c r="C263" i="3"/>
  <c r="D263" i="3"/>
  <c r="G263" i="3"/>
  <c r="H263" i="3" s="1"/>
  <c r="K263" i="3" s="1"/>
  <c r="L263" i="3"/>
  <c r="B264" i="3"/>
  <c r="B264" i="5"/>
  <c r="P174" i="5"/>
  <c r="T174" i="5" s="1"/>
  <c r="Q174" i="5"/>
  <c r="R174" i="5"/>
  <c r="O175" i="5" s="1"/>
  <c r="S174" i="5"/>
  <c r="D173" i="5"/>
  <c r="E173" i="5"/>
  <c r="F173" i="5"/>
  <c r="C174" i="5" s="1"/>
  <c r="G173" i="5"/>
  <c r="H173" i="5"/>
  <c r="E136" i="3"/>
  <c r="F136" i="3" s="1"/>
  <c r="H262" i="3"/>
  <c r="K262" i="3" s="1"/>
  <c r="L262" i="3"/>
  <c r="K176" i="5" l="1"/>
  <c r="J176" i="5"/>
  <c r="M176" i="5"/>
  <c r="L176" i="5"/>
  <c r="I177" i="5" s="1"/>
  <c r="N176" i="5"/>
  <c r="C264" i="3"/>
  <c r="D264" i="3"/>
  <c r="L264" i="3" s="1"/>
  <c r="G264" i="3"/>
  <c r="H264" i="3" s="1"/>
  <c r="K264" i="3" s="1"/>
  <c r="B265" i="3"/>
  <c r="B265" i="5"/>
  <c r="Q175" i="5"/>
  <c r="P175" i="5"/>
  <c r="E174" i="5"/>
  <c r="D174" i="5"/>
  <c r="I136" i="3"/>
  <c r="J136" i="3"/>
  <c r="K177" i="5" l="1"/>
  <c r="J177" i="5"/>
  <c r="L177" i="5"/>
  <c r="I178" i="5" s="1"/>
  <c r="C265" i="3"/>
  <c r="D265" i="3"/>
  <c r="G265" i="3"/>
  <c r="H265" i="3" s="1"/>
  <c r="K265" i="3" s="1"/>
  <c r="L265" i="3"/>
  <c r="B266" i="3"/>
  <c r="B266" i="5"/>
  <c r="E137" i="3"/>
  <c r="F137" i="3" s="1"/>
  <c r="T175" i="5"/>
  <c r="S175" i="5"/>
  <c r="R175" i="5"/>
  <c r="O176" i="5" s="1"/>
  <c r="H174" i="5"/>
  <c r="G174" i="5"/>
  <c r="F174" i="5"/>
  <c r="C175" i="5" s="1"/>
  <c r="M178" i="5" l="1"/>
  <c r="N178" i="5"/>
  <c r="L178" i="5"/>
  <c r="I179" i="5" s="1"/>
  <c r="J178" i="5"/>
  <c r="K178" i="5"/>
  <c r="N177" i="5"/>
  <c r="M177" i="5"/>
  <c r="C266" i="3"/>
  <c r="D266" i="3"/>
  <c r="G266" i="3"/>
  <c r="H266" i="3"/>
  <c r="K266" i="3"/>
  <c r="L266" i="3"/>
  <c r="B267" i="3"/>
  <c r="B267" i="5"/>
  <c r="P176" i="5"/>
  <c r="Q176" i="5"/>
  <c r="R176" i="5"/>
  <c r="O177" i="5" s="1"/>
  <c r="D175" i="5"/>
  <c r="E175" i="5"/>
  <c r="F175" i="5"/>
  <c r="C176" i="5" s="1"/>
  <c r="G175" i="5"/>
  <c r="H175" i="5"/>
  <c r="I137" i="3"/>
  <c r="J137" i="3"/>
  <c r="J179" i="5" l="1"/>
  <c r="N179" i="5"/>
  <c r="K179" i="5"/>
  <c r="C267" i="3"/>
  <c r="D267" i="3"/>
  <c r="G267" i="3"/>
  <c r="B268" i="3"/>
  <c r="B268" i="5"/>
  <c r="Q177" i="5"/>
  <c r="P177" i="5"/>
  <c r="E176" i="5"/>
  <c r="D176" i="5"/>
  <c r="E138" i="3"/>
  <c r="F138" i="3" s="1"/>
  <c r="S176" i="5"/>
  <c r="T176" i="5"/>
  <c r="M179" i="5" l="1"/>
  <c r="L179" i="5"/>
  <c r="I180" i="5" s="1"/>
  <c r="H267" i="3"/>
  <c r="K267" i="3" s="1"/>
  <c r="L267" i="3"/>
  <c r="C268" i="3"/>
  <c r="D268" i="3"/>
  <c r="L268" i="3" s="1"/>
  <c r="G268" i="3"/>
  <c r="H268" i="3" s="1"/>
  <c r="K268" i="3" s="1"/>
  <c r="B269" i="3"/>
  <c r="B269" i="5"/>
  <c r="T177" i="5"/>
  <c r="S177" i="5"/>
  <c r="R177" i="5"/>
  <c r="O178" i="5" s="1"/>
  <c r="H176" i="5"/>
  <c r="G176" i="5"/>
  <c r="F176" i="5"/>
  <c r="C177" i="5" s="1"/>
  <c r="I138" i="3"/>
  <c r="J138" i="3"/>
  <c r="K180" i="5" l="1"/>
  <c r="J180" i="5"/>
  <c r="L180" i="5"/>
  <c r="I181" i="5" s="1"/>
  <c r="C269" i="3"/>
  <c r="D269" i="3"/>
  <c r="G269" i="3"/>
  <c r="H269" i="3" s="1"/>
  <c r="K269" i="3" s="1"/>
  <c r="L269" i="3"/>
  <c r="B270" i="3"/>
  <c r="B270" i="5"/>
  <c r="P178" i="5"/>
  <c r="Q178" i="5"/>
  <c r="S178" i="5" s="1"/>
  <c r="D177" i="5"/>
  <c r="E177" i="5"/>
  <c r="G177" i="5" s="1"/>
  <c r="F177" i="5"/>
  <c r="C178" i="5" s="1"/>
  <c r="H177" i="5"/>
  <c r="E139" i="3"/>
  <c r="F139" i="3" s="1"/>
  <c r="K181" i="5" l="1"/>
  <c r="M181" i="5" s="1"/>
  <c r="J181" i="5"/>
  <c r="N180" i="5"/>
  <c r="M180" i="5"/>
  <c r="R178" i="5"/>
  <c r="O179" i="5" s="1"/>
  <c r="T178" i="5"/>
  <c r="C270" i="3"/>
  <c r="D270" i="3"/>
  <c r="L270" i="3" s="1"/>
  <c r="G270" i="3"/>
  <c r="H270" i="3" s="1"/>
  <c r="K270" i="3" s="1"/>
  <c r="B271" i="3"/>
  <c r="B271" i="5"/>
  <c r="E178" i="5"/>
  <c r="D178" i="5"/>
  <c r="H178" i="5" s="1"/>
  <c r="I139" i="3"/>
  <c r="J139" i="3"/>
  <c r="N181" i="5" l="1"/>
  <c r="L181" i="5"/>
  <c r="I182" i="5" s="1"/>
  <c r="Q179" i="5"/>
  <c r="P179" i="5"/>
  <c r="C271" i="3"/>
  <c r="D271" i="3"/>
  <c r="G271" i="3"/>
  <c r="H271" i="3"/>
  <c r="K271" i="3"/>
  <c r="L271" i="3"/>
  <c r="B272" i="3"/>
  <c r="B272" i="5"/>
  <c r="E140" i="3"/>
  <c r="F140" i="3" s="1"/>
  <c r="G178" i="5"/>
  <c r="F178" i="5"/>
  <c r="C179" i="5" s="1"/>
  <c r="K182" i="5" l="1"/>
  <c r="J182" i="5"/>
  <c r="N182" i="5"/>
  <c r="L182" i="5"/>
  <c r="I183" i="5" s="1"/>
  <c r="M182" i="5"/>
  <c r="T179" i="5"/>
  <c r="R179" i="5"/>
  <c r="O180" i="5" s="1"/>
  <c r="S179" i="5"/>
  <c r="C272" i="3"/>
  <c r="D272" i="3"/>
  <c r="G272" i="3"/>
  <c r="H272" i="3" s="1"/>
  <c r="K272" i="3" s="1"/>
  <c r="L272" i="3"/>
  <c r="B273" i="3"/>
  <c r="B273" i="5"/>
  <c r="P180" i="5"/>
  <c r="D179" i="5"/>
  <c r="F179" i="5" s="1"/>
  <c r="C180" i="5" s="1"/>
  <c r="E179" i="5"/>
  <c r="G179" i="5" s="1"/>
  <c r="H179" i="5"/>
  <c r="I140" i="3"/>
  <c r="J140" i="3"/>
  <c r="K183" i="5" l="1"/>
  <c r="J183" i="5"/>
  <c r="Q180" i="5"/>
  <c r="R180" i="5"/>
  <c r="O181" i="5" s="1"/>
  <c r="S180" i="5"/>
  <c r="T180" i="5"/>
  <c r="C273" i="3"/>
  <c r="D273" i="3"/>
  <c r="G273" i="3"/>
  <c r="H273" i="3" s="1"/>
  <c r="K273" i="3" s="1"/>
  <c r="L273" i="3"/>
  <c r="B274" i="3"/>
  <c r="B274" i="5"/>
  <c r="E180" i="5"/>
  <c r="D180" i="5"/>
  <c r="E141" i="3"/>
  <c r="F141" i="3" s="1"/>
  <c r="L183" i="5" l="1"/>
  <c r="I184" i="5" s="1"/>
  <c r="N183" i="5"/>
  <c r="M183" i="5"/>
  <c r="Q181" i="5"/>
  <c r="P181" i="5"/>
  <c r="C274" i="3"/>
  <c r="D274" i="3"/>
  <c r="G274" i="3"/>
  <c r="B275" i="3"/>
  <c r="B275" i="5"/>
  <c r="H180" i="5"/>
  <c r="G180" i="5"/>
  <c r="F180" i="5"/>
  <c r="C181" i="5" s="1"/>
  <c r="I141" i="3"/>
  <c r="J141" i="3"/>
  <c r="J184" i="5" l="1"/>
  <c r="L184" i="5"/>
  <c r="I185" i="5" s="1"/>
  <c r="K184" i="5"/>
  <c r="S181" i="5"/>
  <c r="R181" i="5"/>
  <c r="O182" i="5" s="1"/>
  <c r="T181" i="5"/>
  <c r="C275" i="3"/>
  <c r="D275" i="3"/>
  <c r="G275" i="3"/>
  <c r="H275" i="3" s="1"/>
  <c r="K275" i="3" s="1"/>
  <c r="L275" i="3"/>
  <c r="B276" i="3"/>
  <c r="B276" i="5"/>
  <c r="D181" i="5"/>
  <c r="E181" i="5"/>
  <c r="G181" i="5" s="1"/>
  <c r="E142" i="3"/>
  <c r="F142" i="3" s="1"/>
  <c r="H274" i="3"/>
  <c r="K274" i="3" s="1"/>
  <c r="L274" i="3"/>
  <c r="K185" i="5" l="1"/>
  <c r="J185" i="5"/>
  <c r="M184" i="5"/>
  <c r="N184" i="5"/>
  <c r="P182" i="5"/>
  <c r="Q182" i="5"/>
  <c r="C276" i="3"/>
  <c r="D276" i="3"/>
  <c r="G276" i="3"/>
  <c r="B277" i="3"/>
  <c r="B277" i="5"/>
  <c r="R182" i="5"/>
  <c r="O183" i="5" s="1"/>
  <c r="S182" i="5"/>
  <c r="T182" i="5"/>
  <c r="F181" i="5"/>
  <c r="C182" i="5" s="1"/>
  <c r="H181" i="5"/>
  <c r="I142" i="3"/>
  <c r="J142" i="3"/>
  <c r="M185" i="5" l="1"/>
  <c r="N185" i="5"/>
  <c r="L185" i="5"/>
  <c r="I186" i="5" s="1"/>
  <c r="C277" i="3"/>
  <c r="D277" i="3"/>
  <c r="H277" i="3" s="1"/>
  <c r="K277" i="3" s="1"/>
  <c r="G277" i="3"/>
  <c r="L277" i="3"/>
  <c r="B278" i="3"/>
  <c r="B278" i="5"/>
  <c r="P183" i="5"/>
  <c r="Q183" i="5"/>
  <c r="S183" i="5" s="1"/>
  <c r="R183" i="5"/>
  <c r="O184" i="5" s="1"/>
  <c r="T183" i="5"/>
  <c r="D182" i="5"/>
  <c r="E182" i="5"/>
  <c r="G182" i="5" s="1"/>
  <c r="E143" i="3"/>
  <c r="F143" i="3" s="1"/>
  <c r="H276" i="3"/>
  <c r="K276" i="3" s="1"/>
  <c r="L276" i="3"/>
  <c r="K186" i="5" l="1"/>
  <c r="J186" i="5"/>
  <c r="C278" i="3"/>
  <c r="D278" i="3"/>
  <c r="G278" i="3"/>
  <c r="H278" i="3" s="1"/>
  <c r="K278" i="3" s="1"/>
  <c r="B279" i="3"/>
  <c r="B279" i="5"/>
  <c r="Q184" i="5"/>
  <c r="P184" i="5"/>
  <c r="F182" i="5"/>
  <c r="C183" i="5" s="1"/>
  <c r="H182" i="5"/>
  <c r="I143" i="3"/>
  <c r="J143" i="3"/>
  <c r="M186" i="5" l="1"/>
  <c r="N186" i="5"/>
  <c r="L186" i="5"/>
  <c r="I187" i="5" s="1"/>
  <c r="C279" i="3"/>
  <c r="D279" i="3"/>
  <c r="L279" i="3" s="1"/>
  <c r="G279" i="3"/>
  <c r="H279" i="3" s="1"/>
  <c r="K279" i="3" s="1"/>
  <c r="B280" i="3"/>
  <c r="B280" i="5"/>
  <c r="D183" i="5"/>
  <c r="F183" i="5" s="1"/>
  <c r="C184" i="5" s="1"/>
  <c r="E183" i="5"/>
  <c r="G183" i="5" s="1"/>
  <c r="H183" i="5"/>
  <c r="E144" i="3"/>
  <c r="F144" i="3" s="1"/>
  <c r="L278" i="3"/>
  <c r="T184" i="5"/>
  <c r="S184" i="5"/>
  <c r="R184" i="5"/>
  <c r="O185" i="5" s="1"/>
  <c r="K187" i="5" l="1"/>
  <c r="J187" i="5"/>
  <c r="L187" i="5"/>
  <c r="I188" i="5" s="1"/>
  <c r="M187" i="5"/>
  <c r="N187" i="5"/>
  <c r="C280" i="3"/>
  <c r="D280" i="3"/>
  <c r="L280" i="3" s="1"/>
  <c r="G280" i="3"/>
  <c r="B281" i="3"/>
  <c r="B281" i="5"/>
  <c r="E184" i="5"/>
  <c r="D184" i="5"/>
  <c r="P185" i="5"/>
  <c r="T185" i="5" s="1"/>
  <c r="Q185" i="5"/>
  <c r="R185" i="5"/>
  <c r="O186" i="5" s="1"/>
  <c r="S185" i="5"/>
  <c r="I144" i="3"/>
  <c r="J144" i="3"/>
  <c r="K188" i="5" l="1"/>
  <c r="J188" i="5"/>
  <c r="H280" i="3"/>
  <c r="K280" i="3" s="1"/>
  <c r="C281" i="3"/>
  <c r="D281" i="3"/>
  <c r="G281" i="3"/>
  <c r="H281" i="3" s="1"/>
  <c r="K281" i="3" s="1"/>
  <c r="L281" i="3"/>
  <c r="B282" i="3"/>
  <c r="B282" i="5"/>
  <c r="Q186" i="5"/>
  <c r="P186" i="5"/>
  <c r="E145" i="3"/>
  <c r="F145" i="3" s="1"/>
  <c r="G184" i="5"/>
  <c r="F184" i="5"/>
  <c r="C185" i="5" s="1"/>
  <c r="H184" i="5"/>
  <c r="N188" i="5" l="1"/>
  <c r="M188" i="5"/>
  <c r="L188" i="5"/>
  <c r="I189" i="5" s="1"/>
  <c r="C282" i="3"/>
  <c r="D282" i="3"/>
  <c r="G282" i="3"/>
  <c r="H282" i="3" s="1"/>
  <c r="K282" i="3" s="1"/>
  <c r="L282" i="3"/>
  <c r="B283" i="3"/>
  <c r="B283" i="5"/>
  <c r="D185" i="5"/>
  <c r="F185" i="5" s="1"/>
  <c r="C186" i="5" s="1"/>
  <c r="E185" i="5"/>
  <c r="S186" i="5"/>
  <c r="R186" i="5"/>
  <c r="O187" i="5" s="1"/>
  <c r="T186" i="5"/>
  <c r="I145" i="3"/>
  <c r="J145" i="3"/>
  <c r="K189" i="5" l="1"/>
  <c r="M189" i="5" s="1"/>
  <c r="J189" i="5"/>
  <c r="N189" i="5" s="1"/>
  <c r="L189" i="5"/>
  <c r="I190" i="5" s="1"/>
  <c r="C283" i="3"/>
  <c r="D283" i="3"/>
  <c r="G283" i="3"/>
  <c r="H283" i="3" s="1"/>
  <c r="K283" i="3" s="1"/>
  <c r="L283" i="3"/>
  <c r="B284" i="3"/>
  <c r="B284" i="5"/>
  <c r="E186" i="5"/>
  <c r="D186" i="5"/>
  <c r="P187" i="5"/>
  <c r="R187" i="5" s="1"/>
  <c r="O188" i="5" s="1"/>
  <c r="Q187" i="5"/>
  <c r="S187" i="5" s="1"/>
  <c r="T187" i="5"/>
  <c r="E146" i="3"/>
  <c r="F146" i="3" s="1"/>
  <c r="G185" i="5"/>
  <c r="H185" i="5"/>
  <c r="L190" i="5" l="1"/>
  <c r="I191" i="5" s="1"/>
  <c r="J190" i="5"/>
  <c r="K190" i="5"/>
  <c r="C284" i="3"/>
  <c r="D284" i="3"/>
  <c r="G284" i="3"/>
  <c r="H284" i="3" s="1"/>
  <c r="K284" i="3" s="1"/>
  <c r="L284" i="3"/>
  <c r="B285" i="3"/>
  <c r="B285" i="5"/>
  <c r="Q188" i="5"/>
  <c r="S188" i="5" s="1"/>
  <c r="P188" i="5"/>
  <c r="G186" i="5"/>
  <c r="H186" i="5"/>
  <c r="F186" i="5"/>
  <c r="C187" i="5" s="1"/>
  <c r="I146" i="3"/>
  <c r="J146" i="3"/>
  <c r="K191" i="5" l="1"/>
  <c r="J191" i="5"/>
  <c r="M190" i="5"/>
  <c r="N190" i="5"/>
  <c r="T188" i="5"/>
  <c r="R188" i="5"/>
  <c r="O189" i="5" s="1"/>
  <c r="C285" i="3"/>
  <c r="D285" i="3"/>
  <c r="H285" i="3" s="1"/>
  <c r="K285" i="3" s="1"/>
  <c r="G285" i="3"/>
  <c r="L285" i="3"/>
  <c r="B286" i="3"/>
  <c r="B286" i="5"/>
  <c r="D187" i="5"/>
  <c r="E187" i="5"/>
  <c r="G187" i="5" s="1"/>
  <c r="F187" i="5"/>
  <c r="C188" i="5" s="1"/>
  <c r="H187" i="5"/>
  <c r="E147" i="3"/>
  <c r="F147" i="3" s="1"/>
  <c r="N191" i="5" l="1"/>
  <c r="L191" i="5"/>
  <c r="I192" i="5" s="1"/>
  <c r="M191" i="5"/>
  <c r="Q189" i="5"/>
  <c r="P189" i="5"/>
  <c r="C286" i="3"/>
  <c r="D286" i="3"/>
  <c r="G286" i="3"/>
  <c r="B287" i="3"/>
  <c r="B287" i="5"/>
  <c r="E188" i="5"/>
  <c r="D188" i="5"/>
  <c r="I147" i="3"/>
  <c r="J147" i="3"/>
  <c r="J192" i="5" l="1"/>
  <c r="N192" i="5"/>
  <c r="K192" i="5"/>
  <c r="L192" i="5"/>
  <c r="I193" i="5" s="1"/>
  <c r="T189" i="5"/>
  <c r="S189" i="5"/>
  <c r="R189" i="5"/>
  <c r="O190" i="5" s="1"/>
  <c r="C287" i="3"/>
  <c r="D287" i="3"/>
  <c r="G287" i="3"/>
  <c r="H287" i="3" s="1"/>
  <c r="K287" i="3" s="1"/>
  <c r="L287" i="3"/>
  <c r="B288" i="3"/>
  <c r="B288" i="5"/>
  <c r="E148" i="3"/>
  <c r="F148" i="3" s="1"/>
  <c r="H286" i="3"/>
  <c r="K286" i="3" s="1"/>
  <c r="L286" i="3"/>
  <c r="H188" i="5"/>
  <c r="G188" i="5"/>
  <c r="F188" i="5"/>
  <c r="C189" i="5" s="1"/>
  <c r="M193" i="5" l="1"/>
  <c r="N193" i="5"/>
  <c r="J193" i="5"/>
  <c r="L193" i="5" s="1"/>
  <c r="I194" i="5" s="1"/>
  <c r="K193" i="5"/>
  <c r="M192" i="5"/>
  <c r="Q190" i="5"/>
  <c r="P190" i="5"/>
  <c r="S190" i="5" s="1"/>
  <c r="R190" i="5"/>
  <c r="O191" i="5" s="1"/>
  <c r="T190" i="5"/>
  <c r="C288" i="3"/>
  <c r="D288" i="3"/>
  <c r="L288" i="3" s="1"/>
  <c r="G288" i="3"/>
  <c r="H288" i="3" s="1"/>
  <c r="K288" i="3" s="1"/>
  <c r="B289" i="3"/>
  <c r="B289" i="5"/>
  <c r="D189" i="5"/>
  <c r="H189" i="5" s="1"/>
  <c r="E189" i="5"/>
  <c r="F189" i="5"/>
  <c r="C190" i="5" s="1"/>
  <c r="G189" i="5"/>
  <c r="I148" i="3"/>
  <c r="J148" i="3"/>
  <c r="K194" i="5" l="1"/>
  <c r="M194" i="5" s="1"/>
  <c r="J194" i="5"/>
  <c r="P191" i="5"/>
  <c r="Q191" i="5"/>
  <c r="S191" i="5" s="1"/>
  <c r="C289" i="3"/>
  <c r="D289" i="3"/>
  <c r="L289" i="3" s="1"/>
  <c r="G289" i="3"/>
  <c r="H289" i="3"/>
  <c r="K289" i="3" s="1"/>
  <c r="B290" i="3"/>
  <c r="B290" i="5"/>
  <c r="E190" i="5"/>
  <c r="D190" i="5"/>
  <c r="E149" i="3"/>
  <c r="F149" i="3" s="1"/>
  <c r="N194" i="5" l="1"/>
  <c r="L194" i="5"/>
  <c r="I195" i="5" s="1"/>
  <c r="T191" i="5"/>
  <c r="R191" i="5"/>
  <c r="O192" i="5" s="1"/>
  <c r="C290" i="3"/>
  <c r="D290" i="3"/>
  <c r="G290" i="3"/>
  <c r="B291" i="3"/>
  <c r="B291" i="5"/>
  <c r="G190" i="5"/>
  <c r="H190" i="5"/>
  <c r="F190" i="5"/>
  <c r="C191" i="5" s="1"/>
  <c r="I149" i="3"/>
  <c r="J149" i="3"/>
  <c r="J195" i="5" l="1"/>
  <c r="K195" i="5"/>
  <c r="M195" i="5"/>
  <c r="N195" i="5"/>
  <c r="L195" i="5"/>
  <c r="I196" i="5" s="1"/>
  <c r="Q192" i="5"/>
  <c r="P192" i="5"/>
  <c r="C291" i="3"/>
  <c r="D291" i="3"/>
  <c r="L291" i="3" s="1"/>
  <c r="G291" i="3"/>
  <c r="H291" i="3" s="1"/>
  <c r="K291" i="3" s="1"/>
  <c r="B292" i="3"/>
  <c r="B292" i="5"/>
  <c r="E191" i="5"/>
  <c r="D191" i="5"/>
  <c r="H191" i="5"/>
  <c r="E150" i="3"/>
  <c r="F150" i="3" s="1"/>
  <c r="H290" i="3"/>
  <c r="K290" i="3" s="1"/>
  <c r="L290" i="3"/>
  <c r="J196" i="5" l="1"/>
  <c r="K196" i="5"/>
  <c r="R192" i="5"/>
  <c r="O193" i="5" s="1"/>
  <c r="T192" i="5"/>
  <c r="S192" i="5"/>
  <c r="C292" i="3"/>
  <c r="D292" i="3"/>
  <c r="L292" i="3" s="1"/>
  <c r="G292" i="3"/>
  <c r="B293" i="3"/>
  <c r="B293" i="5"/>
  <c r="G191" i="5"/>
  <c r="F191" i="5"/>
  <c r="C192" i="5" s="1"/>
  <c r="I150" i="3"/>
  <c r="J150" i="3"/>
  <c r="H292" i="3" l="1"/>
  <c r="K292" i="3" s="1"/>
  <c r="M196" i="5"/>
  <c r="N196" i="5"/>
  <c r="L196" i="5"/>
  <c r="I197" i="5" s="1"/>
  <c r="P193" i="5"/>
  <c r="Q193" i="5"/>
  <c r="S193" i="5" s="1"/>
  <c r="R193" i="5"/>
  <c r="O194" i="5" s="1"/>
  <c r="T193" i="5"/>
  <c r="C293" i="3"/>
  <c r="D293" i="3"/>
  <c r="L293" i="3" s="1"/>
  <c r="G293" i="3"/>
  <c r="H293" i="3" s="1"/>
  <c r="K293" i="3" s="1"/>
  <c r="B294" i="3"/>
  <c r="B294" i="5"/>
  <c r="P194" i="5"/>
  <c r="Q194" i="5"/>
  <c r="D192" i="5"/>
  <c r="E192" i="5"/>
  <c r="G192" i="5" s="1"/>
  <c r="E151" i="3"/>
  <c r="F151" i="3" s="1"/>
  <c r="J197" i="5" l="1"/>
  <c r="K197" i="5"/>
  <c r="M197" i="5" s="1"/>
  <c r="I151" i="3"/>
  <c r="J151" i="3"/>
  <c r="C294" i="3"/>
  <c r="D294" i="3"/>
  <c r="L294" i="3" s="1"/>
  <c r="G294" i="3"/>
  <c r="H294" i="3" s="1"/>
  <c r="K294" i="3" s="1"/>
  <c r="B295" i="3"/>
  <c r="B295" i="5"/>
  <c r="E152" i="3"/>
  <c r="F152" i="3" s="1"/>
  <c r="T194" i="5"/>
  <c r="S194" i="5"/>
  <c r="R194" i="5"/>
  <c r="O195" i="5" s="1"/>
  <c r="F192" i="5"/>
  <c r="C193" i="5" s="1"/>
  <c r="H192" i="5"/>
  <c r="L197" i="5" l="1"/>
  <c r="I198" i="5" s="1"/>
  <c r="N197" i="5"/>
  <c r="C295" i="3"/>
  <c r="D295" i="3"/>
  <c r="G295" i="3"/>
  <c r="B296" i="3"/>
  <c r="B296" i="5"/>
  <c r="P195" i="5"/>
  <c r="T195" i="5" s="1"/>
  <c r="Q195" i="5"/>
  <c r="S195" i="5" s="1"/>
  <c r="R195" i="5"/>
  <c r="O196" i="5" s="1"/>
  <c r="E193" i="5"/>
  <c r="D193" i="5"/>
  <c r="I152" i="3"/>
  <c r="J152" i="3"/>
  <c r="J198" i="5" l="1"/>
  <c r="M198" i="5" s="1"/>
  <c r="K198" i="5"/>
  <c r="L198" i="5"/>
  <c r="I199" i="5" s="1"/>
  <c r="N198" i="5"/>
  <c r="C296" i="3"/>
  <c r="D296" i="3"/>
  <c r="G296" i="3"/>
  <c r="H296" i="3" s="1"/>
  <c r="K296" i="3" s="1"/>
  <c r="L296" i="3"/>
  <c r="B297" i="3"/>
  <c r="B297" i="5"/>
  <c r="P196" i="5"/>
  <c r="Q196" i="5"/>
  <c r="E153" i="3"/>
  <c r="F153" i="3" s="1"/>
  <c r="H295" i="3"/>
  <c r="K295" i="3" s="1"/>
  <c r="L295" i="3"/>
  <c r="H193" i="5"/>
  <c r="G193" i="5"/>
  <c r="F193" i="5"/>
  <c r="C194" i="5" s="1"/>
  <c r="J199" i="5" l="1"/>
  <c r="K199" i="5"/>
  <c r="C297" i="3"/>
  <c r="D297" i="3"/>
  <c r="L297" i="3" s="1"/>
  <c r="G297" i="3"/>
  <c r="H297" i="3" s="1"/>
  <c r="K297" i="3" s="1"/>
  <c r="B298" i="3"/>
  <c r="B298" i="5"/>
  <c r="D194" i="5"/>
  <c r="F194" i="5" s="1"/>
  <c r="C195" i="5" s="1"/>
  <c r="E194" i="5"/>
  <c r="G194" i="5" s="1"/>
  <c r="H194" i="5"/>
  <c r="T196" i="5"/>
  <c r="R196" i="5"/>
  <c r="O197" i="5" s="1"/>
  <c r="S196" i="5"/>
  <c r="I153" i="3"/>
  <c r="J153" i="3"/>
  <c r="L199" i="5" l="1"/>
  <c r="I200" i="5" s="1"/>
  <c r="N199" i="5"/>
  <c r="M199" i="5"/>
  <c r="C298" i="3"/>
  <c r="D298" i="3"/>
  <c r="G298" i="3"/>
  <c r="H298" i="3"/>
  <c r="K298" i="3"/>
  <c r="L298" i="3"/>
  <c r="B299" i="3"/>
  <c r="B299" i="5"/>
  <c r="E195" i="5"/>
  <c r="D195" i="5"/>
  <c r="Q197" i="5"/>
  <c r="P197" i="5"/>
  <c r="T197" i="5"/>
  <c r="E154" i="3"/>
  <c r="F154" i="3" s="1"/>
  <c r="K200" i="5" l="1"/>
  <c r="J200" i="5"/>
  <c r="N200" i="5"/>
  <c r="M200" i="5"/>
  <c r="L200" i="5"/>
  <c r="I201" i="5" s="1"/>
  <c r="C299" i="3"/>
  <c r="D299" i="3"/>
  <c r="L299" i="3" s="1"/>
  <c r="G299" i="3"/>
  <c r="H299" i="3" s="1"/>
  <c r="K299" i="3" s="1"/>
  <c r="B300" i="3"/>
  <c r="B300" i="5"/>
  <c r="G195" i="5"/>
  <c r="H195" i="5"/>
  <c r="F195" i="5"/>
  <c r="C196" i="5" s="1"/>
  <c r="S197" i="5"/>
  <c r="R197" i="5"/>
  <c r="O198" i="5" s="1"/>
  <c r="I154" i="3"/>
  <c r="J154" i="3"/>
  <c r="J201" i="5" l="1"/>
  <c r="L201" i="5"/>
  <c r="I202" i="5" s="1"/>
  <c r="K201" i="5"/>
  <c r="C300" i="3"/>
  <c r="D300" i="3"/>
  <c r="G300" i="3"/>
  <c r="B301" i="3"/>
  <c r="B301" i="5"/>
  <c r="E196" i="5"/>
  <c r="D196" i="5"/>
  <c r="Q198" i="5"/>
  <c r="P198" i="5"/>
  <c r="E155" i="3"/>
  <c r="F155" i="3" s="1"/>
  <c r="K202" i="5" l="1"/>
  <c r="J202" i="5"/>
  <c r="N201" i="5"/>
  <c r="M201" i="5"/>
  <c r="H300" i="3"/>
  <c r="K300" i="3" s="1"/>
  <c r="L300" i="3"/>
  <c r="C301" i="3"/>
  <c r="D301" i="3"/>
  <c r="G301" i="3"/>
  <c r="H301" i="3" s="1"/>
  <c r="K301" i="3" s="1"/>
  <c r="L301" i="3"/>
  <c r="B302" i="3"/>
  <c r="B302" i="5"/>
  <c r="G196" i="5"/>
  <c r="H196" i="5"/>
  <c r="F196" i="5"/>
  <c r="C197" i="5" s="1"/>
  <c r="T198" i="5"/>
  <c r="R198" i="5"/>
  <c r="O199" i="5" s="1"/>
  <c r="S198" i="5"/>
  <c r="I155" i="3"/>
  <c r="J155" i="3"/>
  <c r="M202" i="5" l="1"/>
  <c r="N202" i="5"/>
  <c r="L202" i="5"/>
  <c r="I203" i="5" s="1"/>
  <c r="C302" i="3"/>
  <c r="D302" i="3"/>
  <c r="G302" i="3"/>
  <c r="H302" i="3" s="1"/>
  <c r="K302" i="3" s="1"/>
  <c r="L302" i="3"/>
  <c r="B303" i="3"/>
  <c r="B303" i="5"/>
  <c r="E197" i="5"/>
  <c r="D197" i="5"/>
  <c r="Q199" i="5"/>
  <c r="P199" i="5"/>
  <c r="E156" i="3"/>
  <c r="F156" i="3" s="1"/>
  <c r="J203" i="5" l="1"/>
  <c r="L203" i="5"/>
  <c r="I204" i="5" s="1"/>
  <c r="K203" i="5"/>
  <c r="M203" i="5" s="1"/>
  <c r="N203" i="5"/>
  <c r="C303" i="3"/>
  <c r="D303" i="3"/>
  <c r="L303" i="3" s="1"/>
  <c r="G303" i="3"/>
  <c r="B304" i="3"/>
  <c r="B304" i="5"/>
  <c r="G197" i="5"/>
  <c r="F197" i="5"/>
  <c r="C198" i="5" s="1"/>
  <c r="H197" i="5"/>
  <c r="T199" i="5"/>
  <c r="R199" i="5"/>
  <c r="O200" i="5" s="1"/>
  <c r="S199" i="5"/>
  <c r="I156" i="3"/>
  <c r="J156" i="3"/>
  <c r="L204" i="5" l="1"/>
  <c r="I205" i="5" s="1"/>
  <c r="J204" i="5"/>
  <c r="N204" i="5"/>
  <c r="K204" i="5"/>
  <c r="H303" i="3"/>
  <c r="K303" i="3" s="1"/>
  <c r="C304" i="3"/>
  <c r="D304" i="3"/>
  <c r="G304" i="3"/>
  <c r="H304" i="3" s="1"/>
  <c r="K304" i="3" s="1"/>
  <c r="L304" i="3"/>
  <c r="B305" i="3"/>
  <c r="B305" i="5"/>
  <c r="E198" i="5"/>
  <c r="D198" i="5"/>
  <c r="Q200" i="5"/>
  <c r="P200" i="5"/>
  <c r="E157" i="3"/>
  <c r="F157" i="3" s="1"/>
  <c r="K205" i="5" l="1"/>
  <c r="J205" i="5"/>
  <c r="M204" i="5"/>
  <c r="C305" i="3"/>
  <c r="D305" i="3"/>
  <c r="G305" i="3"/>
  <c r="H305" i="3"/>
  <c r="K305" i="3" s="1"/>
  <c r="L305" i="3"/>
  <c r="B306" i="3"/>
  <c r="B306" i="5"/>
  <c r="G198" i="5"/>
  <c r="F198" i="5"/>
  <c r="C199" i="5" s="1"/>
  <c r="H198" i="5"/>
  <c r="S200" i="5"/>
  <c r="R200" i="5"/>
  <c r="O201" i="5" s="1"/>
  <c r="T200" i="5"/>
  <c r="I157" i="3"/>
  <c r="J157" i="3"/>
  <c r="L205" i="5" l="1"/>
  <c r="I206" i="5" s="1"/>
  <c r="N205" i="5"/>
  <c r="M205" i="5"/>
  <c r="C306" i="3"/>
  <c r="D306" i="3"/>
  <c r="L306" i="3" s="1"/>
  <c r="G306" i="3"/>
  <c r="B307" i="3"/>
  <c r="B307" i="5"/>
  <c r="D199" i="5"/>
  <c r="E199" i="5"/>
  <c r="Q201" i="5"/>
  <c r="P201" i="5"/>
  <c r="E158" i="3"/>
  <c r="F158" i="3" s="1"/>
  <c r="J206" i="5" l="1"/>
  <c r="K206" i="5"/>
  <c r="M206" i="5" s="1"/>
  <c r="N206" i="5"/>
  <c r="L206" i="5"/>
  <c r="I207" i="5" s="1"/>
  <c r="H306" i="3"/>
  <c r="K306" i="3" s="1"/>
  <c r="C307" i="3"/>
  <c r="G307" i="3"/>
  <c r="B308" i="3"/>
  <c r="B308" i="5"/>
  <c r="F199" i="5"/>
  <c r="C200" i="5" s="1"/>
  <c r="G199" i="5"/>
  <c r="H199" i="5"/>
  <c r="S201" i="5"/>
  <c r="R201" i="5"/>
  <c r="O202" i="5" s="1"/>
  <c r="T201" i="5"/>
  <c r="I158" i="3"/>
  <c r="J158" i="3"/>
  <c r="K207" i="5" l="1"/>
  <c r="M207" i="5" s="1"/>
  <c r="J207" i="5"/>
  <c r="C308" i="3"/>
  <c r="D308" i="3"/>
  <c r="E308" i="3"/>
  <c r="F308" i="3"/>
  <c r="G308" i="3"/>
  <c r="H308" i="3"/>
  <c r="I308" i="3"/>
  <c r="J308" i="3"/>
  <c r="K308" i="3"/>
  <c r="L308" i="3"/>
  <c r="B309" i="3"/>
  <c r="C308" i="5"/>
  <c r="I308" i="5"/>
  <c r="O308" i="5"/>
  <c r="B309" i="5"/>
  <c r="E200" i="5"/>
  <c r="G200" i="5" s="1"/>
  <c r="D200" i="5"/>
  <c r="Q202" i="5"/>
  <c r="P202" i="5"/>
  <c r="R202" i="5"/>
  <c r="O203" i="5" s="1"/>
  <c r="E159" i="3"/>
  <c r="F159" i="3" s="1"/>
  <c r="L207" i="5" l="1"/>
  <c r="I208" i="5" s="1"/>
  <c r="N207" i="5"/>
  <c r="F200" i="5"/>
  <c r="C201" i="5" s="1"/>
  <c r="H200" i="5"/>
  <c r="C309" i="3"/>
  <c r="D309" i="3"/>
  <c r="E309" i="3"/>
  <c r="F309" i="3"/>
  <c r="G309" i="3"/>
  <c r="H309" i="3"/>
  <c r="I309" i="3"/>
  <c r="J309" i="3"/>
  <c r="K309" i="3"/>
  <c r="L309" i="3"/>
  <c r="B310" i="3"/>
  <c r="D308" i="5"/>
  <c r="E308" i="5"/>
  <c r="F308" i="5"/>
  <c r="G308" i="5"/>
  <c r="H308" i="5"/>
  <c r="J308" i="5"/>
  <c r="K308" i="5"/>
  <c r="L308" i="5"/>
  <c r="M308" i="5"/>
  <c r="N308" i="5"/>
  <c r="P308" i="5"/>
  <c r="Q308" i="5"/>
  <c r="R308" i="5"/>
  <c r="S308" i="5"/>
  <c r="T308" i="5"/>
  <c r="C309" i="5"/>
  <c r="I309" i="5"/>
  <c r="O309" i="5"/>
  <c r="B310" i="5"/>
  <c r="P203" i="5"/>
  <c r="Q203" i="5"/>
  <c r="S202" i="5"/>
  <c r="T202" i="5"/>
  <c r="I159" i="3"/>
  <c r="J159" i="3"/>
  <c r="J208" i="5" l="1"/>
  <c r="K208" i="5"/>
  <c r="M208" i="5" s="1"/>
  <c r="L208" i="5"/>
  <c r="I209" i="5" s="1"/>
  <c r="N208" i="5"/>
  <c r="E201" i="5"/>
  <c r="D201" i="5"/>
  <c r="C310" i="3"/>
  <c r="D310" i="3"/>
  <c r="E310" i="3"/>
  <c r="F310" i="3"/>
  <c r="G310" i="3"/>
  <c r="H310" i="3"/>
  <c r="I310" i="3"/>
  <c r="J310" i="3"/>
  <c r="K310" i="3"/>
  <c r="L310" i="3"/>
  <c r="B311" i="3"/>
  <c r="D309" i="5"/>
  <c r="E309" i="5"/>
  <c r="F309" i="5"/>
  <c r="G309" i="5"/>
  <c r="H309" i="5"/>
  <c r="J309" i="5"/>
  <c r="K309" i="5"/>
  <c r="L309" i="5"/>
  <c r="M309" i="5"/>
  <c r="N309" i="5"/>
  <c r="P309" i="5"/>
  <c r="Q309" i="5"/>
  <c r="R309" i="5"/>
  <c r="S309" i="5"/>
  <c r="T309" i="5"/>
  <c r="C310" i="5"/>
  <c r="I310" i="5"/>
  <c r="O310" i="5"/>
  <c r="B311" i="5"/>
  <c r="E160" i="3"/>
  <c r="F160" i="3" s="1"/>
  <c r="S203" i="5"/>
  <c r="R203" i="5"/>
  <c r="O204" i="5" s="1"/>
  <c r="T203" i="5"/>
  <c r="J209" i="5" l="1"/>
  <c r="L209" i="5" s="1"/>
  <c r="I210" i="5" s="1"/>
  <c r="N209" i="5"/>
  <c r="K209" i="5"/>
  <c r="M209" i="5" s="1"/>
  <c r="H201" i="5"/>
  <c r="F201" i="5"/>
  <c r="C202" i="5" s="1"/>
  <c r="G201" i="5"/>
  <c r="C311" i="3"/>
  <c r="D311" i="3"/>
  <c r="E311" i="3"/>
  <c r="F311" i="3"/>
  <c r="G311" i="3"/>
  <c r="H311" i="3"/>
  <c r="I311" i="3"/>
  <c r="J311" i="3"/>
  <c r="K311" i="3"/>
  <c r="L311" i="3"/>
  <c r="B312" i="3"/>
  <c r="D310" i="5"/>
  <c r="E310" i="5"/>
  <c r="F310" i="5"/>
  <c r="G310" i="5"/>
  <c r="H310" i="5"/>
  <c r="J310" i="5"/>
  <c r="K310" i="5"/>
  <c r="L310" i="5"/>
  <c r="M310" i="5"/>
  <c r="N310" i="5"/>
  <c r="P310" i="5"/>
  <c r="Q310" i="5"/>
  <c r="R310" i="5"/>
  <c r="S310" i="5"/>
  <c r="T310" i="5"/>
  <c r="C311" i="5"/>
  <c r="I311" i="5"/>
  <c r="O311" i="5"/>
  <c r="B312" i="5"/>
  <c r="P204" i="5"/>
  <c r="R204" i="5" s="1"/>
  <c r="O205" i="5" s="1"/>
  <c r="Q204" i="5"/>
  <c r="T204" i="5"/>
  <c r="I160" i="3"/>
  <c r="J160" i="3"/>
  <c r="S204" i="5" l="1"/>
  <c r="K210" i="5"/>
  <c r="J210" i="5"/>
  <c r="E202" i="5"/>
  <c r="D202" i="5"/>
  <c r="C312" i="3"/>
  <c r="D312" i="3"/>
  <c r="E312" i="3"/>
  <c r="F312" i="3"/>
  <c r="G312" i="3"/>
  <c r="H312" i="3"/>
  <c r="I312" i="3"/>
  <c r="J312" i="3"/>
  <c r="K312" i="3"/>
  <c r="L312" i="3"/>
  <c r="B313" i="3"/>
  <c r="D311" i="5"/>
  <c r="E311" i="5"/>
  <c r="F311" i="5"/>
  <c r="G311" i="5"/>
  <c r="H311" i="5"/>
  <c r="J311" i="5"/>
  <c r="K311" i="5"/>
  <c r="L311" i="5"/>
  <c r="M311" i="5"/>
  <c r="N311" i="5"/>
  <c r="P311" i="5"/>
  <c r="Q311" i="5"/>
  <c r="R311" i="5"/>
  <c r="S311" i="5"/>
  <c r="T311" i="5"/>
  <c r="C312" i="5"/>
  <c r="I312" i="5"/>
  <c r="O312" i="5"/>
  <c r="B313" i="5"/>
  <c r="P205" i="5"/>
  <c r="Q205" i="5"/>
  <c r="S205" i="5" s="1"/>
  <c r="E161" i="3"/>
  <c r="F161" i="3" s="1"/>
  <c r="N210" i="5" l="1"/>
  <c r="M210" i="5"/>
  <c r="L210" i="5"/>
  <c r="I211" i="5" s="1"/>
  <c r="H202" i="5"/>
  <c r="G202" i="5"/>
  <c r="F202" i="5"/>
  <c r="C203" i="5" s="1"/>
  <c r="R205" i="5"/>
  <c r="O206" i="5" s="1"/>
  <c r="T205" i="5"/>
  <c r="C313" i="3"/>
  <c r="D313" i="3"/>
  <c r="E313" i="3"/>
  <c r="F313" i="3"/>
  <c r="G313" i="3"/>
  <c r="H313" i="3"/>
  <c r="I313" i="3"/>
  <c r="J313" i="3"/>
  <c r="K313" i="3"/>
  <c r="L313" i="3"/>
  <c r="B314" i="3"/>
  <c r="D312" i="5"/>
  <c r="E312" i="5"/>
  <c r="F312" i="5"/>
  <c r="G312" i="5"/>
  <c r="H312" i="5"/>
  <c r="J312" i="5"/>
  <c r="K312" i="5"/>
  <c r="L312" i="5"/>
  <c r="M312" i="5"/>
  <c r="N312" i="5"/>
  <c r="P312" i="5"/>
  <c r="Q312" i="5"/>
  <c r="R312" i="5"/>
  <c r="S312" i="5"/>
  <c r="T312" i="5"/>
  <c r="C313" i="5"/>
  <c r="I313" i="5"/>
  <c r="O313" i="5"/>
  <c r="B314" i="5"/>
  <c r="P206" i="5"/>
  <c r="Q206" i="5"/>
  <c r="E203" i="5"/>
  <c r="D203" i="5"/>
  <c r="I161" i="3"/>
  <c r="J161" i="3"/>
  <c r="J211" i="5" l="1"/>
  <c r="L211" i="5" s="1"/>
  <c r="I212" i="5" s="1"/>
  <c r="K211" i="5"/>
  <c r="M211" i="5" s="1"/>
  <c r="G203" i="5"/>
  <c r="N211" i="5"/>
  <c r="F203" i="5"/>
  <c r="C204" i="5" s="1"/>
  <c r="H203" i="5"/>
  <c r="C314" i="3"/>
  <c r="D314" i="3"/>
  <c r="E314" i="3"/>
  <c r="F314" i="3"/>
  <c r="G314" i="3"/>
  <c r="H314" i="3"/>
  <c r="I314" i="3"/>
  <c r="J314" i="3"/>
  <c r="K314" i="3"/>
  <c r="L314" i="3"/>
  <c r="B315" i="3"/>
  <c r="D313" i="5"/>
  <c r="E313" i="5"/>
  <c r="F313" i="5"/>
  <c r="G313" i="5"/>
  <c r="H313" i="5"/>
  <c r="J313" i="5"/>
  <c r="K313" i="5"/>
  <c r="L313" i="5"/>
  <c r="M313" i="5"/>
  <c r="N313" i="5"/>
  <c r="P313" i="5"/>
  <c r="Q313" i="5"/>
  <c r="R313" i="5"/>
  <c r="S313" i="5"/>
  <c r="T313" i="5"/>
  <c r="C314" i="5"/>
  <c r="I314" i="5"/>
  <c r="O314" i="5"/>
  <c r="B315" i="5"/>
  <c r="E162" i="3"/>
  <c r="F162" i="3" s="1"/>
  <c r="S206" i="5"/>
  <c r="R206" i="5"/>
  <c r="O207" i="5" s="1"/>
  <c r="T206" i="5"/>
  <c r="K212" i="5" l="1"/>
  <c r="J212" i="5"/>
  <c r="M212" i="5"/>
  <c r="L212" i="5"/>
  <c r="I213" i="5" s="1"/>
  <c r="N212" i="5"/>
  <c r="E204" i="5"/>
  <c r="D204" i="5"/>
  <c r="C315" i="3"/>
  <c r="D315" i="3"/>
  <c r="E315" i="3"/>
  <c r="F315" i="3"/>
  <c r="G315" i="3"/>
  <c r="H315" i="3"/>
  <c r="I315" i="3"/>
  <c r="J315" i="3"/>
  <c r="K315" i="3"/>
  <c r="L315" i="3"/>
  <c r="B316" i="3"/>
  <c r="D314" i="5"/>
  <c r="E314" i="5"/>
  <c r="F314" i="5"/>
  <c r="G314" i="5"/>
  <c r="H314" i="5"/>
  <c r="J314" i="5"/>
  <c r="K314" i="5"/>
  <c r="L314" i="5"/>
  <c r="M314" i="5"/>
  <c r="N314" i="5"/>
  <c r="P314" i="5"/>
  <c r="Q314" i="5"/>
  <c r="R314" i="5"/>
  <c r="S314" i="5"/>
  <c r="T314" i="5"/>
  <c r="C315" i="5"/>
  <c r="I315" i="5"/>
  <c r="O315" i="5"/>
  <c r="B316" i="5"/>
  <c r="Q207" i="5"/>
  <c r="P207" i="5"/>
  <c r="F204" i="5"/>
  <c r="C205" i="5" s="1"/>
  <c r="G204" i="5"/>
  <c r="H204" i="5"/>
  <c r="I162" i="3"/>
  <c r="J162" i="3"/>
  <c r="K213" i="5" l="1"/>
  <c r="J213" i="5"/>
  <c r="L213" i="5"/>
  <c r="I214" i="5" s="1"/>
  <c r="N213" i="5"/>
  <c r="K316" i="3"/>
  <c r="G316" i="3"/>
  <c r="B317" i="3"/>
  <c r="C316" i="3"/>
  <c r="F316" i="3"/>
  <c r="J316" i="3"/>
  <c r="D316" i="3"/>
  <c r="I316" i="3"/>
  <c r="L316" i="3"/>
  <c r="E316" i="3"/>
  <c r="H316" i="3"/>
  <c r="D315" i="5"/>
  <c r="E315" i="5"/>
  <c r="F315" i="5"/>
  <c r="G315" i="5"/>
  <c r="H315" i="5"/>
  <c r="J315" i="5"/>
  <c r="K315" i="5"/>
  <c r="L315" i="5"/>
  <c r="M315" i="5"/>
  <c r="N315" i="5"/>
  <c r="P315" i="5"/>
  <c r="Q315" i="5"/>
  <c r="R315" i="5"/>
  <c r="S315" i="5"/>
  <c r="T315" i="5"/>
  <c r="C316" i="5"/>
  <c r="I316" i="5"/>
  <c r="O316" i="5"/>
  <c r="B317" i="5"/>
  <c r="E205" i="5"/>
  <c r="G205" i="5" s="1"/>
  <c r="D205" i="5"/>
  <c r="E163" i="3"/>
  <c r="F163" i="3" s="1"/>
  <c r="R207" i="5"/>
  <c r="O208" i="5" s="1"/>
  <c r="T207" i="5"/>
  <c r="S207" i="5"/>
  <c r="M213" i="5" l="1"/>
  <c r="K214" i="5"/>
  <c r="J214" i="5"/>
  <c r="I317" i="3"/>
  <c r="E317" i="3"/>
  <c r="K317" i="3"/>
  <c r="D317" i="3"/>
  <c r="G317" i="3"/>
  <c r="J317" i="3"/>
  <c r="B318" i="3"/>
  <c r="C317" i="3"/>
  <c r="H317" i="3"/>
  <c r="L317" i="3"/>
  <c r="F317" i="3"/>
  <c r="D316" i="5"/>
  <c r="E316" i="5"/>
  <c r="F316" i="5"/>
  <c r="G316" i="5"/>
  <c r="H316" i="5"/>
  <c r="J316" i="5"/>
  <c r="K316" i="5"/>
  <c r="L316" i="5"/>
  <c r="M316" i="5"/>
  <c r="N316" i="5"/>
  <c r="P316" i="5"/>
  <c r="Q316" i="5"/>
  <c r="R316" i="5"/>
  <c r="S316" i="5"/>
  <c r="T316" i="5"/>
  <c r="C317" i="5"/>
  <c r="I317" i="5"/>
  <c r="O317" i="5"/>
  <c r="B318" i="5"/>
  <c r="Q208" i="5"/>
  <c r="P208" i="5"/>
  <c r="R208" i="5" s="1"/>
  <c r="O209" i="5" s="1"/>
  <c r="T208" i="5"/>
  <c r="M214" i="5"/>
  <c r="N214" i="5"/>
  <c r="L214" i="5"/>
  <c r="I215" i="5" s="1"/>
  <c r="F205" i="5"/>
  <c r="C206" i="5" s="1"/>
  <c r="H205" i="5"/>
  <c r="I163" i="3"/>
  <c r="J163" i="3"/>
  <c r="S208" i="5" l="1"/>
  <c r="F318" i="3"/>
  <c r="J318" i="3"/>
  <c r="B319" i="3"/>
  <c r="E318" i="3"/>
  <c r="G318" i="3"/>
  <c r="C318" i="3"/>
  <c r="H318" i="3"/>
  <c r="L318" i="3"/>
  <c r="D318" i="3"/>
  <c r="I318" i="3"/>
  <c r="K318" i="3"/>
  <c r="D317" i="5"/>
  <c r="E317" i="5"/>
  <c r="F317" i="5"/>
  <c r="G317" i="5"/>
  <c r="H317" i="5"/>
  <c r="J317" i="5"/>
  <c r="K317" i="5"/>
  <c r="L317" i="5"/>
  <c r="M317" i="5"/>
  <c r="N317" i="5"/>
  <c r="P317" i="5"/>
  <c r="Q317" i="5"/>
  <c r="R317" i="5"/>
  <c r="S317" i="5"/>
  <c r="T317" i="5"/>
  <c r="C318" i="5"/>
  <c r="I318" i="5"/>
  <c r="O318" i="5"/>
  <c r="B319" i="5"/>
  <c r="P209" i="5"/>
  <c r="Q209" i="5"/>
  <c r="J215" i="5"/>
  <c r="L215" i="5" s="1"/>
  <c r="I216" i="5" s="1"/>
  <c r="K215" i="5"/>
  <c r="M215" i="5" s="1"/>
  <c r="N215" i="5"/>
  <c r="E206" i="5"/>
  <c r="D206" i="5"/>
  <c r="E164" i="3"/>
  <c r="F164" i="3" s="1"/>
  <c r="S209" i="5" l="1"/>
  <c r="T209" i="5"/>
  <c r="R209" i="5"/>
  <c r="O210" i="5" s="1"/>
  <c r="F319" i="3"/>
  <c r="I319" i="3"/>
  <c r="B320" i="3"/>
  <c r="G319" i="3"/>
  <c r="L319" i="3"/>
  <c r="D319" i="3"/>
  <c r="J319" i="3"/>
  <c r="C319" i="3"/>
  <c r="E319" i="3"/>
  <c r="H319" i="3"/>
  <c r="K319" i="3"/>
  <c r="D318" i="5"/>
  <c r="E318" i="5"/>
  <c r="F318" i="5"/>
  <c r="G318" i="5"/>
  <c r="H318" i="5"/>
  <c r="J318" i="5"/>
  <c r="K318" i="5"/>
  <c r="L318" i="5"/>
  <c r="M318" i="5"/>
  <c r="N318" i="5"/>
  <c r="P318" i="5"/>
  <c r="Q318" i="5"/>
  <c r="R318" i="5"/>
  <c r="S318" i="5"/>
  <c r="T318" i="5"/>
  <c r="C319" i="5"/>
  <c r="I319" i="5"/>
  <c r="O319" i="5"/>
  <c r="B320" i="5"/>
  <c r="Q210" i="5"/>
  <c r="P210" i="5"/>
  <c r="K216" i="5"/>
  <c r="J216" i="5"/>
  <c r="G206" i="5"/>
  <c r="F206" i="5"/>
  <c r="C207" i="5" s="1"/>
  <c r="H206" i="5"/>
  <c r="I164" i="3"/>
  <c r="J164" i="3"/>
  <c r="S210" i="5" l="1"/>
  <c r="R210" i="5"/>
  <c r="O211" i="5" s="1"/>
  <c r="T210" i="5"/>
  <c r="F320" i="3"/>
  <c r="L320" i="3"/>
  <c r="D320" i="3"/>
  <c r="G320" i="3"/>
  <c r="K320" i="3"/>
  <c r="J320" i="3"/>
  <c r="H320" i="3"/>
  <c r="C320" i="3"/>
  <c r="E320" i="3"/>
  <c r="I320" i="3"/>
  <c r="B321" i="3"/>
  <c r="D319" i="5"/>
  <c r="E319" i="5"/>
  <c r="F319" i="5"/>
  <c r="G319" i="5"/>
  <c r="H319" i="5"/>
  <c r="J319" i="5"/>
  <c r="K319" i="5"/>
  <c r="L319" i="5"/>
  <c r="M319" i="5"/>
  <c r="N319" i="5"/>
  <c r="P319" i="5"/>
  <c r="Q319" i="5"/>
  <c r="R319" i="5"/>
  <c r="S319" i="5"/>
  <c r="T319" i="5"/>
  <c r="C320" i="5"/>
  <c r="I320" i="5"/>
  <c r="O320" i="5"/>
  <c r="B321" i="5"/>
  <c r="D207" i="5"/>
  <c r="E207" i="5"/>
  <c r="E165" i="3"/>
  <c r="F165" i="3" s="1"/>
  <c r="N216" i="5"/>
  <c r="M216" i="5"/>
  <c r="L216" i="5"/>
  <c r="I217" i="5" s="1"/>
  <c r="Q211" i="5" l="1"/>
  <c r="P211" i="5"/>
  <c r="F321" i="3"/>
  <c r="J321" i="3"/>
  <c r="C321" i="3"/>
  <c r="G321" i="3"/>
  <c r="L321" i="3"/>
  <c r="E321" i="3"/>
  <c r="K321" i="3"/>
  <c r="H321" i="3"/>
  <c r="D321" i="3"/>
  <c r="I321" i="3"/>
  <c r="B322" i="3"/>
  <c r="D320" i="5"/>
  <c r="E320" i="5"/>
  <c r="F320" i="5"/>
  <c r="G320" i="5"/>
  <c r="H320" i="5"/>
  <c r="J320" i="5"/>
  <c r="K320" i="5"/>
  <c r="L320" i="5"/>
  <c r="M320" i="5"/>
  <c r="N320" i="5"/>
  <c r="P320" i="5"/>
  <c r="Q320" i="5"/>
  <c r="R320" i="5"/>
  <c r="S320" i="5"/>
  <c r="T320" i="5"/>
  <c r="C321" i="5"/>
  <c r="I321" i="5"/>
  <c r="O321" i="5"/>
  <c r="B322" i="5"/>
  <c r="J217" i="5"/>
  <c r="K217" i="5"/>
  <c r="F207" i="5"/>
  <c r="C208" i="5" s="1"/>
  <c r="H207" i="5"/>
  <c r="G207" i="5"/>
  <c r="I165" i="3"/>
  <c r="J165" i="3"/>
  <c r="S211" i="5" l="1"/>
  <c r="R211" i="5"/>
  <c r="O212" i="5" s="1"/>
  <c r="T211" i="5"/>
  <c r="L217" i="5"/>
  <c r="I218" i="5" s="1"/>
  <c r="M217" i="5"/>
  <c r="N217" i="5"/>
  <c r="G322" i="3"/>
  <c r="B323" i="3"/>
  <c r="D322" i="3"/>
  <c r="I322" i="3"/>
  <c r="L322" i="3"/>
  <c r="E322" i="3"/>
  <c r="J322" i="3"/>
  <c r="F322" i="3"/>
  <c r="K322" i="3"/>
  <c r="C322" i="3"/>
  <c r="H322" i="3"/>
  <c r="D321" i="5"/>
  <c r="E321" i="5"/>
  <c r="F321" i="5"/>
  <c r="G321" i="5"/>
  <c r="H321" i="5"/>
  <c r="J321" i="5"/>
  <c r="K321" i="5"/>
  <c r="L321" i="5"/>
  <c r="M321" i="5"/>
  <c r="N321" i="5"/>
  <c r="P321" i="5"/>
  <c r="Q321" i="5"/>
  <c r="R321" i="5"/>
  <c r="S321" i="5"/>
  <c r="T321" i="5"/>
  <c r="C322" i="5"/>
  <c r="I322" i="5"/>
  <c r="O322" i="5"/>
  <c r="B323" i="5"/>
  <c r="D208" i="5"/>
  <c r="E208" i="5"/>
  <c r="E166" i="3"/>
  <c r="F166" i="3" s="1"/>
  <c r="Q212" i="5" l="1"/>
  <c r="P212" i="5"/>
  <c r="K218" i="5"/>
  <c r="M218" i="5" s="1"/>
  <c r="J218" i="5"/>
  <c r="E323" i="3"/>
  <c r="I323" i="3"/>
  <c r="L323" i="3"/>
  <c r="G323" i="3"/>
  <c r="H323" i="3"/>
  <c r="J323" i="3"/>
  <c r="B324" i="3"/>
  <c r="C323" i="3"/>
  <c r="F323" i="3"/>
  <c r="K323" i="3"/>
  <c r="D323" i="3"/>
  <c r="D322" i="5"/>
  <c r="E322" i="5"/>
  <c r="F322" i="5"/>
  <c r="G322" i="5"/>
  <c r="H322" i="5"/>
  <c r="J322" i="5"/>
  <c r="K322" i="5"/>
  <c r="L322" i="5"/>
  <c r="M322" i="5"/>
  <c r="N322" i="5"/>
  <c r="P322" i="5"/>
  <c r="Q322" i="5"/>
  <c r="R322" i="5"/>
  <c r="S322" i="5"/>
  <c r="T322" i="5"/>
  <c r="C323" i="5"/>
  <c r="I323" i="5"/>
  <c r="O323" i="5"/>
  <c r="B324" i="5"/>
  <c r="N218" i="5"/>
  <c r="L218" i="5"/>
  <c r="I219" i="5" s="1"/>
  <c r="H208" i="5"/>
  <c r="F208" i="5"/>
  <c r="C209" i="5" s="1"/>
  <c r="G208" i="5"/>
  <c r="I166" i="3"/>
  <c r="J166" i="3"/>
  <c r="R212" i="5" l="1"/>
  <c r="O213" i="5" s="1"/>
  <c r="T212" i="5"/>
  <c r="S212" i="5"/>
  <c r="H324" i="3"/>
  <c r="L324" i="3"/>
  <c r="D324" i="3"/>
  <c r="B325" i="3"/>
  <c r="C324" i="3"/>
  <c r="I324" i="3"/>
  <c r="F324" i="3"/>
  <c r="J324" i="3"/>
  <c r="G324" i="3"/>
  <c r="E324" i="3"/>
  <c r="K324" i="3"/>
  <c r="D323" i="5"/>
  <c r="E323" i="5"/>
  <c r="F323" i="5"/>
  <c r="G323" i="5"/>
  <c r="H323" i="5"/>
  <c r="J323" i="5"/>
  <c r="K323" i="5"/>
  <c r="L323" i="5"/>
  <c r="M323" i="5"/>
  <c r="N323" i="5"/>
  <c r="P323" i="5"/>
  <c r="Q323" i="5"/>
  <c r="R323" i="5"/>
  <c r="S323" i="5"/>
  <c r="T323" i="5"/>
  <c r="C324" i="5"/>
  <c r="I324" i="5"/>
  <c r="O324" i="5"/>
  <c r="B325" i="5"/>
  <c r="J219" i="5"/>
  <c r="L219" i="5" s="1"/>
  <c r="I220" i="5" s="1"/>
  <c r="K219" i="5"/>
  <c r="M219" i="5" s="1"/>
  <c r="N219" i="5"/>
  <c r="E209" i="5"/>
  <c r="D209" i="5"/>
  <c r="E167" i="3"/>
  <c r="F167" i="3" s="1"/>
  <c r="P213" i="5" l="1"/>
  <c r="Q213" i="5"/>
  <c r="S213" i="5" s="1"/>
  <c r="J325" i="3"/>
  <c r="K325" i="3"/>
  <c r="D325" i="3"/>
  <c r="H325" i="3"/>
  <c r="G325" i="3"/>
  <c r="C325" i="3"/>
  <c r="F325" i="3"/>
  <c r="I325" i="3"/>
  <c r="L325" i="3"/>
  <c r="E325" i="3"/>
  <c r="B326" i="3"/>
  <c r="D324" i="5"/>
  <c r="E324" i="5"/>
  <c r="F324" i="5"/>
  <c r="G324" i="5"/>
  <c r="H324" i="5"/>
  <c r="J324" i="5"/>
  <c r="K324" i="5"/>
  <c r="L324" i="5"/>
  <c r="M324" i="5"/>
  <c r="N324" i="5"/>
  <c r="P324" i="5"/>
  <c r="Q324" i="5"/>
  <c r="R324" i="5"/>
  <c r="S324" i="5"/>
  <c r="T324" i="5"/>
  <c r="C325" i="5"/>
  <c r="I325" i="5"/>
  <c r="O325" i="5"/>
  <c r="B326" i="5"/>
  <c r="M220" i="5"/>
  <c r="L220" i="5"/>
  <c r="I221" i="5" s="1"/>
  <c r="K220" i="5"/>
  <c r="J220" i="5"/>
  <c r="N220" i="5" s="1"/>
  <c r="H209" i="5"/>
  <c r="G209" i="5"/>
  <c r="F209" i="5"/>
  <c r="C210" i="5" s="1"/>
  <c r="I167" i="3"/>
  <c r="J167" i="3"/>
  <c r="R213" i="5" l="1"/>
  <c r="O214" i="5" s="1"/>
  <c r="T213" i="5"/>
  <c r="E326" i="3"/>
  <c r="L326" i="3"/>
  <c r="H326" i="3"/>
  <c r="K326" i="3"/>
  <c r="D326" i="3"/>
  <c r="G326" i="3"/>
  <c r="B327" i="3"/>
  <c r="I326" i="3"/>
  <c r="F326" i="3"/>
  <c r="C326" i="3"/>
  <c r="J326" i="3"/>
  <c r="D325" i="5"/>
  <c r="E325" i="5"/>
  <c r="F325" i="5"/>
  <c r="G325" i="5"/>
  <c r="H325" i="5"/>
  <c r="J325" i="5"/>
  <c r="K325" i="5"/>
  <c r="L325" i="5"/>
  <c r="M325" i="5"/>
  <c r="N325" i="5"/>
  <c r="P325" i="5"/>
  <c r="Q325" i="5"/>
  <c r="R325" i="5"/>
  <c r="S325" i="5"/>
  <c r="T325" i="5"/>
  <c r="C326" i="5"/>
  <c r="I326" i="5"/>
  <c r="O326" i="5"/>
  <c r="B327" i="5"/>
  <c r="K221" i="5"/>
  <c r="J221" i="5"/>
  <c r="D210" i="5"/>
  <c r="E210" i="5"/>
  <c r="E168" i="3"/>
  <c r="F168" i="3" s="1"/>
  <c r="P214" i="5" l="1"/>
  <c r="Q214" i="5"/>
  <c r="G327" i="3"/>
  <c r="I327" i="3"/>
  <c r="K327" i="3"/>
  <c r="D327" i="3"/>
  <c r="F327" i="3"/>
  <c r="C327" i="3"/>
  <c r="J327" i="3"/>
  <c r="B328" i="3"/>
  <c r="E327" i="3"/>
  <c r="H327" i="3"/>
  <c r="L327" i="3"/>
  <c r="D326" i="5"/>
  <c r="E326" i="5"/>
  <c r="F326" i="5"/>
  <c r="G326" i="5"/>
  <c r="H326" i="5"/>
  <c r="J326" i="5"/>
  <c r="K326" i="5"/>
  <c r="L326" i="5"/>
  <c r="M326" i="5"/>
  <c r="N326" i="5"/>
  <c r="P326" i="5"/>
  <c r="Q326" i="5"/>
  <c r="R326" i="5"/>
  <c r="S326" i="5"/>
  <c r="T326" i="5"/>
  <c r="C327" i="5"/>
  <c r="I327" i="5"/>
  <c r="O327" i="5"/>
  <c r="B328" i="5"/>
  <c r="N221" i="5"/>
  <c r="M221" i="5"/>
  <c r="L221" i="5"/>
  <c r="I222" i="5" s="1"/>
  <c r="G210" i="5"/>
  <c r="H210" i="5"/>
  <c r="F210" i="5"/>
  <c r="C211" i="5" s="1"/>
  <c r="I168" i="3"/>
  <c r="J168" i="3"/>
  <c r="T214" i="5" l="1"/>
  <c r="S214" i="5"/>
  <c r="R214" i="5"/>
  <c r="O215" i="5" s="1"/>
  <c r="F328" i="3"/>
  <c r="I328" i="3"/>
  <c r="L328" i="3"/>
  <c r="C328" i="3"/>
  <c r="G328" i="3"/>
  <c r="J328" i="3"/>
  <c r="D328" i="3"/>
  <c r="E328" i="3"/>
  <c r="K328" i="3"/>
  <c r="H328" i="3"/>
  <c r="B329" i="3"/>
  <c r="D327" i="5"/>
  <c r="E327" i="5"/>
  <c r="F327" i="5"/>
  <c r="G327" i="5"/>
  <c r="H327" i="5"/>
  <c r="J327" i="5"/>
  <c r="K327" i="5"/>
  <c r="L327" i="5"/>
  <c r="M327" i="5"/>
  <c r="N327" i="5"/>
  <c r="P327" i="5"/>
  <c r="Q327" i="5"/>
  <c r="R327" i="5"/>
  <c r="S327" i="5"/>
  <c r="T327" i="5"/>
  <c r="C328" i="5"/>
  <c r="I328" i="5"/>
  <c r="O328" i="5"/>
  <c r="B329" i="5"/>
  <c r="J222" i="5"/>
  <c r="K222" i="5"/>
  <c r="L222" i="5"/>
  <c r="I223" i="5" s="1"/>
  <c r="M222" i="5"/>
  <c r="N222" i="5"/>
  <c r="D211" i="5"/>
  <c r="E211" i="5"/>
  <c r="E169" i="3"/>
  <c r="F169" i="3" s="1"/>
  <c r="Q215" i="5" l="1"/>
  <c r="P215" i="5"/>
  <c r="F211" i="5"/>
  <c r="C212" i="5" s="1"/>
  <c r="H211" i="5"/>
  <c r="G211" i="5"/>
  <c r="E329" i="3"/>
  <c r="I329" i="3"/>
  <c r="D329" i="3"/>
  <c r="J329" i="3"/>
  <c r="K329" i="3"/>
  <c r="C329" i="3"/>
  <c r="F329" i="3"/>
  <c r="L329" i="3"/>
  <c r="G329" i="3"/>
  <c r="B330" i="3"/>
  <c r="H329" i="3"/>
  <c r="D328" i="5"/>
  <c r="E328" i="5"/>
  <c r="F328" i="5"/>
  <c r="G328" i="5"/>
  <c r="H328" i="5"/>
  <c r="J328" i="5"/>
  <c r="K328" i="5"/>
  <c r="L328" i="5"/>
  <c r="M328" i="5"/>
  <c r="N328" i="5"/>
  <c r="P328" i="5"/>
  <c r="Q328" i="5"/>
  <c r="R328" i="5"/>
  <c r="S328" i="5"/>
  <c r="T328" i="5"/>
  <c r="C329" i="5"/>
  <c r="I329" i="5"/>
  <c r="O329" i="5"/>
  <c r="B330" i="5"/>
  <c r="K223" i="5"/>
  <c r="J223" i="5"/>
  <c r="E212" i="5"/>
  <c r="D212" i="5"/>
  <c r="I169" i="3"/>
  <c r="J169" i="3"/>
  <c r="T215" i="5" l="1"/>
  <c r="S215" i="5"/>
  <c r="R215" i="5"/>
  <c r="O216" i="5" s="1"/>
  <c r="F330" i="3"/>
  <c r="L330" i="3"/>
  <c r="D330" i="3"/>
  <c r="C330" i="3"/>
  <c r="G330" i="3"/>
  <c r="J330" i="3"/>
  <c r="H330" i="3"/>
  <c r="E330" i="3"/>
  <c r="I330" i="3"/>
  <c r="B331" i="3"/>
  <c r="K330" i="3"/>
  <c r="D329" i="5"/>
  <c r="E329" i="5"/>
  <c r="F329" i="5"/>
  <c r="G329" i="5"/>
  <c r="H329" i="5"/>
  <c r="J329" i="5"/>
  <c r="K329" i="5"/>
  <c r="L329" i="5"/>
  <c r="M329" i="5"/>
  <c r="N329" i="5"/>
  <c r="P329" i="5"/>
  <c r="Q329" i="5"/>
  <c r="R329" i="5"/>
  <c r="S329" i="5"/>
  <c r="T329" i="5"/>
  <c r="C330" i="5"/>
  <c r="I330" i="5"/>
  <c r="O330" i="5"/>
  <c r="B331" i="5"/>
  <c r="E170" i="3"/>
  <c r="F170" i="3" s="1"/>
  <c r="N223" i="5"/>
  <c r="M223" i="5"/>
  <c r="L223" i="5"/>
  <c r="I224" i="5" s="1"/>
  <c r="H212" i="5"/>
  <c r="F212" i="5"/>
  <c r="C213" i="5" s="1"/>
  <c r="G212" i="5"/>
  <c r="T216" i="5" l="1"/>
  <c r="R216" i="5"/>
  <c r="O217" i="5" s="1"/>
  <c r="Q216" i="5"/>
  <c r="P216" i="5"/>
  <c r="E331" i="3"/>
  <c r="I331" i="3"/>
  <c r="B332" i="3"/>
  <c r="D331" i="3"/>
  <c r="H331" i="3"/>
  <c r="L331" i="3"/>
  <c r="J331" i="3"/>
  <c r="C331" i="3"/>
  <c r="F331" i="3"/>
  <c r="G331" i="3"/>
  <c r="K331" i="3"/>
  <c r="D330" i="5"/>
  <c r="E330" i="5"/>
  <c r="F330" i="5"/>
  <c r="G330" i="5"/>
  <c r="H330" i="5"/>
  <c r="J330" i="5"/>
  <c r="K330" i="5"/>
  <c r="L330" i="5"/>
  <c r="M330" i="5"/>
  <c r="N330" i="5"/>
  <c r="P330" i="5"/>
  <c r="Q330" i="5"/>
  <c r="R330" i="5"/>
  <c r="S330" i="5"/>
  <c r="T330" i="5"/>
  <c r="C331" i="5"/>
  <c r="I331" i="5"/>
  <c r="O331" i="5"/>
  <c r="B332" i="5"/>
  <c r="J224" i="5"/>
  <c r="K224" i="5"/>
  <c r="L224" i="5"/>
  <c r="I225" i="5" s="1"/>
  <c r="D213" i="5"/>
  <c r="E213" i="5"/>
  <c r="I170" i="3"/>
  <c r="J170" i="3"/>
  <c r="P217" i="5" l="1"/>
  <c r="Q217" i="5"/>
  <c r="S216" i="5"/>
  <c r="F213" i="5"/>
  <c r="C214" i="5" s="1"/>
  <c r="G213" i="5"/>
  <c r="H213" i="5"/>
  <c r="G332" i="3"/>
  <c r="H332" i="3"/>
  <c r="J332" i="3"/>
  <c r="D332" i="3"/>
  <c r="I332" i="3"/>
  <c r="L332" i="3"/>
  <c r="C332" i="3"/>
  <c r="E332" i="3"/>
  <c r="B333" i="3"/>
  <c r="F332" i="3"/>
  <c r="K332" i="3"/>
  <c r="D331" i="5"/>
  <c r="E331" i="5"/>
  <c r="F331" i="5"/>
  <c r="G331" i="5"/>
  <c r="H331" i="5"/>
  <c r="J331" i="5"/>
  <c r="K331" i="5"/>
  <c r="L331" i="5"/>
  <c r="M331" i="5"/>
  <c r="N331" i="5"/>
  <c r="P331" i="5"/>
  <c r="Q331" i="5"/>
  <c r="R331" i="5"/>
  <c r="S331" i="5"/>
  <c r="T331" i="5"/>
  <c r="C332" i="5"/>
  <c r="I332" i="5"/>
  <c r="O332" i="5"/>
  <c r="B333" i="5"/>
  <c r="K225" i="5"/>
  <c r="J225" i="5"/>
  <c r="E171" i="3"/>
  <c r="F171" i="3" s="1"/>
  <c r="M224" i="5"/>
  <c r="N224" i="5"/>
  <c r="R217" i="5" l="1"/>
  <c r="O218" i="5" s="1"/>
  <c r="S217" i="5"/>
  <c r="T217" i="5"/>
  <c r="E214" i="5"/>
  <c r="D214" i="5"/>
  <c r="L333" i="3"/>
  <c r="C333" i="3"/>
  <c r="G333" i="3"/>
  <c r="K333" i="3"/>
  <c r="J333" i="3"/>
  <c r="B334" i="3"/>
  <c r="D333" i="3"/>
  <c r="F333" i="3"/>
  <c r="I333" i="3"/>
  <c r="H333" i="3"/>
  <c r="E333" i="3"/>
  <c r="D332" i="5"/>
  <c r="E332" i="5"/>
  <c r="F332" i="5"/>
  <c r="G332" i="5"/>
  <c r="H332" i="5"/>
  <c r="J332" i="5"/>
  <c r="K332" i="5"/>
  <c r="L332" i="5"/>
  <c r="M332" i="5"/>
  <c r="N332" i="5"/>
  <c r="P332" i="5"/>
  <c r="Q332" i="5"/>
  <c r="R332" i="5"/>
  <c r="S332" i="5"/>
  <c r="T332" i="5"/>
  <c r="C333" i="5"/>
  <c r="I333" i="5"/>
  <c r="O333" i="5"/>
  <c r="B334" i="5"/>
  <c r="M225" i="5"/>
  <c r="L225" i="5"/>
  <c r="I226" i="5" s="1"/>
  <c r="N225" i="5"/>
  <c r="H214" i="5"/>
  <c r="F214" i="5"/>
  <c r="C215" i="5" s="1"/>
  <c r="G214" i="5"/>
  <c r="I171" i="3"/>
  <c r="J171" i="3"/>
  <c r="P218" i="5" l="1"/>
  <c r="Q218" i="5"/>
  <c r="R218" i="5"/>
  <c r="O219" i="5" s="1"/>
  <c r="S218" i="5"/>
  <c r="T218" i="5"/>
  <c r="E334" i="3"/>
  <c r="H334" i="3"/>
  <c r="J334" i="3"/>
  <c r="C334" i="3"/>
  <c r="G334" i="3"/>
  <c r="L334" i="3"/>
  <c r="D334" i="3"/>
  <c r="I334" i="3"/>
  <c r="B335" i="3"/>
  <c r="F334" i="3"/>
  <c r="K334" i="3"/>
  <c r="D333" i="5"/>
  <c r="E333" i="5"/>
  <c r="F333" i="5"/>
  <c r="G333" i="5"/>
  <c r="H333" i="5"/>
  <c r="J333" i="5"/>
  <c r="K333" i="5"/>
  <c r="L333" i="5"/>
  <c r="M333" i="5"/>
  <c r="N333" i="5"/>
  <c r="P333" i="5"/>
  <c r="Q333" i="5"/>
  <c r="R333" i="5"/>
  <c r="S333" i="5"/>
  <c r="T333" i="5"/>
  <c r="C334" i="5"/>
  <c r="I334" i="5"/>
  <c r="B335" i="5"/>
  <c r="O334" i="5"/>
  <c r="J226" i="5"/>
  <c r="K226" i="5"/>
  <c r="M226" i="5" s="1"/>
  <c r="D215" i="5"/>
  <c r="F215" i="5" s="1"/>
  <c r="C216" i="5" s="1"/>
  <c r="E215" i="5"/>
  <c r="E172" i="3"/>
  <c r="F172" i="3" s="1"/>
  <c r="R219" i="5" l="1"/>
  <c r="O220" i="5" s="1"/>
  <c r="P219" i="5"/>
  <c r="T219" i="5" s="1"/>
  <c r="Q219" i="5"/>
  <c r="S219" i="5" s="1"/>
  <c r="L226" i="5"/>
  <c r="I227" i="5" s="1"/>
  <c r="N226" i="5"/>
  <c r="H335" i="3"/>
  <c r="F335" i="3"/>
  <c r="I335" i="3"/>
  <c r="L335" i="3"/>
  <c r="D335" i="3"/>
  <c r="G335" i="3"/>
  <c r="C335" i="3"/>
  <c r="E335" i="3"/>
  <c r="J335" i="3"/>
  <c r="B336" i="3"/>
  <c r="K335" i="3"/>
  <c r="D334" i="5"/>
  <c r="E334" i="5"/>
  <c r="F334" i="5"/>
  <c r="G334" i="5"/>
  <c r="H334" i="5"/>
  <c r="N334" i="5"/>
  <c r="L334" i="5"/>
  <c r="J334" i="5"/>
  <c r="M334" i="5"/>
  <c r="K334" i="5"/>
  <c r="C335" i="5"/>
  <c r="I335" i="5"/>
  <c r="O335" i="5"/>
  <c r="B336" i="5"/>
  <c r="T334" i="5"/>
  <c r="Q334" i="5"/>
  <c r="S334" i="5"/>
  <c r="R334" i="5"/>
  <c r="P334" i="5"/>
  <c r="K227" i="5"/>
  <c r="J227" i="5"/>
  <c r="E216" i="5"/>
  <c r="D216" i="5"/>
  <c r="G215" i="5"/>
  <c r="H215" i="5"/>
  <c r="I172" i="3"/>
  <c r="J172" i="3"/>
  <c r="P220" i="5" l="1"/>
  <c r="T220" i="5" s="1"/>
  <c r="Q220" i="5"/>
  <c r="S220" i="5" s="1"/>
  <c r="R220" i="5"/>
  <c r="O221" i="5" s="1"/>
  <c r="I336" i="3"/>
  <c r="G336" i="3"/>
  <c r="K336" i="3"/>
  <c r="E336" i="3"/>
  <c r="H336" i="3"/>
  <c r="B337" i="3"/>
  <c r="C336" i="3"/>
  <c r="L336" i="3"/>
  <c r="D336" i="3"/>
  <c r="F336" i="3"/>
  <c r="J336" i="3"/>
  <c r="G335" i="5"/>
  <c r="D335" i="5"/>
  <c r="H335" i="5"/>
  <c r="F335" i="5"/>
  <c r="E335" i="5"/>
  <c r="L335" i="5"/>
  <c r="N335" i="5"/>
  <c r="J335" i="5"/>
  <c r="M335" i="5"/>
  <c r="K335" i="5"/>
  <c r="T335" i="5"/>
  <c r="S335" i="5"/>
  <c r="P335" i="5"/>
  <c r="R335" i="5"/>
  <c r="Q335" i="5"/>
  <c r="C336" i="5"/>
  <c r="B337" i="5"/>
  <c r="O336" i="5"/>
  <c r="I336" i="5"/>
  <c r="E173" i="3"/>
  <c r="F173" i="3" s="1"/>
  <c r="N227" i="5"/>
  <c r="M227" i="5"/>
  <c r="L227" i="5"/>
  <c r="I228" i="5" s="1"/>
  <c r="H216" i="5"/>
  <c r="G216" i="5"/>
  <c r="F216" i="5"/>
  <c r="C217" i="5" s="1"/>
  <c r="P221" i="5" l="1"/>
  <c r="Q221" i="5"/>
  <c r="S221" i="5" s="1"/>
  <c r="T221" i="5"/>
  <c r="R221" i="5"/>
  <c r="O222" i="5" s="1"/>
  <c r="H337" i="3"/>
  <c r="G337" i="3"/>
  <c r="L337" i="3"/>
  <c r="C337" i="3"/>
  <c r="F337" i="3"/>
  <c r="B338" i="3"/>
  <c r="E337" i="3"/>
  <c r="I337" i="3"/>
  <c r="D337" i="3"/>
  <c r="K337" i="3"/>
  <c r="J337" i="3"/>
  <c r="G336" i="5"/>
  <c r="F336" i="5"/>
  <c r="D336" i="5"/>
  <c r="E336" i="5"/>
  <c r="H336" i="5"/>
  <c r="O337" i="5"/>
  <c r="C337" i="5"/>
  <c r="I337" i="5"/>
  <c r="B338" i="5"/>
  <c r="Q336" i="5"/>
  <c r="R336" i="5"/>
  <c r="T336" i="5"/>
  <c r="P336" i="5"/>
  <c r="S336" i="5"/>
  <c r="N336" i="5"/>
  <c r="L336" i="5"/>
  <c r="J336" i="5"/>
  <c r="K336" i="5"/>
  <c r="M336" i="5"/>
  <c r="J228" i="5"/>
  <c r="K228" i="5"/>
  <c r="D217" i="5"/>
  <c r="E217" i="5"/>
  <c r="F217" i="5"/>
  <c r="C218" i="5" s="1"/>
  <c r="I173" i="3"/>
  <c r="J173" i="3"/>
  <c r="P222" i="5" l="1"/>
  <c r="Q222" i="5"/>
  <c r="R222" i="5"/>
  <c r="O223" i="5" s="1"/>
  <c r="L228" i="5"/>
  <c r="I229" i="5" s="1"/>
  <c r="M228" i="5"/>
  <c r="N228" i="5"/>
  <c r="D338" i="3"/>
  <c r="G338" i="3"/>
  <c r="B339" i="3"/>
  <c r="C338" i="3"/>
  <c r="J338" i="3"/>
  <c r="F338" i="3"/>
  <c r="H338" i="3"/>
  <c r="L338" i="3"/>
  <c r="E338" i="3"/>
  <c r="I338" i="3"/>
  <c r="K338" i="3"/>
  <c r="T337" i="5"/>
  <c r="R337" i="5"/>
  <c r="S337" i="5"/>
  <c r="P337" i="5"/>
  <c r="Q337" i="5"/>
  <c r="E337" i="5"/>
  <c r="D337" i="5"/>
  <c r="H337" i="5"/>
  <c r="G337" i="5"/>
  <c r="F337" i="5"/>
  <c r="M337" i="5"/>
  <c r="J337" i="5"/>
  <c r="K337" i="5"/>
  <c r="L337" i="5"/>
  <c r="N337" i="5"/>
  <c r="C338" i="5"/>
  <c r="B339" i="5"/>
  <c r="I338" i="5"/>
  <c r="O338" i="5"/>
  <c r="E218" i="5"/>
  <c r="D218" i="5"/>
  <c r="E174" i="3"/>
  <c r="F174" i="3" s="1"/>
  <c r="G217" i="5"/>
  <c r="H217" i="5"/>
  <c r="S222" i="5" l="1"/>
  <c r="T222" i="5"/>
  <c r="Q223" i="5"/>
  <c r="P223" i="5"/>
  <c r="K229" i="5"/>
  <c r="J229" i="5"/>
  <c r="J339" i="3"/>
  <c r="B340" i="3"/>
  <c r="C339" i="3"/>
  <c r="G339" i="3"/>
  <c r="F339" i="3"/>
  <c r="K339" i="3"/>
  <c r="E339" i="3"/>
  <c r="D339" i="3"/>
  <c r="I339" i="3"/>
  <c r="L339" i="3"/>
  <c r="H339" i="3"/>
  <c r="G338" i="5"/>
  <c r="F338" i="5"/>
  <c r="E338" i="5"/>
  <c r="D338" i="5"/>
  <c r="H338" i="5"/>
  <c r="O339" i="5"/>
  <c r="C339" i="5"/>
  <c r="I339" i="5"/>
  <c r="B340" i="5"/>
  <c r="L338" i="5"/>
  <c r="N338" i="5"/>
  <c r="M338" i="5"/>
  <c r="K338" i="5"/>
  <c r="J338" i="5"/>
  <c r="T338" i="5"/>
  <c r="S338" i="5"/>
  <c r="Q338" i="5"/>
  <c r="R338" i="5"/>
  <c r="P338" i="5"/>
  <c r="H218" i="5"/>
  <c r="G218" i="5"/>
  <c r="F218" i="5"/>
  <c r="C219" i="5" s="1"/>
  <c r="I174" i="3"/>
  <c r="J174" i="3"/>
  <c r="S223" i="5" l="1"/>
  <c r="T223" i="5"/>
  <c r="R223" i="5"/>
  <c r="O224" i="5" s="1"/>
  <c r="M229" i="5"/>
  <c r="N229" i="5"/>
  <c r="L229" i="5"/>
  <c r="I230" i="5" s="1"/>
  <c r="F340" i="3"/>
  <c r="J340" i="3"/>
  <c r="C340" i="3"/>
  <c r="H340" i="3"/>
  <c r="L340" i="3"/>
  <c r="B341" i="3"/>
  <c r="E340" i="3"/>
  <c r="I340" i="3"/>
  <c r="G340" i="3"/>
  <c r="K340" i="3"/>
  <c r="D340" i="3"/>
  <c r="R339" i="5"/>
  <c r="Q339" i="5"/>
  <c r="P339" i="5"/>
  <c r="S339" i="5"/>
  <c r="T339" i="5"/>
  <c r="H339" i="5"/>
  <c r="F339" i="5"/>
  <c r="D339" i="5"/>
  <c r="G339" i="5"/>
  <c r="E339" i="5"/>
  <c r="K339" i="5"/>
  <c r="N339" i="5"/>
  <c r="J339" i="5"/>
  <c r="M339" i="5"/>
  <c r="L339" i="5"/>
  <c r="B341" i="5"/>
  <c r="O340" i="5"/>
  <c r="I340" i="5"/>
  <c r="C340" i="5"/>
  <c r="D219" i="5"/>
  <c r="E219" i="5"/>
  <c r="E175" i="3"/>
  <c r="F175" i="3" s="1"/>
  <c r="P224" i="5" l="1"/>
  <c r="Q224" i="5"/>
  <c r="S224" i="5" s="1"/>
  <c r="R224" i="5"/>
  <c r="O225" i="5" s="1"/>
  <c r="T224" i="5"/>
  <c r="K230" i="5"/>
  <c r="J230" i="5"/>
  <c r="I175" i="3"/>
  <c r="J175" i="3"/>
  <c r="E176" i="3" s="1"/>
  <c r="F176" i="3" s="1"/>
  <c r="H341" i="3"/>
  <c r="K341" i="3"/>
  <c r="C341" i="3"/>
  <c r="G341" i="3"/>
  <c r="B342" i="3"/>
  <c r="D341" i="3"/>
  <c r="J341" i="3"/>
  <c r="F341" i="3"/>
  <c r="I341" i="3"/>
  <c r="E341" i="3"/>
  <c r="L341" i="3"/>
  <c r="B342" i="5"/>
  <c r="O341" i="5"/>
  <c r="C341" i="5"/>
  <c r="I341" i="5"/>
  <c r="Q340" i="5"/>
  <c r="T340" i="5"/>
  <c r="P340" i="5"/>
  <c r="S340" i="5"/>
  <c r="R340" i="5"/>
  <c r="M340" i="5"/>
  <c r="J340" i="5"/>
  <c r="L340" i="5"/>
  <c r="K340" i="5"/>
  <c r="N340" i="5"/>
  <c r="E340" i="5"/>
  <c r="G340" i="5"/>
  <c r="D340" i="5"/>
  <c r="F340" i="5"/>
  <c r="H340" i="5"/>
  <c r="G219" i="5"/>
  <c r="H219" i="5"/>
  <c r="F219" i="5"/>
  <c r="C220" i="5" s="1"/>
  <c r="Q225" i="5" l="1"/>
  <c r="P225" i="5"/>
  <c r="L230" i="5"/>
  <c r="I231" i="5" s="1"/>
  <c r="M230" i="5"/>
  <c r="N230" i="5"/>
  <c r="F342" i="3"/>
  <c r="H342" i="3"/>
  <c r="E342" i="3"/>
  <c r="C342" i="3"/>
  <c r="B343" i="3"/>
  <c r="D342" i="3"/>
  <c r="I342" i="3"/>
  <c r="L342" i="3"/>
  <c r="G342" i="3"/>
  <c r="K342" i="3"/>
  <c r="J342" i="3"/>
  <c r="C342" i="5"/>
  <c r="I342" i="5"/>
  <c r="B343" i="5"/>
  <c r="O342" i="5"/>
  <c r="S341" i="5"/>
  <c r="T341" i="5"/>
  <c r="P341" i="5"/>
  <c r="Q341" i="5"/>
  <c r="R341" i="5"/>
  <c r="H341" i="5"/>
  <c r="E341" i="5"/>
  <c r="G341" i="5"/>
  <c r="D341" i="5"/>
  <c r="F341" i="5"/>
  <c r="N341" i="5"/>
  <c r="L341" i="5"/>
  <c r="J341" i="5"/>
  <c r="M341" i="5"/>
  <c r="K341" i="5"/>
  <c r="J231" i="5"/>
  <c r="K231" i="5"/>
  <c r="M231" i="5" s="1"/>
  <c r="L231" i="5"/>
  <c r="I232" i="5" s="1"/>
  <c r="N231" i="5"/>
  <c r="D220" i="5"/>
  <c r="E220" i="5"/>
  <c r="R225" i="5"/>
  <c r="O226" i="5" s="1"/>
  <c r="I176" i="3"/>
  <c r="J176" i="3"/>
  <c r="T225" i="5" l="1"/>
  <c r="S225" i="5"/>
  <c r="F220" i="5"/>
  <c r="C221" i="5" s="1"/>
  <c r="D221" i="5" s="1"/>
  <c r="G220" i="5"/>
  <c r="H220" i="5"/>
  <c r="G343" i="3"/>
  <c r="I343" i="3"/>
  <c r="E343" i="3"/>
  <c r="K343" i="3"/>
  <c r="B344" i="3"/>
  <c r="H343" i="3"/>
  <c r="L343" i="3"/>
  <c r="D343" i="3"/>
  <c r="F343" i="3"/>
  <c r="J343" i="3"/>
  <c r="C343" i="3"/>
  <c r="G342" i="5"/>
  <c r="E342" i="5"/>
  <c r="D342" i="5"/>
  <c r="F342" i="5"/>
  <c r="H342" i="5"/>
  <c r="L342" i="5"/>
  <c r="N342" i="5"/>
  <c r="M342" i="5"/>
  <c r="J342" i="5"/>
  <c r="K342" i="5"/>
  <c r="O343" i="5"/>
  <c r="C343" i="5"/>
  <c r="B344" i="5"/>
  <c r="I343" i="5"/>
  <c r="S342" i="5"/>
  <c r="R342" i="5"/>
  <c r="T342" i="5"/>
  <c r="P342" i="5"/>
  <c r="Q342" i="5"/>
  <c r="K232" i="5"/>
  <c r="J232" i="5"/>
  <c r="E221" i="5"/>
  <c r="P226" i="5"/>
  <c r="Q226" i="5"/>
  <c r="S226" i="5" s="1"/>
  <c r="R226" i="5"/>
  <c r="O227" i="5" s="1"/>
  <c r="T226" i="5"/>
  <c r="E177" i="3"/>
  <c r="F177" i="3" s="1"/>
  <c r="J344" i="3" l="1"/>
  <c r="F344" i="3"/>
  <c r="D344" i="3"/>
  <c r="G344" i="3"/>
  <c r="B345" i="3"/>
  <c r="E344" i="3"/>
  <c r="H344" i="3"/>
  <c r="L344" i="3"/>
  <c r="K344" i="3"/>
  <c r="C344" i="3"/>
  <c r="I344" i="3"/>
  <c r="R343" i="5"/>
  <c r="T343" i="5"/>
  <c r="P343" i="5"/>
  <c r="S343" i="5"/>
  <c r="Q343" i="5"/>
  <c r="F343" i="5"/>
  <c r="H343" i="5"/>
  <c r="E343" i="5"/>
  <c r="D343" i="5"/>
  <c r="G343" i="5"/>
  <c r="B345" i="5"/>
  <c r="I344" i="5"/>
  <c r="O344" i="5"/>
  <c r="C344" i="5"/>
  <c r="M343" i="5"/>
  <c r="L343" i="5"/>
  <c r="N343" i="5"/>
  <c r="J343" i="5"/>
  <c r="K343" i="5"/>
  <c r="Q227" i="5"/>
  <c r="P227" i="5"/>
  <c r="L232" i="5"/>
  <c r="I233" i="5" s="1"/>
  <c r="M232" i="5"/>
  <c r="N232" i="5"/>
  <c r="G221" i="5"/>
  <c r="H221" i="5"/>
  <c r="F221" i="5"/>
  <c r="C222" i="5" s="1"/>
  <c r="I177" i="3"/>
  <c r="J177" i="3"/>
  <c r="I345" i="3" l="1"/>
  <c r="E345" i="3"/>
  <c r="F345" i="3"/>
  <c r="D345" i="3"/>
  <c r="G345" i="3"/>
  <c r="J345" i="3"/>
  <c r="L345" i="3"/>
  <c r="K345" i="3"/>
  <c r="C345" i="3"/>
  <c r="H345" i="3"/>
  <c r="B346" i="3"/>
  <c r="I345" i="5"/>
  <c r="B346" i="5"/>
  <c r="C345" i="5"/>
  <c r="O345" i="5"/>
  <c r="K344" i="5"/>
  <c r="J344" i="5"/>
  <c r="M344" i="5"/>
  <c r="L344" i="5"/>
  <c r="N344" i="5"/>
  <c r="Q344" i="5"/>
  <c r="S344" i="5"/>
  <c r="P344" i="5"/>
  <c r="R344" i="5"/>
  <c r="T344" i="5"/>
  <c r="F344" i="5"/>
  <c r="H344" i="5"/>
  <c r="D344" i="5"/>
  <c r="G344" i="5"/>
  <c r="E344" i="5"/>
  <c r="J233" i="5"/>
  <c r="K233" i="5"/>
  <c r="D222" i="5"/>
  <c r="E222" i="5"/>
  <c r="F222" i="5"/>
  <c r="C223" i="5" s="1"/>
  <c r="G222" i="5"/>
  <c r="H222" i="5"/>
  <c r="E178" i="3"/>
  <c r="F178" i="3" s="1"/>
  <c r="T227" i="5"/>
  <c r="S227" i="5"/>
  <c r="R227" i="5"/>
  <c r="O228" i="5" s="1"/>
  <c r="M233" i="5" l="1"/>
  <c r="L233" i="5"/>
  <c r="I234" i="5" s="1"/>
  <c r="N233" i="5"/>
  <c r="B347" i="3"/>
  <c r="F346" i="3"/>
  <c r="K346" i="3"/>
  <c r="G346" i="3"/>
  <c r="I346" i="3"/>
  <c r="L346" i="3"/>
  <c r="D346" i="3"/>
  <c r="H346" i="3"/>
  <c r="C346" i="3"/>
  <c r="E346" i="3"/>
  <c r="J346" i="3"/>
  <c r="K345" i="5"/>
  <c r="J345" i="5"/>
  <c r="M345" i="5"/>
  <c r="L345" i="5"/>
  <c r="N345" i="5"/>
  <c r="I346" i="5"/>
  <c r="O346" i="5"/>
  <c r="C346" i="5"/>
  <c r="B347" i="5"/>
  <c r="G345" i="5"/>
  <c r="D345" i="5"/>
  <c r="F345" i="5"/>
  <c r="H345" i="5"/>
  <c r="E345" i="5"/>
  <c r="R345" i="5"/>
  <c r="Q345" i="5"/>
  <c r="S345" i="5"/>
  <c r="P345" i="5"/>
  <c r="T345" i="5"/>
  <c r="K234" i="5"/>
  <c r="J234" i="5"/>
  <c r="E223" i="5"/>
  <c r="D223" i="5"/>
  <c r="P228" i="5"/>
  <c r="T228" i="5" s="1"/>
  <c r="Q228" i="5"/>
  <c r="S228" i="5" s="1"/>
  <c r="R228" i="5"/>
  <c r="O229" i="5" s="1"/>
  <c r="I178" i="3"/>
  <c r="J178" i="3"/>
  <c r="G347" i="3" l="1"/>
  <c r="F347" i="3"/>
  <c r="I347" i="3"/>
  <c r="L347" i="3"/>
  <c r="D347" i="3"/>
  <c r="J347" i="3"/>
  <c r="H347" i="3"/>
  <c r="K347" i="3"/>
  <c r="C347" i="3"/>
  <c r="E347" i="3"/>
  <c r="B348" i="3"/>
  <c r="L346" i="5"/>
  <c r="N346" i="5"/>
  <c r="J346" i="5"/>
  <c r="K346" i="5"/>
  <c r="M346" i="5"/>
  <c r="S346" i="5"/>
  <c r="T346" i="5"/>
  <c r="R346" i="5"/>
  <c r="P346" i="5"/>
  <c r="Q346" i="5"/>
  <c r="G346" i="5"/>
  <c r="E346" i="5"/>
  <c r="D346" i="5"/>
  <c r="H346" i="5"/>
  <c r="F346" i="5"/>
  <c r="O347" i="5"/>
  <c r="I347" i="5"/>
  <c r="B348" i="5"/>
  <c r="C347" i="5"/>
  <c r="Q229" i="5"/>
  <c r="P229" i="5"/>
  <c r="E179" i="3"/>
  <c r="F179" i="3" s="1"/>
  <c r="N234" i="5"/>
  <c r="M234" i="5"/>
  <c r="L234" i="5"/>
  <c r="I235" i="5" s="1"/>
  <c r="H223" i="5"/>
  <c r="G223" i="5"/>
  <c r="F223" i="5"/>
  <c r="C224" i="5" s="1"/>
  <c r="I348" i="3" l="1"/>
  <c r="B349" i="3"/>
  <c r="D348" i="3"/>
  <c r="F348" i="3"/>
  <c r="G348" i="3"/>
  <c r="J348" i="3"/>
  <c r="C348" i="3"/>
  <c r="H348" i="3"/>
  <c r="K348" i="3"/>
  <c r="E348" i="3"/>
  <c r="L348" i="3"/>
  <c r="R347" i="5"/>
  <c r="Q347" i="5"/>
  <c r="T347" i="5"/>
  <c r="P347" i="5"/>
  <c r="S347" i="5"/>
  <c r="N347" i="5"/>
  <c r="K347" i="5"/>
  <c r="J347" i="5"/>
  <c r="L347" i="5"/>
  <c r="M347" i="5"/>
  <c r="B349" i="5"/>
  <c r="C348" i="5"/>
  <c r="I348" i="5"/>
  <c r="O348" i="5"/>
  <c r="E347" i="5"/>
  <c r="G347" i="5"/>
  <c r="D347" i="5"/>
  <c r="H347" i="5"/>
  <c r="F347" i="5"/>
  <c r="J235" i="5"/>
  <c r="K235" i="5"/>
  <c r="D224" i="5"/>
  <c r="E224" i="5"/>
  <c r="F224" i="5"/>
  <c r="C225" i="5" s="1"/>
  <c r="T229" i="5"/>
  <c r="R229" i="5"/>
  <c r="O230" i="5" s="1"/>
  <c r="S229" i="5"/>
  <c r="I179" i="3"/>
  <c r="J179" i="3"/>
  <c r="L235" i="5" l="1"/>
  <c r="I236" i="5" s="1"/>
  <c r="M235" i="5"/>
  <c r="N235" i="5"/>
  <c r="G349" i="3"/>
  <c r="L349" i="3"/>
  <c r="C349" i="3"/>
  <c r="E349" i="3"/>
  <c r="J349" i="3"/>
  <c r="D349" i="3"/>
  <c r="F349" i="3"/>
  <c r="I349" i="3"/>
  <c r="H349" i="3"/>
  <c r="B350" i="3"/>
  <c r="K349" i="3"/>
  <c r="C349" i="5"/>
  <c r="I349" i="5"/>
  <c r="O349" i="5"/>
  <c r="B350" i="5"/>
  <c r="E348" i="5"/>
  <c r="D348" i="5"/>
  <c r="G348" i="5"/>
  <c r="H348" i="5"/>
  <c r="F348" i="5"/>
  <c r="M348" i="5"/>
  <c r="L348" i="5"/>
  <c r="N348" i="5"/>
  <c r="J348" i="5"/>
  <c r="K348" i="5"/>
  <c r="R348" i="5"/>
  <c r="T348" i="5"/>
  <c r="P348" i="5"/>
  <c r="S348" i="5"/>
  <c r="Q348" i="5"/>
  <c r="E225" i="5"/>
  <c r="D225" i="5"/>
  <c r="P230" i="5"/>
  <c r="Q230" i="5"/>
  <c r="R230" i="5"/>
  <c r="O231" i="5" s="1"/>
  <c r="E180" i="3"/>
  <c r="F180" i="3" s="1"/>
  <c r="G224" i="5"/>
  <c r="H224" i="5"/>
  <c r="K236" i="5" l="1"/>
  <c r="J236" i="5"/>
  <c r="E350" i="3"/>
  <c r="D350" i="3"/>
  <c r="G350" i="3"/>
  <c r="J350" i="3"/>
  <c r="B351" i="3"/>
  <c r="C350" i="3"/>
  <c r="H350" i="3"/>
  <c r="K350" i="3"/>
  <c r="F350" i="3"/>
  <c r="I350" i="3"/>
  <c r="L350" i="3"/>
  <c r="F349" i="5"/>
  <c r="G349" i="5"/>
  <c r="E349" i="5"/>
  <c r="D349" i="5"/>
  <c r="H349" i="5"/>
  <c r="M349" i="5"/>
  <c r="N349" i="5"/>
  <c r="L349" i="5"/>
  <c r="K349" i="5"/>
  <c r="J349" i="5"/>
  <c r="P349" i="5"/>
  <c r="S349" i="5"/>
  <c r="Q349" i="5"/>
  <c r="T349" i="5"/>
  <c r="R349" i="5"/>
  <c r="C350" i="5"/>
  <c r="B351" i="5"/>
  <c r="I350" i="5"/>
  <c r="O350" i="5"/>
  <c r="Q231" i="5"/>
  <c r="P231" i="5"/>
  <c r="M236" i="5"/>
  <c r="N236" i="5"/>
  <c r="L236" i="5"/>
  <c r="I237" i="5" s="1"/>
  <c r="H225" i="5"/>
  <c r="G225" i="5"/>
  <c r="F225" i="5"/>
  <c r="C226" i="5" s="1"/>
  <c r="S230" i="5"/>
  <c r="T230" i="5"/>
  <c r="I180" i="3"/>
  <c r="J180" i="3"/>
  <c r="F351" i="3" l="1"/>
  <c r="H351" i="3"/>
  <c r="B352" i="3"/>
  <c r="D351" i="3"/>
  <c r="K351" i="3"/>
  <c r="G351" i="3"/>
  <c r="C351" i="3"/>
  <c r="I351" i="3"/>
  <c r="E351" i="3"/>
  <c r="L351" i="3"/>
  <c r="J351" i="3"/>
  <c r="E350" i="5"/>
  <c r="H350" i="5"/>
  <c r="G350" i="5"/>
  <c r="D350" i="5"/>
  <c r="F350" i="5"/>
  <c r="I351" i="5"/>
  <c r="O351" i="5"/>
  <c r="B352" i="5"/>
  <c r="C351" i="5"/>
  <c r="M350" i="5"/>
  <c r="L350" i="5"/>
  <c r="J350" i="5"/>
  <c r="N350" i="5"/>
  <c r="K350" i="5"/>
  <c r="R350" i="5"/>
  <c r="S350" i="5"/>
  <c r="Q350" i="5"/>
  <c r="T350" i="5"/>
  <c r="P350" i="5"/>
  <c r="J237" i="5"/>
  <c r="K237" i="5"/>
  <c r="L237" i="5"/>
  <c r="I238" i="5" s="1"/>
  <c r="D226" i="5"/>
  <c r="F226" i="5" s="1"/>
  <c r="C227" i="5" s="1"/>
  <c r="E226" i="5"/>
  <c r="G226" i="5" s="1"/>
  <c r="H226" i="5"/>
  <c r="E181" i="3"/>
  <c r="F181" i="3" s="1"/>
  <c r="S231" i="5"/>
  <c r="T231" i="5"/>
  <c r="R231" i="5"/>
  <c r="O232" i="5" s="1"/>
  <c r="F352" i="3" l="1"/>
  <c r="K352" i="3"/>
  <c r="G352" i="3"/>
  <c r="B353" i="3"/>
  <c r="C352" i="3"/>
  <c r="I352" i="3"/>
  <c r="D352" i="3"/>
  <c r="L352" i="3"/>
  <c r="E352" i="3"/>
  <c r="H352" i="3"/>
  <c r="J352" i="3"/>
  <c r="M351" i="5"/>
  <c r="N351" i="5"/>
  <c r="J351" i="5"/>
  <c r="L351" i="5"/>
  <c r="K351" i="5"/>
  <c r="T351" i="5"/>
  <c r="S351" i="5"/>
  <c r="P351" i="5"/>
  <c r="Q351" i="5"/>
  <c r="R351" i="5"/>
  <c r="I352" i="5"/>
  <c r="C352" i="5"/>
  <c r="O352" i="5"/>
  <c r="B353" i="5"/>
  <c r="E351" i="5"/>
  <c r="F351" i="5"/>
  <c r="H351" i="5"/>
  <c r="D351" i="5"/>
  <c r="G351" i="5"/>
  <c r="K238" i="5"/>
  <c r="J238" i="5"/>
  <c r="E227" i="5"/>
  <c r="D227" i="5"/>
  <c r="P232" i="5"/>
  <c r="Q232" i="5"/>
  <c r="R232" i="5"/>
  <c r="O233" i="5" s="1"/>
  <c r="S232" i="5"/>
  <c r="T232" i="5"/>
  <c r="M237" i="5"/>
  <c r="N237" i="5"/>
  <c r="I181" i="3"/>
  <c r="J181" i="3"/>
  <c r="L238" i="5" l="1"/>
  <c r="I239" i="5" s="1"/>
  <c r="N238" i="5"/>
  <c r="M238" i="5"/>
  <c r="G353" i="3"/>
  <c r="J353" i="3"/>
  <c r="K353" i="3"/>
  <c r="H353" i="3"/>
  <c r="B354" i="3"/>
  <c r="C353" i="3"/>
  <c r="E353" i="3"/>
  <c r="D353" i="3"/>
  <c r="F353" i="3"/>
  <c r="I353" i="3"/>
  <c r="L353" i="3"/>
  <c r="J352" i="5"/>
  <c r="M352" i="5"/>
  <c r="L352" i="5"/>
  <c r="K352" i="5"/>
  <c r="N352" i="5"/>
  <c r="F352" i="5"/>
  <c r="G352" i="5"/>
  <c r="H352" i="5"/>
  <c r="E352" i="5"/>
  <c r="D352" i="5"/>
  <c r="S352" i="5"/>
  <c r="Q352" i="5"/>
  <c r="R352" i="5"/>
  <c r="P352" i="5"/>
  <c r="T352" i="5"/>
  <c r="C353" i="5"/>
  <c r="I353" i="5"/>
  <c r="O353" i="5"/>
  <c r="B354" i="5"/>
  <c r="K239" i="5"/>
  <c r="J239" i="5"/>
  <c r="Q233" i="5"/>
  <c r="P233" i="5"/>
  <c r="E182" i="3"/>
  <c r="F182" i="3" s="1"/>
  <c r="H227" i="5"/>
  <c r="G227" i="5"/>
  <c r="F227" i="5"/>
  <c r="C228" i="5" s="1"/>
  <c r="L239" i="5" l="1"/>
  <c r="I240" i="5" s="1"/>
  <c r="N239" i="5"/>
  <c r="M239" i="5"/>
  <c r="D354" i="3"/>
  <c r="I354" i="3"/>
  <c r="L354" i="3"/>
  <c r="G354" i="3"/>
  <c r="K354" i="3"/>
  <c r="B355" i="3"/>
  <c r="E354" i="3"/>
  <c r="J354" i="3"/>
  <c r="C354" i="3"/>
  <c r="F354" i="3"/>
  <c r="H354" i="3"/>
  <c r="G353" i="5"/>
  <c r="E353" i="5"/>
  <c r="H353" i="5"/>
  <c r="D353" i="5"/>
  <c r="F353" i="5"/>
  <c r="L353" i="5"/>
  <c r="M353" i="5"/>
  <c r="J353" i="5"/>
  <c r="N353" i="5"/>
  <c r="K353" i="5"/>
  <c r="R353" i="5"/>
  <c r="Q353" i="5"/>
  <c r="P353" i="5"/>
  <c r="T353" i="5"/>
  <c r="S353" i="5"/>
  <c r="I354" i="5"/>
  <c r="O354" i="5"/>
  <c r="B355" i="5"/>
  <c r="C354" i="5"/>
  <c r="K240" i="5"/>
  <c r="J240" i="5"/>
  <c r="D228" i="5"/>
  <c r="F228" i="5" s="1"/>
  <c r="C229" i="5" s="1"/>
  <c r="E228" i="5"/>
  <c r="G228" i="5" s="1"/>
  <c r="H228" i="5"/>
  <c r="T233" i="5"/>
  <c r="S233" i="5"/>
  <c r="R233" i="5"/>
  <c r="O234" i="5" s="1"/>
  <c r="I182" i="3"/>
  <c r="J182" i="3"/>
  <c r="E355" i="3" l="1"/>
  <c r="J355" i="3"/>
  <c r="I355" i="3"/>
  <c r="C355" i="3"/>
  <c r="G355" i="3"/>
  <c r="H355" i="3"/>
  <c r="K355" i="3"/>
  <c r="B356" i="3"/>
  <c r="D355" i="3"/>
  <c r="F355" i="3"/>
  <c r="L355" i="3"/>
  <c r="L354" i="5"/>
  <c r="K354" i="5"/>
  <c r="N354" i="5"/>
  <c r="M354" i="5"/>
  <c r="J354" i="5"/>
  <c r="R354" i="5"/>
  <c r="P354" i="5"/>
  <c r="T354" i="5"/>
  <c r="Q354" i="5"/>
  <c r="S354" i="5"/>
  <c r="O355" i="5"/>
  <c r="B356" i="5"/>
  <c r="C355" i="5"/>
  <c r="I355" i="5"/>
  <c r="H354" i="5"/>
  <c r="F354" i="5"/>
  <c r="D354" i="5"/>
  <c r="G354" i="5"/>
  <c r="E354" i="5"/>
  <c r="E229" i="5"/>
  <c r="D229" i="5"/>
  <c r="P234" i="5"/>
  <c r="Q234" i="5"/>
  <c r="S234" i="5" s="1"/>
  <c r="R234" i="5"/>
  <c r="O235" i="5" s="1"/>
  <c r="T234" i="5"/>
  <c r="E183" i="3"/>
  <c r="F183" i="3" s="1"/>
  <c r="N240" i="5"/>
  <c r="M240" i="5"/>
  <c r="L240" i="5"/>
  <c r="I241" i="5" s="1"/>
  <c r="C356" i="3" l="1"/>
  <c r="D356" i="3"/>
  <c r="E356" i="3"/>
  <c r="F356" i="3"/>
  <c r="G356" i="3"/>
  <c r="H356" i="3"/>
  <c r="I356" i="3"/>
  <c r="J356" i="3"/>
  <c r="K356" i="3"/>
  <c r="L356" i="3"/>
  <c r="B357" i="3"/>
  <c r="Q355" i="5"/>
  <c r="R355" i="5"/>
  <c r="T355" i="5"/>
  <c r="S355" i="5"/>
  <c r="P355" i="5"/>
  <c r="I356" i="5"/>
  <c r="O356" i="5"/>
  <c r="B357" i="5"/>
  <c r="C356" i="5"/>
  <c r="E355" i="5"/>
  <c r="G355" i="5"/>
  <c r="H355" i="5"/>
  <c r="F355" i="5"/>
  <c r="D355" i="5"/>
  <c r="L355" i="5"/>
  <c r="M355" i="5"/>
  <c r="J355" i="5"/>
  <c r="K355" i="5"/>
  <c r="N355" i="5"/>
  <c r="Q235" i="5"/>
  <c r="P235" i="5"/>
  <c r="J241" i="5"/>
  <c r="M241" i="5" s="1"/>
  <c r="K241" i="5"/>
  <c r="L241" i="5"/>
  <c r="I242" i="5" s="1"/>
  <c r="N241" i="5"/>
  <c r="H229" i="5"/>
  <c r="G229" i="5"/>
  <c r="F229" i="5"/>
  <c r="C230" i="5" s="1"/>
  <c r="I183" i="3"/>
  <c r="J183" i="3"/>
  <c r="C357" i="3" l="1"/>
  <c r="D357" i="3"/>
  <c r="E357" i="3"/>
  <c r="F357" i="3"/>
  <c r="G357" i="3"/>
  <c r="H357" i="3"/>
  <c r="I357" i="3"/>
  <c r="J357" i="3"/>
  <c r="K357" i="3"/>
  <c r="L357" i="3"/>
  <c r="B358" i="3"/>
  <c r="N356" i="5"/>
  <c r="L356" i="5"/>
  <c r="K356" i="5"/>
  <c r="J356" i="5"/>
  <c r="M356" i="5"/>
  <c r="Q356" i="5"/>
  <c r="S356" i="5"/>
  <c r="T356" i="5"/>
  <c r="R356" i="5"/>
  <c r="P356" i="5"/>
  <c r="I357" i="5"/>
  <c r="O357" i="5"/>
  <c r="C357" i="5"/>
  <c r="B358" i="5"/>
  <c r="G356" i="5"/>
  <c r="E356" i="5"/>
  <c r="H356" i="5"/>
  <c r="D356" i="5"/>
  <c r="F356" i="5"/>
  <c r="K242" i="5"/>
  <c r="J242" i="5"/>
  <c r="D230" i="5"/>
  <c r="E230" i="5"/>
  <c r="F230" i="5"/>
  <c r="C231" i="5" s="1"/>
  <c r="E184" i="3"/>
  <c r="F184" i="3" s="1"/>
  <c r="T235" i="5"/>
  <c r="S235" i="5"/>
  <c r="R235" i="5"/>
  <c r="O236" i="5" s="1"/>
  <c r="L242" i="5" l="1"/>
  <c r="I243" i="5" s="1"/>
  <c r="N242" i="5"/>
  <c r="M242" i="5"/>
  <c r="G230" i="5"/>
  <c r="H230" i="5"/>
  <c r="C358" i="3"/>
  <c r="D358" i="3"/>
  <c r="E358" i="3"/>
  <c r="F358" i="3"/>
  <c r="G358" i="3"/>
  <c r="H358" i="3"/>
  <c r="I358" i="3"/>
  <c r="J358" i="3"/>
  <c r="K358" i="3"/>
  <c r="L358" i="3"/>
  <c r="B359" i="3"/>
  <c r="M357" i="5"/>
  <c r="J357" i="5"/>
  <c r="N357" i="5"/>
  <c r="L357" i="5"/>
  <c r="K357" i="5"/>
  <c r="Q357" i="5"/>
  <c r="P357" i="5"/>
  <c r="S357" i="5"/>
  <c r="R357" i="5"/>
  <c r="T357" i="5"/>
  <c r="F357" i="5"/>
  <c r="D357" i="5"/>
  <c r="H357" i="5"/>
  <c r="E357" i="5"/>
  <c r="G357" i="5"/>
  <c r="I358" i="5"/>
  <c r="B359" i="5"/>
  <c r="O358" i="5"/>
  <c r="C358" i="5"/>
  <c r="K243" i="5"/>
  <c r="J243" i="5"/>
  <c r="N243" i="5" s="1"/>
  <c r="E231" i="5"/>
  <c r="D231" i="5"/>
  <c r="P236" i="5"/>
  <c r="Q236" i="5"/>
  <c r="R236" i="5"/>
  <c r="O237" i="5" s="1"/>
  <c r="S236" i="5"/>
  <c r="T236" i="5"/>
  <c r="I184" i="3"/>
  <c r="J184" i="3"/>
  <c r="C359" i="3" l="1"/>
  <c r="D359" i="3"/>
  <c r="E359" i="3"/>
  <c r="F359" i="3"/>
  <c r="G359" i="3"/>
  <c r="H359" i="3"/>
  <c r="I359" i="3"/>
  <c r="J359" i="3"/>
  <c r="K359" i="3"/>
  <c r="L359" i="3"/>
  <c r="B360" i="3"/>
  <c r="L358" i="5"/>
  <c r="J358" i="5"/>
  <c r="K358" i="5"/>
  <c r="M358" i="5"/>
  <c r="N358" i="5"/>
  <c r="B360" i="5"/>
  <c r="O359" i="5"/>
  <c r="C359" i="5"/>
  <c r="I359" i="5"/>
  <c r="R358" i="5"/>
  <c r="T358" i="5"/>
  <c r="Q358" i="5"/>
  <c r="P358" i="5"/>
  <c r="S358" i="5"/>
  <c r="G358" i="5"/>
  <c r="F358" i="5"/>
  <c r="H358" i="5"/>
  <c r="E358" i="5"/>
  <c r="D358" i="5"/>
  <c r="Q237" i="5"/>
  <c r="P237" i="5"/>
  <c r="E185" i="3"/>
  <c r="F185" i="3" s="1"/>
  <c r="M243" i="5"/>
  <c r="L243" i="5"/>
  <c r="I244" i="5" s="1"/>
  <c r="H231" i="5"/>
  <c r="G231" i="5"/>
  <c r="F231" i="5"/>
  <c r="C232" i="5" s="1"/>
  <c r="C360" i="3" l="1"/>
  <c r="D360" i="3"/>
  <c r="E360" i="3"/>
  <c r="F360" i="3"/>
  <c r="G360" i="3"/>
  <c r="H360" i="3"/>
  <c r="I360" i="3"/>
  <c r="J360" i="3"/>
  <c r="K360" i="3"/>
  <c r="L360" i="3"/>
  <c r="B361" i="3"/>
  <c r="B361" i="5"/>
  <c r="C360" i="5"/>
  <c r="I360" i="5"/>
  <c r="O360" i="5"/>
  <c r="P359" i="5"/>
  <c r="T359" i="5"/>
  <c r="R359" i="5"/>
  <c r="Q359" i="5"/>
  <c r="S359" i="5"/>
  <c r="E359" i="5"/>
  <c r="F359" i="5"/>
  <c r="H359" i="5"/>
  <c r="D359" i="5"/>
  <c r="G359" i="5"/>
  <c r="L359" i="5"/>
  <c r="K359" i="5"/>
  <c r="N359" i="5"/>
  <c r="J359" i="5"/>
  <c r="M359" i="5"/>
  <c r="J244" i="5"/>
  <c r="K244" i="5"/>
  <c r="D232" i="5"/>
  <c r="E232" i="5"/>
  <c r="G232" i="5" s="1"/>
  <c r="F232" i="5"/>
  <c r="C233" i="5" s="1"/>
  <c r="H232" i="5"/>
  <c r="S237" i="5"/>
  <c r="R237" i="5"/>
  <c r="O238" i="5" s="1"/>
  <c r="T237" i="5"/>
  <c r="I185" i="3"/>
  <c r="J185" i="3"/>
  <c r="C361" i="3" l="1"/>
  <c r="D361" i="3"/>
  <c r="E361" i="3"/>
  <c r="F361" i="3"/>
  <c r="G361" i="3"/>
  <c r="H361" i="3"/>
  <c r="I361" i="3"/>
  <c r="J361" i="3"/>
  <c r="K361" i="3"/>
  <c r="L361" i="3"/>
  <c r="B362" i="3"/>
  <c r="C361" i="5"/>
  <c r="B362" i="5"/>
  <c r="I361" i="5"/>
  <c r="O361" i="5"/>
  <c r="E360" i="5"/>
  <c r="D360" i="5"/>
  <c r="G360" i="5"/>
  <c r="H360" i="5"/>
  <c r="F360" i="5"/>
  <c r="K360" i="5"/>
  <c r="J360" i="5"/>
  <c r="N360" i="5"/>
  <c r="L360" i="5"/>
  <c r="M360" i="5"/>
  <c r="R360" i="5"/>
  <c r="T360" i="5"/>
  <c r="S360" i="5"/>
  <c r="P360" i="5"/>
  <c r="Q360" i="5"/>
  <c r="E233" i="5"/>
  <c r="D233" i="5"/>
  <c r="P238" i="5"/>
  <c r="Q238" i="5"/>
  <c r="E186" i="3"/>
  <c r="F186" i="3" s="1"/>
  <c r="M244" i="5"/>
  <c r="N244" i="5"/>
  <c r="L244" i="5"/>
  <c r="I245" i="5" s="1"/>
  <c r="C362" i="3" l="1"/>
  <c r="D362" i="3"/>
  <c r="E362" i="3"/>
  <c r="F362" i="3"/>
  <c r="G362" i="3"/>
  <c r="H362" i="3"/>
  <c r="I362" i="3"/>
  <c r="J362" i="3"/>
  <c r="K362" i="3"/>
  <c r="L362" i="3"/>
  <c r="B363" i="3"/>
  <c r="D361" i="5"/>
  <c r="F361" i="5"/>
  <c r="E361" i="5"/>
  <c r="H361" i="5"/>
  <c r="G361" i="5"/>
  <c r="B363" i="5"/>
  <c r="C362" i="5"/>
  <c r="I362" i="5"/>
  <c r="O362" i="5"/>
  <c r="J361" i="5"/>
  <c r="N361" i="5"/>
  <c r="K361" i="5"/>
  <c r="M361" i="5"/>
  <c r="L361" i="5"/>
  <c r="Q361" i="5"/>
  <c r="R361" i="5"/>
  <c r="T361" i="5"/>
  <c r="P361" i="5"/>
  <c r="S361" i="5"/>
  <c r="J245" i="5"/>
  <c r="L245" i="5" s="1"/>
  <c r="I246" i="5" s="1"/>
  <c r="K245" i="5"/>
  <c r="M245" i="5" s="1"/>
  <c r="N245" i="5"/>
  <c r="H233" i="5"/>
  <c r="G233" i="5"/>
  <c r="F233" i="5"/>
  <c r="C234" i="5" s="1"/>
  <c r="S238" i="5"/>
  <c r="T238" i="5"/>
  <c r="R238" i="5"/>
  <c r="O239" i="5" s="1"/>
  <c r="I186" i="3"/>
  <c r="J186" i="3"/>
  <c r="C363" i="3" l="1"/>
  <c r="D363" i="3"/>
  <c r="E363" i="3"/>
  <c r="F363" i="3"/>
  <c r="G363" i="3"/>
  <c r="H363" i="3"/>
  <c r="I363" i="3"/>
  <c r="J363" i="3"/>
  <c r="K363" i="3"/>
  <c r="L363" i="3"/>
  <c r="B364" i="3"/>
  <c r="O363" i="5"/>
  <c r="C363" i="5"/>
  <c r="I363" i="5"/>
  <c r="B364" i="5"/>
  <c r="E362" i="5"/>
  <c r="H362" i="5"/>
  <c r="F362" i="5"/>
  <c r="D362" i="5"/>
  <c r="G362" i="5"/>
  <c r="K362" i="5"/>
  <c r="L362" i="5"/>
  <c r="M362" i="5"/>
  <c r="J362" i="5"/>
  <c r="N362" i="5"/>
  <c r="Q362" i="5"/>
  <c r="T362" i="5"/>
  <c r="P362" i="5"/>
  <c r="S362" i="5"/>
  <c r="R362" i="5"/>
  <c r="K246" i="5"/>
  <c r="J246" i="5"/>
  <c r="D234" i="5"/>
  <c r="E234" i="5"/>
  <c r="P239" i="5"/>
  <c r="R239" i="5" s="1"/>
  <c r="O240" i="5" s="1"/>
  <c r="Q239" i="5"/>
  <c r="S239" i="5" s="1"/>
  <c r="T239" i="5"/>
  <c r="E187" i="3"/>
  <c r="F187" i="3" s="1"/>
  <c r="G234" i="5" l="1"/>
  <c r="F234" i="5"/>
  <c r="C235" i="5" s="1"/>
  <c r="H234" i="5"/>
  <c r="C364" i="3"/>
  <c r="D364" i="3"/>
  <c r="E364" i="3"/>
  <c r="F364" i="3"/>
  <c r="G364" i="3"/>
  <c r="H364" i="3"/>
  <c r="I364" i="3"/>
  <c r="J364" i="3"/>
  <c r="K364" i="3"/>
  <c r="L364" i="3"/>
  <c r="B365" i="3"/>
  <c r="Q363" i="5"/>
  <c r="T363" i="5"/>
  <c r="S363" i="5"/>
  <c r="P363" i="5"/>
  <c r="R363" i="5"/>
  <c r="G363" i="5"/>
  <c r="E363" i="5"/>
  <c r="H363" i="5"/>
  <c r="D363" i="5"/>
  <c r="F363" i="5"/>
  <c r="L363" i="5"/>
  <c r="J363" i="5"/>
  <c r="M363" i="5"/>
  <c r="K363" i="5"/>
  <c r="N363" i="5"/>
  <c r="I364" i="5"/>
  <c r="O364" i="5"/>
  <c r="B365" i="5"/>
  <c r="C364" i="5"/>
  <c r="E235" i="5"/>
  <c r="D235" i="5"/>
  <c r="Q240" i="5"/>
  <c r="P240" i="5"/>
  <c r="N246" i="5"/>
  <c r="L246" i="5"/>
  <c r="I247" i="5" s="1"/>
  <c r="M246" i="5"/>
  <c r="I187" i="3"/>
  <c r="J187" i="3"/>
  <c r="C365" i="3" l="1"/>
  <c r="D365" i="3"/>
  <c r="E365" i="3"/>
  <c r="F365" i="3"/>
  <c r="G365" i="3"/>
  <c r="H365" i="3"/>
  <c r="I365" i="3"/>
  <c r="J365" i="3"/>
  <c r="K365" i="3"/>
  <c r="L365" i="3"/>
  <c r="B366" i="3"/>
  <c r="L364" i="5"/>
  <c r="J364" i="5"/>
  <c r="N364" i="5"/>
  <c r="K364" i="5"/>
  <c r="M364" i="5"/>
  <c r="Q364" i="5"/>
  <c r="S364" i="5"/>
  <c r="P364" i="5"/>
  <c r="R364" i="5"/>
  <c r="T364" i="5"/>
  <c r="I365" i="5"/>
  <c r="O365" i="5"/>
  <c r="B366" i="5"/>
  <c r="C365" i="5"/>
  <c r="F364" i="5"/>
  <c r="H364" i="5"/>
  <c r="D364" i="5"/>
  <c r="G364" i="5"/>
  <c r="E364" i="5"/>
  <c r="J247" i="5"/>
  <c r="K247" i="5"/>
  <c r="E188" i="3"/>
  <c r="F188" i="3" s="1"/>
  <c r="H235" i="5"/>
  <c r="G235" i="5"/>
  <c r="F235" i="5"/>
  <c r="C236" i="5" s="1"/>
  <c r="T240" i="5"/>
  <c r="S240" i="5"/>
  <c r="R240" i="5"/>
  <c r="O241" i="5" s="1"/>
  <c r="L247" i="5" l="1"/>
  <c r="I248" i="5" s="1"/>
  <c r="M247" i="5"/>
  <c r="N247" i="5"/>
  <c r="C366" i="3"/>
  <c r="D366" i="3"/>
  <c r="E366" i="3"/>
  <c r="F366" i="3"/>
  <c r="G366" i="3"/>
  <c r="H366" i="3"/>
  <c r="I366" i="3"/>
  <c r="J366" i="3"/>
  <c r="K366" i="3"/>
  <c r="L366" i="3"/>
  <c r="B367" i="3"/>
  <c r="K365" i="5"/>
  <c r="M365" i="5"/>
  <c r="J365" i="5"/>
  <c r="L365" i="5"/>
  <c r="N365" i="5"/>
  <c r="S365" i="5"/>
  <c r="P365" i="5"/>
  <c r="Q365" i="5"/>
  <c r="R365" i="5"/>
  <c r="T365" i="5"/>
  <c r="I366" i="5"/>
  <c r="O366" i="5"/>
  <c r="B367" i="5"/>
  <c r="C366" i="5"/>
  <c r="H365" i="5"/>
  <c r="E365" i="5"/>
  <c r="F365" i="5"/>
  <c r="D365" i="5"/>
  <c r="G365" i="5"/>
  <c r="K248" i="5"/>
  <c r="J248" i="5"/>
  <c r="D236" i="5"/>
  <c r="E236" i="5"/>
  <c r="F236" i="5"/>
  <c r="C237" i="5" s="1"/>
  <c r="G236" i="5"/>
  <c r="H236" i="5"/>
  <c r="P241" i="5"/>
  <c r="Q241" i="5"/>
  <c r="I188" i="3"/>
  <c r="J188" i="3"/>
  <c r="C367" i="3" l="1"/>
  <c r="D367" i="3"/>
  <c r="E367" i="3"/>
  <c r="F367" i="3"/>
  <c r="G367" i="3"/>
  <c r="G6" i="3" s="1"/>
  <c r="C27" i="2" s="1"/>
  <c r="H367" i="3"/>
  <c r="I367" i="3"/>
  <c r="J367" i="3"/>
  <c r="K367" i="3"/>
  <c r="L367" i="3"/>
  <c r="L366" i="5"/>
  <c r="K366" i="5"/>
  <c r="N366" i="5"/>
  <c r="M366" i="5"/>
  <c r="J366" i="5"/>
  <c r="Q366" i="5"/>
  <c r="P366" i="5"/>
  <c r="R366" i="5"/>
  <c r="T366" i="5"/>
  <c r="S366" i="5"/>
  <c r="O367" i="5"/>
  <c r="C367" i="5"/>
  <c r="I367" i="5"/>
  <c r="E366" i="5"/>
  <c r="H366" i="5"/>
  <c r="D366" i="5"/>
  <c r="G366" i="5"/>
  <c r="F366" i="5"/>
  <c r="H237" i="5"/>
  <c r="F237" i="5"/>
  <c r="C238" i="5" s="1"/>
  <c r="E237" i="5"/>
  <c r="G237" i="5" s="1"/>
  <c r="D237" i="5"/>
  <c r="E189" i="3"/>
  <c r="F189" i="3" s="1"/>
  <c r="N248" i="5"/>
  <c r="M248" i="5"/>
  <c r="L248" i="5"/>
  <c r="I249" i="5" s="1"/>
  <c r="R241" i="5"/>
  <c r="O242" i="5" s="1"/>
  <c r="S241" i="5"/>
  <c r="T241" i="5"/>
  <c r="Q367" i="5" l="1"/>
  <c r="T367" i="5"/>
  <c r="P367" i="5"/>
  <c r="R367" i="5"/>
  <c r="S367" i="5"/>
  <c r="E367" i="5"/>
  <c r="G367" i="5"/>
  <c r="D367" i="5"/>
  <c r="F367" i="5"/>
  <c r="H367" i="5"/>
  <c r="L367" i="5"/>
  <c r="N367" i="5"/>
  <c r="J367" i="5"/>
  <c r="K367" i="5"/>
  <c r="M367" i="5"/>
  <c r="E238" i="5"/>
  <c r="D238" i="5"/>
  <c r="J249" i="5"/>
  <c r="K249" i="5"/>
  <c r="M249" i="5" s="1"/>
  <c r="L249" i="5"/>
  <c r="I250" i="5" s="1"/>
  <c r="N249" i="5"/>
  <c r="P242" i="5"/>
  <c r="Q242" i="5"/>
  <c r="I189" i="3"/>
  <c r="J189" i="3"/>
  <c r="S242" i="5" l="1"/>
  <c r="R242" i="5"/>
  <c r="O243" i="5" s="1"/>
  <c r="T242" i="5"/>
  <c r="K250" i="5"/>
  <c r="J250" i="5"/>
  <c r="Q243" i="5"/>
  <c r="P243" i="5"/>
  <c r="E190" i="3"/>
  <c r="H238" i="5"/>
  <c r="G238" i="5"/>
  <c r="F238" i="5"/>
  <c r="C239" i="5" s="1"/>
  <c r="F190" i="3" l="1"/>
  <c r="D239" i="5"/>
  <c r="E239" i="5"/>
  <c r="F239" i="5"/>
  <c r="C240" i="5" s="1"/>
  <c r="N250" i="5"/>
  <c r="M250" i="5"/>
  <c r="L250" i="5"/>
  <c r="I251" i="5" s="1"/>
  <c r="T243" i="5"/>
  <c r="R243" i="5"/>
  <c r="O244" i="5" s="1"/>
  <c r="S243" i="5"/>
  <c r="H239" i="5" l="1"/>
  <c r="G239" i="5"/>
  <c r="J190" i="3"/>
  <c r="I190" i="3"/>
  <c r="E240" i="5"/>
  <c r="D240" i="5"/>
  <c r="J251" i="5"/>
  <c r="L251" i="5" s="1"/>
  <c r="I252" i="5" s="1"/>
  <c r="K251" i="5"/>
  <c r="M251" i="5" s="1"/>
  <c r="N251" i="5"/>
  <c r="P244" i="5"/>
  <c r="Q244" i="5"/>
  <c r="R244" i="5" l="1"/>
  <c r="O245" i="5" s="1"/>
  <c r="S244" i="5"/>
  <c r="T244" i="5"/>
  <c r="E191" i="3"/>
  <c r="K252" i="5"/>
  <c r="J252" i="5"/>
  <c r="H240" i="5"/>
  <c r="F240" i="5"/>
  <c r="C241" i="5" s="1"/>
  <c r="G240" i="5"/>
  <c r="T245" i="5" l="1"/>
  <c r="Q245" i="5"/>
  <c r="P245" i="5"/>
  <c r="R245" i="5" s="1"/>
  <c r="O246" i="5" s="1"/>
  <c r="F191" i="3"/>
  <c r="D241" i="5"/>
  <c r="E241" i="5"/>
  <c r="F241" i="5"/>
  <c r="C242" i="5" s="1"/>
  <c r="G241" i="5"/>
  <c r="H241" i="5"/>
  <c r="N252" i="5"/>
  <c r="M252" i="5"/>
  <c r="L252" i="5"/>
  <c r="I253" i="5" s="1"/>
  <c r="S245" i="5" l="1"/>
  <c r="Q246" i="5"/>
  <c r="P246" i="5"/>
  <c r="J191" i="3"/>
  <c r="I191" i="3"/>
  <c r="E242" i="5"/>
  <c r="D242" i="5"/>
  <c r="J253" i="5"/>
  <c r="K253" i="5"/>
  <c r="L253" i="5"/>
  <c r="I254" i="5" s="1"/>
  <c r="M253" i="5"/>
  <c r="N253" i="5"/>
  <c r="S246" i="5" l="1"/>
  <c r="R246" i="5"/>
  <c r="O247" i="5" s="1"/>
  <c r="T246" i="5"/>
  <c r="E192" i="3"/>
  <c r="N254" i="5"/>
  <c r="K254" i="5"/>
  <c r="M254" i="5" s="1"/>
  <c r="J254" i="5"/>
  <c r="L254" i="5" s="1"/>
  <c r="I255" i="5" s="1"/>
  <c r="H242" i="5"/>
  <c r="G242" i="5"/>
  <c r="F242" i="5"/>
  <c r="C243" i="5" s="1"/>
  <c r="P247" i="5" l="1"/>
  <c r="T247" i="5" s="1"/>
  <c r="Q247" i="5"/>
  <c r="S247" i="5" s="1"/>
  <c r="R247" i="5"/>
  <c r="O248" i="5" s="1"/>
  <c r="F192" i="3"/>
  <c r="K255" i="5"/>
  <c r="J255" i="5"/>
  <c r="P248" i="5"/>
  <c r="Q248" i="5"/>
  <c r="D243" i="5"/>
  <c r="H243" i="5" s="1"/>
  <c r="E243" i="5"/>
  <c r="G243" i="5" s="1"/>
  <c r="F243" i="5"/>
  <c r="C244" i="5" s="1"/>
  <c r="J192" i="3" l="1"/>
  <c r="I192" i="3"/>
  <c r="E244" i="5"/>
  <c r="D244" i="5"/>
  <c r="N255" i="5"/>
  <c r="M255" i="5"/>
  <c r="L255" i="5"/>
  <c r="I256" i="5" s="1"/>
  <c r="R248" i="5"/>
  <c r="O249" i="5" s="1"/>
  <c r="S248" i="5"/>
  <c r="T248" i="5"/>
  <c r="E193" i="3" l="1"/>
  <c r="F193" i="3" s="1"/>
  <c r="J256" i="5"/>
  <c r="K256" i="5"/>
  <c r="L256" i="5"/>
  <c r="I257" i="5" s="1"/>
  <c r="M256" i="5"/>
  <c r="N256" i="5"/>
  <c r="P249" i="5"/>
  <c r="Q249" i="5"/>
  <c r="H244" i="5"/>
  <c r="G244" i="5"/>
  <c r="F244" i="5"/>
  <c r="C245" i="5" s="1"/>
  <c r="R249" i="5" l="1"/>
  <c r="O250" i="5" s="1"/>
  <c r="S249" i="5"/>
  <c r="T249" i="5"/>
  <c r="N257" i="5"/>
  <c r="M257" i="5"/>
  <c r="K257" i="5"/>
  <c r="J257" i="5"/>
  <c r="L257" i="5" s="1"/>
  <c r="I258" i="5" s="1"/>
  <c r="D245" i="5"/>
  <c r="E245" i="5"/>
  <c r="G245" i="5" s="1"/>
  <c r="F245" i="5"/>
  <c r="C246" i="5" s="1"/>
  <c r="H245" i="5"/>
  <c r="I193" i="3"/>
  <c r="J193" i="3"/>
  <c r="Q250" i="5" l="1"/>
  <c r="P250" i="5"/>
  <c r="K258" i="5"/>
  <c r="J258" i="5"/>
  <c r="E246" i="5"/>
  <c r="D246" i="5"/>
  <c r="E194" i="3"/>
  <c r="F194" i="3" s="1"/>
  <c r="T250" i="5"/>
  <c r="S250" i="5" l="1"/>
  <c r="R250" i="5"/>
  <c r="O251" i="5" s="1"/>
  <c r="P251" i="5"/>
  <c r="Q251" i="5"/>
  <c r="N258" i="5"/>
  <c r="M258" i="5"/>
  <c r="L258" i="5"/>
  <c r="I259" i="5" s="1"/>
  <c r="G246" i="5"/>
  <c r="F246" i="5"/>
  <c r="C247" i="5" s="1"/>
  <c r="H246" i="5"/>
  <c r="I194" i="3"/>
  <c r="J194" i="3"/>
  <c r="R251" i="5" l="1"/>
  <c r="O252" i="5" s="1"/>
  <c r="S251" i="5"/>
  <c r="T251" i="5"/>
  <c r="J259" i="5"/>
  <c r="L259" i="5" s="1"/>
  <c r="I260" i="5" s="1"/>
  <c r="K259" i="5"/>
  <c r="M259" i="5" s="1"/>
  <c r="N259" i="5"/>
  <c r="D247" i="5"/>
  <c r="H247" i="5" s="1"/>
  <c r="E247" i="5"/>
  <c r="G247" i="5" s="1"/>
  <c r="F247" i="5"/>
  <c r="C248" i="5" s="1"/>
  <c r="E195" i="3"/>
  <c r="F195" i="3" s="1"/>
  <c r="Q252" i="5" l="1"/>
  <c r="P252" i="5"/>
  <c r="K260" i="5"/>
  <c r="J260" i="5"/>
  <c r="E248" i="5"/>
  <c r="D248" i="5"/>
  <c r="I195" i="3"/>
  <c r="J195" i="3"/>
  <c r="T252" i="5" l="1"/>
  <c r="S252" i="5"/>
  <c r="R252" i="5"/>
  <c r="O253" i="5" s="1"/>
  <c r="P253" i="5"/>
  <c r="Q253" i="5"/>
  <c r="S253" i="5" s="1"/>
  <c r="R253" i="5"/>
  <c r="O254" i="5" s="1"/>
  <c r="T253" i="5"/>
  <c r="E196" i="3"/>
  <c r="F196" i="3" s="1"/>
  <c r="N260" i="5"/>
  <c r="M260" i="5"/>
  <c r="L260" i="5"/>
  <c r="I261" i="5" s="1"/>
  <c r="H248" i="5"/>
  <c r="G248" i="5"/>
  <c r="F248" i="5"/>
  <c r="C249" i="5" s="1"/>
  <c r="Q254" i="5" l="1"/>
  <c r="P254" i="5"/>
  <c r="J261" i="5"/>
  <c r="K261" i="5"/>
  <c r="M261" i="5" s="1"/>
  <c r="L261" i="5"/>
  <c r="I262" i="5" s="1"/>
  <c r="N261" i="5"/>
  <c r="D249" i="5"/>
  <c r="H249" i="5" s="1"/>
  <c r="E249" i="5"/>
  <c r="F249" i="5"/>
  <c r="C250" i="5" s="1"/>
  <c r="G249" i="5"/>
  <c r="I196" i="3"/>
  <c r="J196" i="3"/>
  <c r="J262" i="5" l="1"/>
  <c r="K262" i="5"/>
  <c r="M262" i="5" s="1"/>
  <c r="E250" i="5"/>
  <c r="D250" i="5"/>
  <c r="E197" i="3"/>
  <c r="F197" i="3" s="1"/>
  <c r="T254" i="5"/>
  <c r="S254" i="5"/>
  <c r="R254" i="5"/>
  <c r="O255" i="5" s="1"/>
  <c r="P255" i="5" l="1"/>
  <c r="R255" i="5" s="1"/>
  <c r="O256" i="5" s="1"/>
  <c r="Q255" i="5"/>
  <c r="S255" i="5"/>
  <c r="T255" i="5"/>
  <c r="N262" i="5"/>
  <c r="L262" i="5"/>
  <c r="I263" i="5" s="1"/>
  <c r="G250" i="5"/>
  <c r="F250" i="5"/>
  <c r="C251" i="5" s="1"/>
  <c r="H250" i="5"/>
  <c r="I197" i="3"/>
  <c r="J197" i="3"/>
  <c r="Q256" i="5" l="1"/>
  <c r="P256" i="5"/>
  <c r="K263" i="5"/>
  <c r="J263" i="5"/>
  <c r="N263" i="5" s="1"/>
  <c r="D251" i="5"/>
  <c r="E251" i="5"/>
  <c r="F251" i="5"/>
  <c r="C252" i="5" s="1"/>
  <c r="G251" i="5"/>
  <c r="H251" i="5"/>
  <c r="E198" i="3"/>
  <c r="F198" i="3" s="1"/>
  <c r="H252" i="5" l="1"/>
  <c r="F252" i="5"/>
  <c r="C253" i="5" s="1"/>
  <c r="E252" i="5"/>
  <c r="G252" i="5" s="1"/>
  <c r="D252" i="5"/>
  <c r="T256" i="5"/>
  <c r="S256" i="5"/>
  <c r="R256" i="5"/>
  <c r="O257" i="5" s="1"/>
  <c r="M263" i="5"/>
  <c r="L263" i="5"/>
  <c r="I264" i="5" s="1"/>
  <c r="I198" i="3"/>
  <c r="J198" i="3"/>
  <c r="E253" i="5" l="1"/>
  <c r="D253" i="5"/>
  <c r="P257" i="5"/>
  <c r="Q257" i="5"/>
  <c r="K264" i="5"/>
  <c r="J264" i="5"/>
  <c r="E199" i="3"/>
  <c r="F199" i="3" s="1"/>
  <c r="R257" i="5" l="1"/>
  <c r="O258" i="5" s="1"/>
  <c r="P258" i="5" s="1"/>
  <c r="S257" i="5"/>
  <c r="T257" i="5"/>
  <c r="Q258" i="5"/>
  <c r="H253" i="5"/>
  <c r="G253" i="5"/>
  <c r="F253" i="5"/>
  <c r="C254" i="5" s="1"/>
  <c r="N264" i="5"/>
  <c r="L264" i="5"/>
  <c r="I265" i="5" s="1"/>
  <c r="M264" i="5"/>
  <c r="I199" i="3"/>
  <c r="J199" i="3"/>
  <c r="D254" i="5" l="1"/>
  <c r="H254" i="5" s="1"/>
  <c r="E254" i="5"/>
  <c r="G254" i="5" s="1"/>
  <c r="F254" i="5"/>
  <c r="C255" i="5" s="1"/>
  <c r="K265" i="5"/>
  <c r="J265" i="5"/>
  <c r="L265" i="5"/>
  <c r="I266" i="5" s="1"/>
  <c r="M265" i="5"/>
  <c r="N265" i="5"/>
  <c r="E200" i="3"/>
  <c r="F200" i="3" s="1"/>
  <c r="T258" i="5"/>
  <c r="S258" i="5"/>
  <c r="R258" i="5"/>
  <c r="O259" i="5" s="1"/>
  <c r="E255" i="5" l="1"/>
  <c r="D255" i="5"/>
  <c r="K266" i="5"/>
  <c r="J266" i="5"/>
  <c r="P259" i="5"/>
  <c r="Q259" i="5"/>
  <c r="R259" i="5"/>
  <c r="O260" i="5" s="1"/>
  <c r="I200" i="3"/>
  <c r="J200" i="3"/>
  <c r="Q260" i="5" l="1"/>
  <c r="P260" i="5"/>
  <c r="E201" i="3"/>
  <c r="F201" i="3" s="1"/>
  <c r="H255" i="5"/>
  <c r="G255" i="5"/>
  <c r="F255" i="5"/>
  <c r="C256" i="5" s="1"/>
  <c r="N266" i="5"/>
  <c r="L266" i="5"/>
  <c r="I267" i="5" s="1"/>
  <c r="M266" i="5"/>
  <c r="S259" i="5"/>
  <c r="T259" i="5"/>
  <c r="D256" i="5" l="1"/>
  <c r="F256" i="5" s="1"/>
  <c r="C257" i="5" s="1"/>
  <c r="E256" i="5"/>
  <c r="J267" i="5"/>
  <c r="K267" i="5"/>
  <c r="T260" i="5"/>
  <c r="S260" i="5"/>
  <c r="R260" i="5"/>
  <c r="O261" i="5" s="1"/>
  <c r="I201" i="3"/>
  <c r="J201" i="3"/>
  <c r="L267" i="5" l="1"/>
  <c r="I268" i="5" s="1"/>
  <c r="M267" i="5"/>
  <c r="N267" i="5"/>
  <c r="E257" i="5"/>
  <c r="D257" i="5"/>
  <c r="P261" i="5"/>
  <c r="Q261" i="5"/>
  <c r="E202" i="3"/>
  <c r="F202" i="3" s="1"/>
  <c r="G256" i="5"/>
  <c r="H256" i="5"/>
  <c r="K268" i="5" l="1"/>
  <c r="J268" i="5"/>
  <c r="H257" i="5"/>
  <c r="G257" i="5"/>
  <c r="F257" i="5"/>
  <c r="C258" i="5" s="1"/>
  <c r="S261" i="5"/>
  <c r="R261" i="5"/>
  <c r="O262" i="5" s="1"/>
  <c r="T261" i="5"/>
  <c r="I202" i="3"/>
  <c r="J202" i="3"/>
  <c r="N268" i="5" l="1"/>
  <c r="M268" i="5"/>
  <c r="L268" i="5"/>
  <c r="I269" i="5" s="1"/>
  <c r="D258" i="5"/>
  <c r="E258" i="5"/>
  <c r="F258" i="5"/>
  <c r="C259" i="5" s="1"/>
  <c r="Q262" i="5"/>
  <c r="P262" i="5"/>
  <c r="E203" i="3"/>
  <c r="F203" i="3" s="1"/>
  <c r="S262" i="5" l="1"/>
  <c r="J269" i="5"/>
  <c r="K269" i="5"/>
  <c r="G258" i="5"/>
  <c r="H258" i="5"/>
  <c r="R262" i="5"/>
  <c r="O263" i="5" s="1"/>
  <c r="T262" i="5"/>
  <c r="E259" i="5"/>
  <c r="D259" i="5"/>
  <c r="P263" i="5"/>
  <c r="Q263" i="5"/>
  <c r="S263" i="5" s="1"/>
  <c r="L269" i="5"/>
  <c r="I270" i="5" s="1"/>
  <c r="M269" i="5"/>
  <c r="N269" i="5"/>
  <c r="I203" i="3"/>
  <c r="J203" i="3"/>
  <c r="H259" i="5" l="1"/>
  <c r="G259" i="5"/>
  <c r="F259" i="5"/>
  <c r="C260" i="5" s="1"/>
  <c r="T263" i="5"/>
  <c r="R263" i="5"/>
  <c r="O264" i="5" s="1"/>
  <c r="Q264" i="5"/>
  <c r="P264" i="5"/>
  <c r="J270" i="5"/>
  <c r="N270" i="5" s="1"/>
  <c r="K270" i="5"/>
  <c r="L270" i="5"/>
  <c r="I271" i="5" s="1"/>
  <c r="M270" i="5"/>
  <c r="E204" i="3"/>
  <c r="F204" i="3" s="1"/>
  <c r="E260" i="5" l="1"/>
  <c r="D260" i="5"/>
  <c r="F260" i="5" s="1"/>
  <c r="C261" i="5" s="1"/>
  <c r="K271" i="5"/>
  <c r="M271" i="5" s="1"/>
  <c r="J271" i="5"/>
  <c r="H260" i="5"/>
  <c r="G260" i="5"/>
  <c r="T264" i="5"/>
  <c r="S264" i="5"/>
  <c r="R264" i="5"/>
  <c r="O265" i="5" s="1"/>
  <c r="I204" i="3"/>
  <c r="J204" i="3"/>
  <c r="N271" i="5" l="1"/>
  <c r="L271" i="5"/>
  <c r="I272" i="5" s="1"/>
  <c r="D261" i="5"/>
  <c r="E261" i="5"/>
  <c r="F261" i="5"/>
  <c r="C262" i="5" s="1"/>
  <c r="G261" i="5"/>
  <c r="H261" i="5"/>
  <c r="Q265" i="5"/>
  <c r="P265" i="5"/>
  <c r="E205" i="3"/>
  <c r="F205" i="3" s="1"/>
  <c r="K272" i="5" l="1"/>
  <c r="J272" i="5"/>
  <c r="E262" i="5"/>
  <c r="D262" i="5"/>
  <c r="S265" i="5"/>
  <c r="R265" i="5"/>
  <c r="O266" i="5" s="1"/>
  <c r="T265" i="5"/>
  <c r="I205" i="3"/>
  <c r="J205" i="3"/>
  <c r="N272" i="5" l="1"/>
  <c r="M272" i="5"/>
  <c r="L272" i="5"/>
  <c r="I273" i="5" s="1"/>
  <c r="P266" i="5"/>
  <c r="Q266" i="5"/>
  <c r="E206" i="3"/>
  <c r="F206" i="3" s="1"/>
  <c r="G262" i="5"/>
  <c r="H262" i="5"/>
  <c r="F262" i="5"/>
  <c r="C263" i="5" s="1"/>
  <c r="J273" i="5" l="1"/>
  <c r="K273" i="5"/>
  <c r="M273" i="5" s="1"/>
  <c r="L273" i="5"/>
  <c r="I274" i="5" s="1"/>
  <c r="N273" i="5"/>
  <c r="K274" i="5"/>
  <c r="J274" i="5"/>
  <c r="E263" i="5"/>
  <c r="D263" i="5"/>
  <c r="R266" i="5"/>
  <c r="O267" i="5" s="1"/>
  <c r="S266" i="5"/>
  <c r="T266" i="5"/>
  <c r="I206" i="3"/>
  <c r="J206" i="3"/>
  <c r="P267" i="5" l="1"/>
  <c r="Q267" i="5"/>
  <c r="S267" i="5" s="1"/>
  <c r="R267" i="5"/>
  <c r="O268" i="5" s="1"/>
  <c r="T267" i="5"/>
  <c r="E207" i="3"/>
  <c r="F207" i="3" s="1"/>
  <c r="N274" i="5"/>
  <c r="L274" i="5"/>
  <c r="I275" i="5" s="1"/>
  <c r="M274" i="5"/>
  <c r="G263" i="5"/>
  <c r="F263" i="5"/>
  <c r="C264" i="5" s="1"/>
  <c r="H263" i="5"/>
  <c r="Q268" i="5" l="1"/>
  <c r="P268" i="5"/>
  <c r="J275" i="5"/>
  <c r="K275" i="5"/>
  <c r="E264" i="5"/>
  <c r="D264" i="5"/>
  <c r="I207" i="3"/>
  <c r="J207" i="3"/>
  <c r="G264" i="5" l="1"/>
  <c r="F264" i="5"/>
  <c r="C265" i="5" s="1"/>
  <c r="H264" i="5"/>
  <c r="E208" i="3"/>
  <c r="F208" i="3" s="1"/>
  <c r="T268" i="5"/>
  <c r="S268" i="5"/>
  <c r="R268" i="5"/>
  <c r="O269" i="5" s="1"/>
  <c r="L275" i="5"/>
  <c r="I276" i="5" s="1"/>
  <c r="M275" i="5"/>
  <c r="N275" i="5"/>
  <c r="D265" i="5" l="1"/>
  <c r="E265" i="5"/>
  <c r="P269" i="5"/>
  <c r="Q269" i="5"/>
  <c r="T269" i="5"/>
  <c r="J276" i="5"/>
  <c r="K276" i="5"/>
  <c r="I208" i="3"/>
  <c r="J208" i="3"/>
  <c r="H265" i="5" l="1"/>
  <c r="F265" i="5"/>
  <c r="C266" i="5" s="1"/>
  <c r="G265" i="5"/>
  <c r="N276" i="5"/>
  <c r="L276" i="5"/>
  <c r="I277" i="5" s="1"/>
  <c r="M276" i="5"/>
  <c r="E266" i="5"/>
  <c r="D266" i="5"/>
  <c r="E209" i="3"/>
  <c r="F209" i="3" s="1"/>
  <c r="R269" i="5"/>
  <c r="O270" i="5" s="1"/>
  <c r="S269" i="5"/>
  <c r="K277" i="5" l="1"/>
  <c r="J277" i="5"/>
  <c r="P270" i="5"/>
  <c r="Q270" i="5"/>
  <c r="R270" i="5"/>
  <c r="O271" i="5" s="1"/>
  <c r="N277" i="5"/>
  <c r="M277" i="5"/>
  <c r="L277" i="5"/>
  <c r="I278" i="5" s="1"/>
  <c r="H266" i="5"/>
  <c r="G266" i="5"/>
  <c r="F266" i="5"/>
  <c r="C267" i="5" s="1"/>
  <c r="I209" i="3"/>
  <c r="J209" i="3"/>
  <c r="Q271" i="5" l="1"/>
  <c r="P271" i="5"/>
  <c r="J278" i="5"/>
  <c r="K278" i="5"/>
  <c r="D267" i="5"/>
  <c r="F267" i="5" s="1"/>
  <c r="C268" i="5" s="1"/>
  <c r="E267" i="5"/>
  <c r="E210" i="3"/>
  <c r="F210" i="3" s="1"/>
  <c r="S270" i="5"/>
  <c r="T270" i="5"/>
  <c r="H268" i="5" l="1"/>
  <c r="E268" i="5"/>
  <c r="D268" i="5"/>
  <c r="T271" i="5"/>
  <c r="S271" i="5"/>
  <c r="R271" i="5"/>
  <c r="O272" i="5" s="1"/>
  <c r="L278" i="5"/>
  <c r="I279" i="5" s="1"/>
  <c r="M278" i="5"/>
  <c r="N278" i="5"/>
  <c r="G267" i="5"/>
  <c r="H267" i="5"/>
  <c r="I210" i="3"/>
  <c r="J210" i="3"/>
  <c r="P272" i="5" l="1"/>
  <c r="Q272" i="5"/>
  <c r="S272" i="5" s="1"/>
  <c r="J279" i="5"/>
  <c r="K279" i="5"/>
  <c r="L279" i="5"/>
  <c r="I280" i="5" s="1"/>
  <c r="M279" i="5"/>
  <c r="N279" i="5"/>
  <c r="E211" i="3"/>
  <c r="F211" i="3" s="1"/>
  <c r="G268" i="5"/>
  <c r="F268" i="5"/>
  <c r="C269" i="5" s="1"/>
  <c r="R272" i="5" l="1"/>
  <c r="O273" i="5" s="1"/>
  <c r="T272" i="5"/>
  <c r="J280" i="5"/>
  <c r="K280" i="5"/>
  <c r="D269" i="5"/>
  <c r="E269" i="5"/>
  <c r="I211" i="3"/>
  <c r="J211" i="3"/>
  <c r="Q273" i="5" l="1"/>
  <c r="P273" i="5"/>
  <c r="F269" i="5"/>
  <c r="C270" i="5" s="1"/>
  <c r="G269" i="5"/>
  <c r="H269" i="5"/>
  <c r="E270" i="5"/>
  <c r="D270" i="5"/>
  <c r="E212" i="3"/>
  <c r="F212" i="3" s="1"/>
  <c r="T273" i="5"/>
  <c r="S273" i="5"/>
  <c r="R273" i="5"/>
  <c r="O274" i="5" s="1"/>
  <c r="N280" i="5"/>
  <c r="L280" i="5"/>
  <c r="I281" i="5" s="1"/>
  <c r="M280" i="5"/>
  <c r="P274" i="5" l="1"/>
  <c r="Q274" i="5"/>
  <c r="K281" i="5"/>
  <c r="J281" i="5"/>
  <c r="G270" i="5"/>
  <c r="H270" i="5"/>
  <c r="F270" i="5"/>
  <c r="C271" i="5" s="1"/>
  <c r="I212" i="3"/>
  <c r="J212" i="3"/>
  <c r="D271" i="5" l="1"/>
  <c r="G271" i="5" s="1"/>
  <c r="E271" i="5"/>
  <c r="F271" i="5"/>
  <c r="C272" i="5" s="1"/>
  <c r="H271" i="5"/>
  <c r="E213" i="3"/>
  <c r="F213" i="3" s="1"/>
  <c r="R274" i="5"/>
  <c r="O275" i="5" s="1"/>
  <c r="S274" i="5"/>
  <c r="T274" i="5"/>
  <c r="L281" i="5"/>
  <c r="I282" i="5" s="1"/>
  <c r="M281" i="5"/>
  <c r="N281" i="5"/>
  <c r="E272" i="5" l="1"/>
  <c r="D272" i="5"/>
  <c r="P275" i="5"/>
  <c r="Q275" i="5"/>
  <c r="J282" i="5"/>
  <c r="K282" i="5"/>
  <c r="M282" i="5" s="1"/>
  <c r="L282" i="5"/>
  <c r="I283" i="5" s="1"/>
  <c r="N282" i="5"/>
  <c r="I213" i="3"/>
  <c r="J213" i="3"/>
  <c r="F272" i="5" l="1"/>
  <c r="C273" i="5" s="1"/>
  <c r="H272" i="5"/>
  <c r="G272" i="5"/>
  <c r="R275" i="5"/>
  <c r="O276" i="5" s="1"/>
  <c r="S275" i="5"/>
  <c r="T275" i="5"/>
  <c r="E273" i="5"/>
  <c r="D273" i="5"/>
  <c r="Q276" i="5"/>
  <c r="P276" i="5"/>
  <c r="K283" i="5"/>
  <c r="J283" i="5"/>
  <c r="E214" i="3"/>
  <c r="F214" i="3" s="1"/>
  <c r="H273" i="5" l="1"/>
  <c r="G273" i="5"/>
  <c r="F273" i="5"/>
  <c r="C274" i="5" s="1"/>
  <c r="S276" i="5"/>
  <c r="T276" i="5"/>
  <c r="R276" i="5"/>
  <c r="O277" i="5" s="1"/>
  <c r="N283" i="5"/>
  <c r="L283" i="5"/>
  <c r="I284" i="5" s="1"/>
  <c r="M283" i="5"/>
  <c r="I214" i="3"/>
  <c r="J214" i="3"/>
  <c r="D274" i="5" l="1"/>
  <c r="E274" i="5"/>
  <c r="F274" i="5"/>
  <c r="C275" i="5" s="1"/>
  <c r="G274" i="5"/>
  <c r="H274" i="5"/>
  <c r="P277" i="5"/>
  <c r="Q277" i="5"/>
  <c r="S277" i="5" s="1"/>
  <c r="R277" i="5"/>
  <c r="O278" i="5" s="1"/>
  <c r="T277" i="5"/>
  <c r="J284" i="5"/>
  <c r="K284" i="5"/>
  <c r="L284" i="5"/>
  <c r="I285" i="5" s="1"/>
  <c r="E215" i="3"/>
  <c r="F215" i="3" s="1"/>
  <c r="M284" i="5" l="1"/>
  <c r="N284" i="5"/>
  <c r="E275" i="5"/>
  <c r="D275" i="5"/>
  <c r="Q278" i="5"/>
  <c r="S278" i="5" s="1"/>
  <c r="P278" i="5"/>
  <c r="N285" i="5"/>
  <c r="M285" i="5"/>
  <c r="K285" i="5"/>
  <c r="J285" i="5"/>
  <c r="L285" i="5" s="1"/>
  <c r="I286" i="5" s="1"/>
  <c r="I215" i="3"/>
  <c r="J215" i="3"/>
  <c r="T278" i="5" l="1"/>
  <c r="R278" i="5"/>
  <c r="O279" i="5" s="1"/>
  <c r="K286" i="5"/>
  <c r="J286" i="5"/>
  <c r="E216" i="3"/>
  <c r="F216" i="3" s="1"/>
  <c r="H275" i="5"/>
  <c r="G275" i="5"/>
  <c r="F275" i="5"/>
  <c r="C276" i="5" s="1"/>
  <c r="Q279" i="5" l="1"/>
  <c r="P279" i="5"/>
  <c r="D276" i="5"/>
  <c r="E276" i="5"/>
  <c r="F276" i="5"/>
  <c r="C277" i="5" s="1"/>
  <c r="G276" i="5"/>
  <c r="H276" i="5"/>
  <c r="T279" i="5"/>
  <c r="S279" i="5"/>
  <c r="R279" i="5"/>
  <c r="O280" i="5" s="1"/>
  <c r="N286" i="5"/>
  <c r="M286" i="5"/>
  <c r="L286" i="5"/>
  <c r="I287" i="5" s="1"/>
  <c r="I216" i="3"/>
  <c r="J216" i="3"/>
  <c r="E277" i="5" l="1"/>
  <c r="D277" i="5"/>
  <c r="P280" i="5"/>
  <c r="Q280" i="5"/>
  <c r="S280" i="5" s="1"/>
  <c r="J287" i="5"/>
  <c r="K287" i="5"/>
  <c r="L287" i="5"/>
  <c r="I288" i="5" s="1"/>
  <c r="E217" i="3"/>
  <c r="F217" i="3" s="1"/>
  <c r="R280" i="5" l="1"/>
  <c r="O281" i="5" s="1"/>
  <c r="T280" i="5"/>
  <c r="M287" i="5"/>
  <c r="N287" i="5"/>
  <c r="K288" i="5"/>
  <c r="J288" i="5"/>
  <c r="H277" i="5"/>
  <c r="G277" i="5"/>
  <c r="F277" i="5"/>
  <c r="C278" i="5" s="1"/>
  <c r="I217" i="3"/>
  <c r="J217" i="3"/>
  <c r="Q281" i="5" l="1"/>
  <c r="P281" i="5"/>
  <c r="T281" i="5"/>
  <c r="D278" i="5"/>
  <c r="E278" i="5"/>
  <c r="F278" i="5"/>
  <c r="C279" i="5" s="1"/>
  <c r="E218" i="3"/>
  <c r="F218" i="3" s="1"/>
  <c r="N288" i="5"/>
  <c r="M288" i="5"/>
  <c r="L288" i="5"/>
  <c r="I289" i="5" s="1"/>
  <c r="S281" i="5" l="1"/>
  <c r="R281" i="5"/>
  <c r="O282" i="5" s="1"/>
  <c r="G278" i="5"/>
  <c r="H278" i="5"/>
  <c r="H279" i="5"/>
  <c r="G279" i="5"/>
  <c r="F279" i="5"/>
  <c r="C280" i="5" s="1"/>
  <c r="E279" i="5"/>
  <c r="D279" i="5"/>
  <c r="J289" i="5"/>
  <c r="K289" i="5"/>
  <c r="M289" i="5" s="1"/>
  <c r="L289" i="5"/>
  <c r="I290" i="5" s="1"/>
  <c r="N289" i="5"/>
  <c r="I218" i="3"/>
  <c r="J218" i="3"/>
  <c r="P282" i="5" l="1"/>
  <c r="T282" i="5" s="1"/>
  <c r="Q282" i="5"/>
  <c r="R282" i="5"/>
  <c r="O283" i="5" s="1"/>
  <c r="S282" i="5"/>
  <c r="E280" i="5"/>
  <c r="D280" i="5"/>
  <c r="K290" i="5"/>
  <c r="J290" i="5"/>
  <c r="E219" i="3"/>
  <c r="F219" i="3" s="1"/>
  <c r="Q283" i="5" l="1"/>
  <c r="P283" i="5"/>
  <c r="H280" i="5"/>
  <c r="G280" i="5"/>
  <c r="F280" i="5"/>
  <c r="C281" i="5" s="1"/>
  <c r="N290" i="5"/>
  <c r="M290" i="5"/>
  <c r="L290" i="5"/>
  <c r="I291" i="5" s="1"/>
  <c r="I219" i="3"/>
  <c r="J219" i="3"/>
  <c r="T283" i="5" l="1"/>
  <c r="S283" i="5"/>
  <c r="R283" i="5"/>
  <c r="O284" i="5" s="1"/>
  <c r="E281" i="5"/>
  <c r="D281" i="5"/>
  <c r="F281" i="5"/>
  <c r="C282" i="5" s="1"/>
  <c r="P284" i="5"/>
  <c r="Q284" i="5"/>
  <c r="S284" i="5" s="1"/>
  <c r="R284" i="5"/>
  <c r="O285" i="5" s="1"/>
  <c r="T284" i="5"/>
  <c r="J291" i="5"/>
  <c r="N291" i="5" s="1"/>
  <c r="K291" i="5"/>
  <c r="L291" i="5"/>
  <c r="I292" i="5" s="1"/>
  <c r="M291" i="5"/>
  <c r="E220" i="3"/>
  <c r="F220" i="3" s="1"/>
  <c r="G281" i="5" l="1"/>
  <c r="H281" i="5"/>
  <c r="E282" i="5"/>
  <c r="D282" i="5"/>
  <c r="H282" i="5" s="1"/>
  <c r="T285" i="5"/>
  <c r="Q285" i="5"/>
  <c r="P285" i="5"/>
  <c r="R285" i="5" s="1"/>
  <c r="O286" i="5" s="1"/>
  <c r="K292" i="5"/>
  <c r="J292" i="5"/>
  <c r="I220" i="3"/>
  <c r="J220" i="3"/>
  <c r="S285" i="5" l="1"/>
  <c r="Q286" i="5"/>
  <c r="P286" i="5"/>
  <c r="E221" i="3"/>
  <c r="F221" i="3" s="1"/>
  <c r="G282" i="5"/>
  <c r="F282" i="5"/>
  <c r="C283" i="5" s="1"/>
  <c r="N292" i="5"/>
  <c r="M292" i="5"/>
  <c r="L292" i="5"/>
  <c r="I293" i="5" s="1"/>
  <c r="D283" i="5" l="1"/>
  <c r="E283" i="5"/>
  <c r="G283" i="5" s="1"/>
  <c r="F283" i="5"/>
  <c r="C284" i="5" s="1"/>
  <c r="H283" i="5"/>
  <c r="J293" i="5"/>
  <c r="K293" i="5"/>
  <c r="L293" i="5"/>
  <c r="I294" i="5" s="1"/>
  <c r="T286" i="5"/>
  <c r="R286" i="5"/>
  <c r="O287" i="5" s="1"/>
  <c r="S286" i="5"/>
  <c r="I221" i="3"/>
  <c r="J221" i="3"/>
  <c r="E284" i="5" l="1"/>
  <c r="D284" i="5"/>
  <c r="K294" i="5"/>
  <c r="J294" i="5"/>
  <c r="P287" i="5"/>
  <c r="Q287" i="5"/>
  <c r="E222" i="3"/>
  <c r="F222" i="3" s="1"/>
  <c r="M293" i="5"/>
  <c r="N293" i="5"/>
  <c r="R287" i="5" l="1"/>
  <c r="O288" i="5" s="1"/>
  <c r="Q288" i="5" s="1"/>
  <c r="S287" i="5"/>
  <c r="T287" i="5"/>
  <c r="P288" i="5"/>
  <c r="H284" i="5"/>
  <c r="G284" i="5"/>
  <c r="F284" i="5"/>
  <c r="C285" i="5" s="1"/>
  <c r="N294" i="5"/>
  <c r="M294" i="5"/>
  <c r="L294" i="5"/>
  <c r="I295" i="5" s="1"/>
  <c r="I222" i="3"/>
  <c r="J222" i="3"/>
  <c r="D285" i="5" l="1"/>
  <c r="E285" i="5"/>
  <c r="G285" i="5" s="1"/>
  <c r="F285" i="5"/>
  <c r="C286" i="5" s="1"/>
  <c r="H285" i="5"/>
  <c r="J295" i="5"/>
  <c r="K295" i="5"/>
  <c r="E223" i="3"/>
  <c r="F223" i="3" s="1"/>
  <c r="T288" i="5"/>
  <c r="S288" i="5"/>
  <c r="R288" i="5"/>
  <c r="O289" i="5" s="1"/>
  <c r="M295" i="5" l="1"/>
  <c r="N295" i="5"/>
  <c r="L295" i="5"/>
  <c r="I296" i="5" s="1"/>
  <c r="E286" i="5"/>
  <c r="D286" i="5"/>
  <c r="P289" i="5"/>
  <c r="Q289" i="5"/>
  <c r="I223" i="3"/>
  <c r="J223" i="3"/>
  <c r="S289" i="5" l="1"/>
  <c r="K296" i="5"/>
  <c r="J296" i="5"/>
  <c r="T289" i="5"/>
  <c r="R289" i="5"/>
  <c r="O290" i="5" s="1"/>
  <c r="E224" i="3"/>
  <c r="F224" i="3" s="1"/>
  <c r="H286" i="5"/>
  <c r="G286" i="5"/>
  <c r="F286" i="5"/>
  <c r="C287" i="5" s="1"/>
  <c r="N296" i="5" l="1"/>
  <c r="M296" i="5"/>
  <c r="L296" i="5"/>
  <c r="I297" i="5" s="1"/>
  <c r="P290" i="5"/>
  <c r="Q290" i="5"/>
  <c r="D287" i="5"/>
  <c r="E287" i="5"/>
  <c r="F287" i="5"/>
  <c r="C288" i="5" s="1"/>
  <c r="G287" i="5"/>
  <c r="H287" i="5"/>
  <c r="I224" i="3"/>
  <c r="J224" i="3"/>
  <c r="J297" i="5" l="1"/>
  <c r="K297" i="5"/>
  <c r="T290" i="5"/>
  <c r="S290" i="5"/>
  <c r="R290" i="5"/>
  <c r="O291" i="5" s="1"/>
  <c r="E288" i="5"/>
  <c r="D288" i="5"/>
  <c r="E225" i="3"/>
  <c r="F225" i="3" s="1"/>
  <c r="N297" i="5" l="1"/>
  <c r="L297" i="5"/>
  <c r="I298" i="5" s="1"/>
  <c r="M297" i="5"/>
  <c r="P291" i="5"/>
  <c r="Q291" i="5"/>
  <c r="H288" i="5"/>
  <c r="G288" i="5"/>
  <c r="F288" i="5"/>
  <c r="C289" i="5" s="1"/>
  <c r="I225" i="3"/>
  <c r="J225" i="3"/>
  <c r="K298" i="5" l="1"/>
  <c r="J298" i="5"/>
  <c r="R291" i="5"/>
  <c r="O292" i="5" s="1"/>
  <c r="S291" i="5"/>
  <c r="T291" i="5"/>
  <c r="D289" i="5"/>
  <c r="E289" i="5"/>
  <c r="F289" i="5"/>
  <c r="C290" i="5" s="1"/>
  <c r="G289" i="5"/>
  <c r="H289" i="5"/>
  <c r="P292" i="5"/>
  <c r="R292" i="5" s="1"/>
  <c r="O293" i="5" s="1"/>
  <c r="Q292" i="5"/>
  <c r="S292" i="5" s="1"/>
  <c r="T292" i="5"/>
  <c r="E226" i="3"/>
  <c r="F226" i="3" s="1"/>
  <c r="I226" i="3" s="1"/>
  <c r="J226" i="3"/>
  <c r="N298" i="5" l="1"/>
  <c r="L298" i="5"/>
  <c r="I299" i="5" s="1"/>
  <c r="M298" i="5"/>
  <c r="E290" i="5"/>
  <c r="D290" i="5"/>
  <c r="Q293" i="5"/>
  <c r="P293" i="5"/>
  <c r="E227" i="3"/>
  <c r="F227" i="3" s="1"/>
  <c r="K299" i="5" l="1"/>
  <c r="J299" i="5"/>
  <c r="H290" i="5"/>
  <c r="G290" i="5"/>
  <c r="F290" i="5"/>
  <c r="C291" i="5" s="1"/>
  <c r="T293" i="5"/>
  <c r="S293" i="5"/>
  <c r="R293" i="5"/>
  <c r="O294" i="5" s="1"/>
  <c r="I227" i="3"/>
  <c r="J227" i="3"/>
  <c r="L299" i="5" l="1"/>
  <c r="I300" i="5" s="1"/>
  <c r="N299" i="5"/>
  <c r="M299" i="5"/>
  <c r="D291" i="5"/>
  <c r="E291" i="5"/>
  <c r="F291" i="5"/>
  <c r="C292" i="5" s="1"/>
  <c r="P294" i="5"/>
  <c r="R294" i="5" s="1"/>
  <c r="O295" i="5" s="1"/>
  <c r="Q294" i="5"/>
  <c r="S294" i="5" s="1"/>
  <c r="T294" i="5"/>
  <c r="E228" i="3"/>
  <c r="F228" i="3" s="1"/>
  <c r="J300" i="5" l="1"/>
  <c r="K300" i="5"/>
  <c r="L300" i="5"/>
  <c r="I301" i="5" s="1"/>
  <c r="M300" i="5"/>
  <c r="N300" i="5"/>
  <c r="G291" i="5"/>
  <c r="H291" i="5"/>
  <c r="E292" i="5"/>
  <c r="D292" i="5"/>
  <c r="Q295" i="5"/>
  <c r="P295" i="5"/>
  <c r="I228" i="3"/>
  <c r="J228" i="3"/>
  <c r="J301" i="5" l="1"/>
  <c r="K301" i="5"/>
  <c r="F292" i="5"/>
  <c r="C293" i="5" s="1"/>
  <c r="H292" i="5"/>
  <c r="G292" i="5"/>
  <c r="E293" i="5"/>
  <c r="D293" i="5"/>
  <c r="E229" i="3"/>
  <c r="F229" i="3" s="1"/>
  <c r="T295" i="5"/>
  <c r="S295" i="5"/>
  <c r="R295" i="5"/>
  <c r="O296" i="5" s="1"/>
  <c r="L301" i="5" l="1"/>
  <c r="I302" i="5" s="1"/>
  <c r="M301" i="5"/>
  <c r="N301" i="5"/>
  <c r="P296" i="5"/>
  <c r="Q296" i="5"/>
  <c r="H293" i="5"/>
  <c r="G293" i="5"/>
  <c r="F293" i="5"/>
  <c r="C294" i="5" s="1"/>
  <c r="I229" i="3"/>
  <c r="J229" i="3"/>
  <c r="J302" i="5" l="1"/>
  <c r="K302" i="5"/>
  <c r="D294" i="5"/>
  <c r="H294" i="5" s="1"/>
  <c r="E294" i="5"/>
  <c r="G294" i="5" s="1"/>
  <c r="F294" i="5"/>
  <c r="C295" i="5" s="1"/>
  <c r="E230" i="3"/>
  <c r="F230" i="3" s="1"/>
  <c r="T296" i="5"/>
  <c r="R296" i="5"/>
  <c r="O297" i="5" s="1"/>
  <c r="S296" i="5"/>
  <c r="N302" i="5" l="1"/>
  <c r="M302" i="5"/>
  <c r="L302" i="5"/>
  <c r="I303" i="5" s="1"/>
  <c r="E295" i="5"/>
  <c r="D295" i="5"/>
  <c r="P297" i="5"/>
  <c r="Q297" i="5"/>
  <c r="I230" i="3"/>
  <c r="J230" i="3"/>
  <c r="J303" i="5" l="1"/>
  <c r="K303" i="5"/>
  <c r="L303" i="5"/>
  <c r="I304" i="5" s="1"/>
  <c r="M303" i="5"/>
  <c r="N303" i="5"/>
  <c r="E231" i="3"/>
  <c r="F231" i="3" s="1"/>
  <c r="H295" i="5"/>
  <c r="G295" i="5"/>
  <c r="F295" i="5"/>
  <c r="C296" i="5" s="1"/>
  <c r="S297" i="5"/>
  <c r="T297" i="5"/>
  <c r="R297" i="5"/>
  <c r="O298" i="5" s="1"/>
  <c r="J304" i="5" l="1"/>
  <c r="K304" i="5"/>
  <c r="D296" i="5"/>
  <c r="E296" i="5"/>
  <c r="F296" i="5"/>
  <c r="C297" i="5" s="1"/>
  <c r="G296" i="5"/>
  <c r="H296" i="5"/>
  <c r="P298" i="5"/>
  <c r="Q298" i="5"/>
  <c r="R298" i="5"/>
  <c r="O299" i="5" s="1"/>
  <c r="S298" i="5"/>
  <c r="T298" i="5"/>
  <c r="I231" i="3"/>
  <c r="J231" i="3"/>
  <c r="M304" i="5" l="1"/>
  <c r="L304" i="5"/>
  <c r="I305" i="5" s="1"/>
  <c r="N304" i="5"/>
  <c r="E297" i="5"/>
  <c r="D297" i="5"/>
  <c r="Q299" i="5"/>
  <c r="P299" i="5"/>
  <c r="E232" i="3"/>
  <c r="F232" i="3" s="1"/>
  <c r="J305" i="5" l="1"/>
  <c r="K305" i="5"/>
  <c r="M305" i="5" s="1"/>
  <c r="L305" i="5"/>
  <c r="I306" i="5" s="1"/>
  <c r="N305" i="5"/>
  <c r="H297" i="5"/>
  <c r="G297" i="5"/>
  <c r="F297" i="5"/>
  <c r="C298" i="5" s="1"/>
  <c r="R299" i="5"/>
  <c r="O300" i="5" s="1"/>
  <c r="T299" i="5"/>
  <c r="S299" i="5"/>
  <c r="I232" i="3"/>
  <c r="J232" i="3"/>
  <c r="J306" i="5" l="1"/>
  <c r="K306" i="5"/>
  <c r="N306" i="5"/>
  <c r="D298" i="5"/>
  <c r="E298" i="5"/>
  <c r="P300" i="5"/>
  <c r="Q300" i="5"/>
  <c r="E233" i="3"/>
  <c r="F233" i="3" s="1"/>
  <c r="L306" i="5" l="1"/>
  <c r="I307" i="5" s="1"/>
  <c r="M306" i="5"/>
  <c r="G298" i="5"/>
  <c r="F298" i="5"/>
  <c r="C299" i="5" s="1"/>
  <c r="H298" i="5"/>
  <c r="R300" i="5"/>
  <c r="O301" i="5" s="1"/>
  <c r="S300" i="5"/>
  <c r="T300" i="5"/>
  <c r="I233" i="3"/>
  <c r="J233" i="3"/>
  <c r="K307" i="5" l="1"/>
  <c r="D24" i="4" s="1"/>
  <c r="J307" i="5"/>
  <c r="M307" i="5"/>
  <c r="D28" i="4" s="1"/>
  <c r="D31" i="4" s="1"/>
  <c r="L307" i="5"/>
  <c r="N307" i="5"/>
  <c r="D29" i="4" s="1"/>
  <c r="D23" i="4"/>
  <c r="D25" i="4" s="1"/>
  <c r="D27" i="4" s="1"/>
  <c r="E299" i="5"/>
  <c r="D299" i="5"/>
  <c r="R301" i="5"/>
  <c r="O302" i="5" s="1"/>
  <c r="Q301" i="5"/>
  <c r="P301" i="5"/>
  <c r="T301" i="5" s="1"/>
  <c r="E234" i="3"/>
  <c r="F234" i="3" s="1"/>
  <c r="S301" i="5" l="1"/>
  <c r="H299" i="5"/>
  <c r="G299" i="5"/>
  <c r="F299" i="5"/>
  <c r="C300" i="5" s="1"/>
  <c r="Q302" i="5"/>
  <c r="P302" i="5"/>
  <c r="T302" i="5"/>
  <c r="S302" i="5"/>
  <c r="R302" i="5"/>
  <c r="O303" i="5" s="1"/>
  <c r="I234" i="3"/>
  <c r="J234" i="3"/>
  <c r="D300" i="5" l="1"/>
  <c r="E300" i="5"/>
  <c r="P303" i="5"/>
  <c r="T303" i="5" s="1"/>
  <c r="Q303" i="5"/>
  <c r="S303" i="5" s="1"/>
  <c r="R303" i="5"/>
  <c r="O304" i="5" s="1"/>
  <c r="E235" i="3"/>
  <c r="F235" i="3" s="1"/>
  <c r="G300" i="5" l="1"/>
  <c r="F300" i="5"/>
  <c r="C301" i="5" s="1"/>
  <c r="H300" i="5"/>
  <c r="R304" i="5"/>
  <c r="O305" i="5" s="1"/>
  <c r="Q304" i="5"/>
  <c r="P304" i="5"/>
  <c r="I235" i="3"/>
  <c r="J235" i="3"/>
  <c r="D301" i="5" l="1"/>
  <c r="E301" i="5"/>
  <c r="Q305" i="5"/>
  <c r="P305" i="5"/>
  <c r="E236" i="3"/>
  <c r="F236" i="3" s="1"/>
  <c r="T304" i="5"/>
  <c r="S304" i="5"/>
  <c r="G301" i="5" l="1"/>
  <c r="F301" i="5"/>
  <c r="C302" i="5" s="1"/>
  <c r="H301" i="5"/>
  <c r="T305" i="5"/>
  <c r="S305" i="5"/>
  <c r="R305" i="5"/>
  <c r="O306" i="5" s="1"/>
  <c r="I236" i="3"/>
  <c r="J236" i="3"/>
  <c r="E302" i="5" l="1"/>
  <c r="D302" i="5"/>
  <c r="P306" i="5"/>
  <c r="Q306" i="5"/>
  <c r="E237" i="3"/>
  <c r="F237" i="3" s="1"/>
  <c r="G302" i="5" l="1"/>
  <c r="F302" i="5"/>
  <c r="C303" i="5" s="1"/>
  <c r="H302" i="5"/>
  <c r="R306" i="5"/>
  <c r="O307" i="5" s="1"/>
  <c r="S306" i="5"/>
  <c r="T306" i="5"/>
  <c r="I237" i="3"/>
  <c r="J237" i="3"/>
  <c r="E303" i="5" l="1"/>
  <c r="D303" i="5"/>
  <c r="P307" i="5"/>
  <c r="Q307" i="5"/>
  <c r="R307" i="5"/>
  <c r="T307" i="5"/>
  <c r="E29" i="4" s="1"/>
  <c r="E23" i="4"/>
  <c r="E238" i="3"/>
  <c r="F238" i="3" s="1"/>
  <c r="F303" i="5" l="1"/>
  <c r="C304" i="5" s="1"/>
  <c r="H303" i="5"/>
  <c r="G303" i="5"/>
  <c r="E24" i="4"/>
  <c r="E25" i="4" s="1"/>
  <c r="S307" i="5"/>
  <c r="E28" i="4" s="1"/>
  <c r="E31" i="4" s="1"/>
  <c r="E27" i="4"/>
  <c r="I238" i="3"/>
  <c r="J238" i="3"/>
  <c r="E304" i="5" l="1"/>
  <c r="D304" i="5"/>
  <c r="F304" i="5"/>
  <c r="C305" i="5" s="1"/>
  <c r="G304" i="5"/>
  <c r="H304" i="5"/>
  <c r="E239" i="3"/>
  <c r="F239" i="3" s="1"/>
  <c r="E305" i="5" l="1"/>
  <c r="D305" i="5"/>
  <c r="I239" i="3"/>
  <c r="J239" i="3"/>
  <c r="H305" i="5" l="1"/>
  <c r="G305" i="5"/>
  <c r="F305" i="5"/>
  <c r="C306" i="5" s="1"/>
  <c r="E240" i="3"/>
  <c r="F240" i="3" s="1"/>
  <c r="E306" i="5" l="1"/>
  <c r="D306" i="5"/>
  <c r="I240" i="3"/>
  <c r="J240" i="3"/>
  <c r="F306" i="5" l="1"/>
  <c r="C307" i="5" s="1"/>
  <c r="G306" i="5"/>
  <c r="H306" i="5"/>
  <c r="E241" i="3"/>
  <c r="F241" i="3" s="1"/>
  <c r="G307" i="5" l="1"/>
  <c r="C28" i="4" s="1"/>
  <c r="H307" i="5"/>
  <c r="C29" i="4" s="1"/>
  <c r="D307" i="5"/>
  <c r="E307" i="5"/>
  <c r="C24" i="4" s="1"/>
  <c r="F307" i="5"/>
  <c r="C23" i="4"/>
  <c r="C25" i="4" s="1"/>
  <c r="I241" i="3"/>
  <c r="J241" i="3"/>
  <c r="C44" i="4" l="1"/>
  <c r="C34" i="4"/>
  <c r="E34" i="4"/>
  <c r="D36" i="4"/>
  <c r="C31" i="4"/>
  <c r="C36" i="4"/>
  <c r="D34" i="4"/>
  <c r="E36" i="4"/>
  <c r="C45" i="4"/>
  <c r="C37" i="4"/>
  <c r="C35" i="4"/>
  <c r="C27" i="4"/>
  <c r="D37" i="4"/>
  <c r="D35" i="4"/>
  <c r="E35" i="4"/>
  <c r="E37" i="4"/>
  <c r="C46" i="4"/>
  <c r="E242" i="3"/>
  <c r="F242" i="3" s="1"/>
  <c r="I242" i="3" l="1"/>
  <c r="J242" i="3"/>
  <c r="E243" i="3" l="1"/>
  <c r="F243" i="3" s="1"/>
  <c r="I243" i="3" l="1"/>
  <c r="J243" i="3"/>
  <c r="E244" i="3" l="1"/>
  <c r="F244" i="3" s="1"/>
  <c r="I244" i="3" l="1"/>
  <c r="J244" i="3"/>
  <c r="E245" i="3" l="1"/>
  <c r="F245" i="3" s="1"/>
  <c r="I245" i="3" l="1"/>
  <c r="J245" i="3"/>
  <c r="E246" i="3" l="1"/>
  <c r="F246" i="3" s="1"/>
  <c r="I246" i="3" l="1"/>
  <c r="J246" i="3"/>
  <c r="E247" i="3" l="1"/>
  <c r="F247" i="3" s="1"/>
  <c r="I247" i="3" l="1"/>
  <c r="J247" i="3"/>
  <c r="E248" i="3" l="1"/>
  <c r="F248" i="3" s="1"/>
  <c r="I248" i="3" l="1"/>
  <c r="J248" i="3"/>
  <c r="E249" i="3" l="1"/>
  <c r="F249" i="3" s="1"/>
  <c r="I249" i="3" l="1"/>
  <c r="J249" i="3"/>
  <c r="E250" i="3" l="1"/>
  <c r="F250" i="3" s="1"/>
  <c r="I250" i="3" l="1"/>
  <c r="J250" i="3"/>
  <c r="E251" i="3" l="1"/>
  <c r="F251" i="3" s="1"/>
  <c r="I251" i="3" l="1"/>
  <c r="J251" i="3"/>
  <c r="E252" i="3" l="1"/>
  <c r="F252" i="3" s="1"/>
  <c r="I252" i="3" l="1"/>
  <c r="J252" i="3"/>
  <c r="E253" i="3" l="1"/>
  <c r="F253" i="3" s="1"/>
  <c r="I253" i="3" l="1"/>
  <c r="J253" i="3"/>
  <c r="E254" i="3" l="1"/>
  <c r="F254" i="3" s="1"/>
  <c r="I254" i="3" l="1"/>
  <c r="J254" i="3"/>
  <c r="E255" i="3" l="1"/>
  <c r="F255" i="3" s="1"/>
  <c r="I255" i="3" l="1"/>
  <c r="J255" i="3"/>
  <c r="E256" i="3" l="1"/>
  <c r="F256" i="3" s="1"/>
  <c r="I256" i="3" l="1"/>
  <c r="J256" i="3"/>
  <c r="E257" i="3" l="1"/>
  <c r="F257" i="3" s="1"/>
  <c r="I257" i="3" l="1"/>
  <c r="J257" i="3"/>
  <c r="E258" i="3" l="1"/>
  <c r="F258" i="3" s="1"/>
  <c r="I258" i="3" l="1"/>
  <c r="J258" i="3"/>
  <c r="E259" i="3" l="1"/>
  <c r="F259" i="3" s="1"/>
  <c r="I259" i="3" l="1"/>
  <c r="J259" i="3"/>
  <c r="E260" i="3" l="1"/>
  <c r="F260" i="3" s="1"/>
  <c r="I260" i="3" l="1"/>
  <c r="J260" i="3"/>
  <c r="E261" i="3" l="1"/>
  <c r="F261" i="3" s="1"/>
  <c r="I261" i="3" l="1"/>
  <c r="J261" i="3"/>
  <c r="E262" i="3" l="1"/>
  <c r="F262" i="3" s="1"/>
  <c r="I262" i="3" l="1"/>
  <c r="J262" i="3"/>
  <c r="E263" i="3" l="1"/>
  <c r="F263" i="3" s="1"/>
  <c r="I263" i="3" l="1"/>
  <c r="J263" i="3"/>
  <c r="E264" i="3" l="1"/>
  <c r="F264" i="3" s="1"/>
  <c r="I264" i="3" l="1"/>
  <c r="J264" i="3"/>
  <c r="E265" i="3" l="1"/>
  <c r="F265" i="3" s="1"/>
  <c r="I265" i="3" l="1"/>
  <c r="J265" i="3"/>
  <c r="E266" i="3" l="1"/>
  <c r="F266" i="3" s="1"/>
  <c r="I266" i="3" l="1"/>
  <c r="J266" i="3"/>
  <c r="E267" i="3" l="1"/>
  <c r="F267" i="3" s="1"/>
  <c r="I267" i="3" l="1"/>
  <c r="J267" i="3"/>
  <c r="E268" i="3" l="1"/>
  <c r="F268" i="3" s="1"/>
  <c r="I268" i="3" l="1"/>
  <c r="J268" i="3"/>
  <c r="E269" i="3" l="1"/>
  <c r="F269" i="3" s="1"/>
  <c r="I269" i="3" l="1"/>
  <c r="J269" i="3"/>
  <c r="E270" i="3" l="1"/>
  <c r="F270" i="3" s="1"/>
  <c r="I270" i="3" l="1"/>
  <c r="J270" i="3"/>
  <c r="E271" i="3" l="1"/>
  <c r="F271" i="3" s="1"/>
  <c r="I271" i="3" l="1"/>
  <c r="J271" i="3"/>
  <c r="E272" i="3" l="1"/>
  <c r="F272" i="3" s="1"/>
  <c r="I272" i="3" l="1"/>
  <c r="J272" i="3"/>
  <c r="E273" i="3" l="1"/>
  <c r="F273" i="3" s="1"/>
  <c r="I273" i="3" l="1"/>
  <c r="J273" i="3"/>
  <c r="E274" i="3" l="1"/>
  <c r="F274" i="3" s="1"/>
  <c r="I274" i="3" l="1"/>
  <c r="J274" i="3"/>
  <c r="E275" i="3" l="1"/>
  <c r="F275" i="3" s="1"/>
  <c r="I275" i="3" l="1"/>
  <c r="J275" i="3"/>
  <c r="E276" i="3" l="1"/>
  <c r="F276" i="3" s="1"/>
  <c r="I276" i="3" l="1"/>
  <c r="J276" i="3"/>
  <c r="E277" i="3" l="1"/>
  <c r="F277" i="3" s="1"/>
  <c r="I277" i="3" l="1"/>
  <c r="J277" i="3"/>
  <c r="E278" i="3" l="1"/>
  <c r="F278" i="3" s="1"/>
  <c r="I278" i="3" l="1"/>
  <c r="J278" i="3"/>
  <c r="E279" i="3" l="1"/>
  <c r="F279" i="3" s="1"/>
  <c r="I279" i="3" l="1"/>
  <c r="J279" i="3"/>
  <c r="E280" i="3" l="1"/>
  <c r="F280" i="3" s="1"/>
  <c r="I280" i="3" l="1"/>
  <c r="J280" i="3"/>
  <c r="E281" i="3" l="1"/>
  <c r="F281" i="3" s="1"/>
  <c r="I281" i="3" l="1"/>
  <c r="J281" i="3"/>
  <c r="E282" i="3" l="1"/>
  <c r="F282" i="3" s="1"/>
  <c r="I282" i="3" l="1"/>
  <c r="J282" i="3"/>
  <c r="E283" i="3" l="1"/>
  <c r="F283" i="3" s="1"/>
  <c r="I283" i="3" l="1"/>
  <c r="J283" i="3"/>
  <c r="E284" i="3" l="1"/>
  <c r="F284" i="3" s="1"/>
  <c r="I284" i="3" l="1"/>
  <c r="J284" i="3"/>
  <c r="E285" i="3" l="1"/>
  <c r="F285" i="3" s="1"/>
  <c r="I285" i="3" l="1"/>
  <c r="J285" i="3"/>
  <c r="E286" i="3" l="1"/>
  <c r="F286" i="3" s="1"/>
  <c r="I286" i="3" l="1"/>
  <c r="J286" i="3"/>
  <c r="E287" i="3" l="1"/>
  <c r="F287" i="3" s="1"/>
  <c r="I287" i="3" l="1"/>
  <c r="J287" i="3"/>
  <c r="E288" i="3" l="1"/>
  <c r="F288" i="3" s="1"/>
  <c r="I288" i="3" l="1"/>
  <c r="J288" i="3"/>
  <c r="E289" i="3" l="1"/>
  <c r="F289" i="3" s="1"/>
  <c r="I289" i="3" l="1"/>
  <c r="J289" i="3"/>
  <c r="E290" i="3" l="1"/>
  <c r="F290" i="3" s="1"/>
  <c r="I290" i="3" l="1"/>
  <c r="J290" i="3"/>
  <c r="E291" i="3" l="1"/>
  <c r="F291" i="3" s="1"/>
  <c r="I291" i="3" l="1"/>
  <c r="J291" i="3"/>
  <c r="E292" i="3" l="1"/>
  <c r="F292" i="3" s="1"/>
  <c r="I292" i="3" l="1"/>
  <c r="J292" i="3"/>
  <c r="E293" i="3" l="1"/>
  <c r="F293" i="3" s="1"/>
  <c r="I293" i="3" l="1"/>
  <c r="J293" i="3"/>
  <c r="E294" i="3" l="1"/>
  <c r="F294" i="3" s="1"/>
  <c r="I294" i="3" l="1"/>
  <c r="J294" i="3"/>
  <c r="E295" i="3" l="1"/>
  <c r="F295" i="3" s="1"/>
  <c r="I295" i="3" l="1"/>
  <c r="J295" i="3"/>
  <c r="E296" i="3" l="1"/>
  <c r="F296" i="3" s="1"/>
  <c r="I296" i="3" l="1"/>
  <c r="J296" i="3"/>
  <c r="E297" i="3" l="1"/>
  <c r="F297" i="3" s="1"/>
  <c r="I297" i="3" l="1"/>
  <c r="J297" i="3"/>
  <c r="E298" i="3" l="1"/>
  <c r="F298" i="3" s="1"/>
  <c r="I298" i="3" l="1"/>
  <c r="J298" i="3"/>
  <c r="E299" i="3" l="1"/>
  <c r="F299" i="3" s="1"/>
  <c r="I299" i="3" l="1"/>
  <c r="J299" i="3"/>
  <c r="E300" i="3" l="1"/>
  <c r="F300" i="3" s="1"/>
  <c r="I300" i="3" l="1"/>
  <c r="J300" i="3"/>
  <c r="E301" i="3" l="1"/>
  <c r="F301" i="3" s="1"/>
  <c r="I301" i="3" l="1"/>
  <c r="J301" i="3"/>
  <c r="E302" i="3" l="1"/>
  <c r="F302" i="3" s="1"/>
  <c r="I302" i="3" l="1"/>
  <c r="J302" i="3"/>
  <c r="E303" i="3"/>
  <c r="F303" i="3" s="1"/>
  <c r="I303" i="3" l="1"/>
  <c r="J303" i="3"/>
  <c r="E304" i="3"/>
  <c r="F304" i="3" s="1"/>
  <c r="I304" i="3" l="1"/>
  <c r="J304" i="3"/>
  <c r="E305" i="3" l="1"/>
  <c r="F305" i="3" s="1"/>
  <c r="I305" i="3" l="1"/>
  <c r="J305" i="3"/>
  <c r="E306" i="3" l="1"/>
  <c r="F306" i="3" s="1"/>
  <c r="I306" i="3" l="1"/>
  <c r="J306" i="3"/>
  <c r="E307" i="3" l="1"/>
  <c r="E6" i="3" l="1"/>
  <c r="C26" i="2" s="1"/>
  <c r="C28" i="2" s="1"/>
  <c r="D307" i="3"/>
  <c r="C31" i="2" l="1"/>
  <c r="C29" i="2"/>
  <c r="F307" i="3"/>
  <c r="H307" i="3"/>
  <c r="L307" i="3"/>
  <c r="C35" i="2" s="1"/>
  <c r="D6" i="3"/>
  <c r="J307" i="3" l="1"/>
  <c r="I307" i="3"/>
  <c r="F6" i="3"/>
  <c r="H6" i="3"/>
  <c r="K307" i="3"/>
  <c r="C34" i="2" s="1"/>
  <c r="C38" i="2" l="1"/>
  <c r="C36" i="2"/>
</calcChain>
</file>

<file path=xl/sharedStrings.xml><?xml version="1.0" encoding="utf-8"?>
<sst xmlns="http://schemas.openxmlformats.org/spreadsheetml/2006/main" count="606" uniqueCount="491">
  <si>
    <t>CorpusImmo  ·  corpus.immo  ·  Estimer, comparer, décider. Sur les ventes réelles.</t>
  </si>
  <si>
    <t>Mode d'emploi</t>
  </si>
  <si>
    <t>À quoi sert ce classeur, dans quel ordre le remplir, et comment lire ce qu'il répond.</t>
  </si>
  <si>
    <t xml:space="preserve">  À QUOI SERT CE CLASSEUR</t>
  </si>
  <si>
    <t>Vous avez une offre de prêt immobilier en main, ou trois. Ce classeur répond à deux questions : combien ce crédit me coûte vraiment, mois par mois et au total, et laquelle des offres est la meilleure.</t>
  </si>
  <si>
    <t>Il calcule la mensualité, l'échéancier complet sur 30 ans au plus (intérêts, capital, assurance, capital restant dû à chaque date), le coût total du crédit, le TAEG réglementaire face au taux d'usure, le taux d'effort au sens du HCSF (Haut Conseil de stabilité financière, l'autorité qui fixe les normes d'octroi des banques) et ce qu'il faudrait payer pour solder le prêt à une date donnée. Le comparateur met trois offres côte à côte et les classe par TAEG et par coût total.</t>
  </si>
  <si>
    <t>Deux onglets de saisie seulement : Mon prêt pour un prêt, Comparateur pour trois offres. Vous remplissez les cellules bleues, le reste se calcule.</t>
  </si>
  <si>
    <t>Vous êtes</t>
  </si>
  <si>
    <t>Ce que le classeur vous donne</t>
  </si>
  <si>
    <t>Emprunteur, primo-accédant</t>
  </si>
  <si>
    <t>La mensualité totale assurance comprise, le coût total du crédit, et si le prêt passe dans les normes de la banque (35 % d'effort, 25 ans).</t>
  </si>
  <si>
    <t>Investisseur</t>
  </si>
  <si>
    <t>Le capital restant dû à la date de revente envisagée et l'indemnité de remboursement anticipé maximale : ce que la revente doit couvrir.</t>
  </si>
  <si>
    <t>Courtier</t>
  </si>
  <si>
    <t>Le TAEG de chaque offre, contrôlé contre le taux d'usure du trimestre, et un classement défendable devant le client.</t>
  </si>
  <si>
    <t>Banquier, conseiller financement</t>
  </si>
  <si>
    <t>Un échéancier au centime, la décomposition intérêts, capital, assurance, et l'effet d'une délégation d'assurance sur capital restant dû.</t>
  </si>
  <si>
    <t>Notaire, expert-comptable</t>
  </si>
  <si>
    <t>Le capital remboursé à une date, lisible ligne par ligne dans l'Échéancier, et les intérêts d'une année donnée, en additionnant les douze lignes de l'année (Échéancier!E8:E367).</t>
  </si>
  <si>
    <t xml:space="preserve">  LE PRINCIPE, EN UNE LIGNE</t>
  </si>
  <si>
    <t>Chaque mois : intérêts = capital restant dû × taux ÷ 12 ; capital remboursé = échéance − intérêts ; le capital restant dû baisse d'autant</t>
  </si>
  <si>
    <t xml:space="preserve">  LES ONGLETS, DANS L'ORDRE OÙ ON LES REMPLIT</t>
  </si>
  <si>
    <t>Onglet</t>
  </si>
  <si>
    <t>Ce que vous y faites</t>
  </si>
  <si>
    <t>Ce que vous y lisez</t>
  </si>
  <si>
    <t>Rien à saisir. Vous lisez ce guide.</t>
  </si>
  <si>
    <t>La marche à suivre et l'exemple guidé.</t>
  </si>
  <si>
    <t>Mon prêt</t>
  </si>
  <si>
    <t>Vous saisissez le prêt : montant, taux, durée en mois, différé éventuel, date de première échéance, assurance (assiette et taux), frais. Puis, si vous voulez, vos revenus et un mois de remboursement anticipé.</t>
  </si>
  <si>
    <t>Mensualité, coût total, TAEG face au taux d'usure, taux d'effort, capital restant dû et indemnité à la date choisie. Deux contrôles de saisie en tête.</t>
  </si>
  <si>
    <t>Échéancier</t>
  </si>
  <si>
    <t>Rien à saisir.</t>
  </si>
  <si>
    <t>Les 360 lignes possibles du prêt : date, échéance, intérêts, capital, assurance, capital restant dû. Totaux en tête de tableau.</t>
  </si>
  <si>
    <t>Comparateur</t>
  </si>
  <si>
    <t>Vous saisissez jusqu'à trois offres, mêmes montant et durée. Une colonne laissée vide est ignorée.</t>
  </si>
  <si>
    <t>Pour chaque offre : mensualité, coût total, TAEG, rang. En bas, le verdict.</t>
  </si>
  <si>
    <t>Détail des offres</t>
  </si>
  <si>
    <t>L'échéancier de chacune des trois offres, qui alimente leur TAEG.</t>
  </si>
  <si>
    <t>Paramètres</t>
  </si>
  <si>
    <t>Rien, sauf à la mise à jour trimestrielle du taux d'usure et des repères.</t>
  </si>
  <si>
    <t>Chaque valeur avec sa source datée et sa fréquence de mise à jour.</t>
  </si>
  <si>
    <t>Méthode</t>
  </si>
  <si>
    <t>Les conventions de calcul, ce que le modèle ne fait pas, les sources.</t>
  </si>
  <si>
    <t xml:space="preserve">  LE CODE COULEUR, ET COMMENT DÉVERROUILLER UNE CELLULE</t>
  </si>
  <si>
    <t>Cellule</t>
  </si>
  <si>
    <t>Ce que c'est</t>
  </si>
  <si>
    <t>Ce que vous faites</t>
  </si>
  <si>
    <t>Fond bleu ciel, texte bleu nuit</t>
  </si>
  <si>
    <t>Saisie utilisateur</t>
  </si>
  <si>
    <t>Vous la remplissez ou l'effacez (touche Suppr), même feuille protégée. Jamais de formule dedans.</t>
  </si>
  <si>
    <t>Fond blanc</t>
  </si>
  <si>
    <t>Calcul</t>
  </si>
  <si>
    <t>Vous la lisez. Elle est verrouillée.</t>
  </si>
  <si>
    <t>Fond presque blanc, texte bleu nuit en gras</t>
  </si>
  <si>
    <t>Résultat de bloc, chiffre clé</t>
  </si>
  <si>
    <t>Vous la lisez. C'est un chiffre à retenir.</t>
  </si>
  <si>
    <t>Bandeau bleu nuit</t>
  </si>
  <si>
    <t>Titre de section, en-tête de tableau</t>
  </si>
  <si>
    <t>Repère de navigation.</t>
  </si>
  <si>
    <t>Texte gris, à droite</t>
  </si>
  <si>
    <t>Commentaire d'aide, ordre de grandeur</t>
  </si>
  <si>
    <t>Une phrase par ligne pour savoir quoi saisir.</t>
  </si>
  <si>
    <t>Vert OK, rouge (À CORRIGER, DÉPASSÉ, HORS NORME, DIFFÉRENTES), gris (sans objet)</t>
  </si>
  <si>
    <t>Contrôle de cohérence</t>
  </si>
  <si>
    <t>Rouge : lisez le commentaire de la ligne et corrigez. Un contrôle sans objet reste gris.</t>
  </si>
  <si>
    <t>Les onglets sont protégés sans mot de passe pour éviter d'écraser une formule par erreur. Les cellules bleues, elles, restent modifiables et effaçables sans rien déverrouiller : n'ôtez la protection que pour toucher une cellule blanche, par l'onglet Révision, « Ôter la protection de la feuille ». Aucun mot de passe n'est demandé.</t>
  </si>
  <si>
    <t xml:space="preserve">  LA MARCHE À SUIVRE, ÉTAPE PAR ÉTAPE</t>
  </si>
  <si>
    <t>Étape</t>
  </si>
  <si>
    <t>Où (onglet et plage)</t>
  </si>
  <si>
    <t>Pourquoi</t>
  </si>
  <si>
    <t>0. L'exemple livré</t>
  </si>
  <si>
    <t>Mon prêt!C7:C16, Mon prêt!C41, Mon prêt!C47 ; Comparateur!C8:E16</t>
  </si>
  <si>
    <t>Le classeur est livré rempli d'un exemple (un prêt de 180 000 € sur 25 ans, trois offres). Gardez-le pour vous repérer, ou effacez toutes les cellules bleues avant de saisir votre dossier : la touche Suppr suffit, la protection de la feuille ne s'y oppose pas. Vérifiez surtout les saisies secondaires qui n'ont pas de raison d'être dans votre cas : le différé (Mon prêt!C10), le versement au FMG, c'est-à-dire au fonds mutuel de garantie d'une caution (Mon prêt!C16), les revenus (Mon prêt!C41), le mois de remboursement anticipé (Mon prêt!C47), et la colonne E du Comparateur si vous n'avez que deux offres. Pendant que vous effacez, Mon prêt!C17 passe au rouge et les résultats se vident : c'est normal, tout revient dès que la saisie est complète.</t>
  </si>
  <si>
    <t>Une saisie résiduelle de l'exemple est l'erreur la plus probable d'un premier usage : un différé ou un FMG hérités changent la mensualité et le coût net sans que rien ne le signale.</t>
  </si>
  <si>
    <t>1. Le prêt</t>
  </si>
  <si>
    <t>Mon prêt!C7:C16</t>
  </si>
  <si>
    <t>Montant, taux nominal (tapez 3,35 pour 3,35 %, 0 pour un prêt à taux zéro), durée en mois entiers (300 = 25 ans), différé en mois (0 si aucun), date de la première échéance, assiette de l'assurance dans la liste, taux d'assurance, frais de dossier, frais de garantie et, pour une caution Crédit Logement, la part versée au FMG. Vérifiez que Mon prêt!C17 et Mon prêt!C18 affichent OK. Frais de garantie : le montant de l'offre. Sans l'offre en main, une caution Crédit Logement se rapproche de Paramètres!C31 du capital ; une hypothèque coûte de l'ordre de Paramètres!C32 du capital (repère 2026). La part versée au FMG ne se lit que sur l'offre cautionnée : dans le doute, laissez Mon prêt!C16 vide, cela ne change ni le TAEG ni le coût total, seulement la restitution (Mon prêt!C30) et le coût net (Mon prêt!C31).</t>
  </si>
  <si>
    <t>Tout le classeur découle de ces dix cellules. Tant qu'un contrôle est rouge, les résultats restent vides : le classeur préfère ne rien afficher plutôt qu'un chiffre faux.</t>
  </si>
  <si>
    <t>2. Ce que ça donne</t>
  </si>
  <si>
    <t>Mon prêt!C21:C31</t>
  </si>
  <si>
    <t>Rien à saisir. Lisez la mensualité totale, le total des intérêts, le coût total du crédit et le coût net de la restitution de garantie.</t>
  </si>
  <si>
    <t>Annoncez le coût total (Mon prêt!C28) : c'est ce que le client décaisse, et c'est ce que la banque appelle coût total du crédit. Il ne se compare entre offres qu'à durée égale. Le coût net (Mon prêt!C31) est une estimation, à citer en second : la restitution du FMG (Paramètres!C21 du versement) n'est ni garantie, ni comptée dans le TAEG.</t>
  </si>
  <si>
    <t>3. TAEG et usure</t>
  </si>
  <si>
    <t>Mon prêt!C34:C38</t>
  </si>
  <si>
    <t>Rien à saisir. Lisez le TAEG assurance comprise et vérifiez que Mon prêt!C38 affiche OK. Pour les offres du Comparateur, le même contrôle se lit sur la ligne 31 (Comparateur!C31:E31).</t>
  </si>
  <si>
    <t>Le TAEG est le seul taux opposable ; au-dessus du taux d'usure du trimestre, la banque ne peut pas prêter. La tranche d'usure se choisit seule selon la durée.</t>
  </si>
  <si>
    <t>4. Repères HCSF</t>
  </si>
  <si>
    <t>Mon prêt!C41:C44</t>
  </si>
  <si>
    <t>Saisissez vos revenus nets mensuels en Mon prêt!C41 (facultatif). Lisez le taux d'effort et les deux contrôles.</t>
  </si>
  <si>
    <t>35 % d'effort assurance comprise et 25 ans (27 avec différé) sont les normes fixées par le HCSF (Haut Conseil de stabilité financière), que la banque doit respecter sur au moins 80 % de sa production : elle garde une marge de flexibilité de 20 %, réservée en priorité à la résidence principale (Paramètres!F13).</t>
  </si>
  <si>
    <t>5. Remboursement anticipé</t>
  </si>
  <si>
    <t>Mon prêt!C47:C50</t>
  </si>
  <si>
    <t>Saisissez en Mon prêt!C47 le numéro du mois où vous pourriez solder le prêt (84 = après 7 ans). Facultatif.</t>
  </si>
  <si>
    <t>Un investisseur revend rarement au terme : le capital restant dû et l'indemnité plafonnée disent ce que la revente doit couvrir.</t>
  </si>
  <si>
    <t>6. L'échéancier</t>
  </si>
  <si>
    <t>Échéancier!B8:L367</t>
  </si>
  <si>
    <t>Rien à saisir. Cherchez la date qui vous intéresse en colonne C et lisez le capital restant dû en colonne J. Les totaux sont en ligne 6 (Échéancier!D6:H6). La ligne d'un mois vaut le numéro du mois plus 7 : le mois 84 est en ligne 91.</t>
  </si>
  <si>
    <t>Les premières années remboursent surtout des intérêts : c'est ce qui rend une revente précoce coûteuse, et ce que le tableau rend visible.</t>
  </si>
  <si>
    <t>7. Trois offres</t>
  </si>
  <si>
    <t>Comparateur!C8:E16</t>
  </si>
  <si>
    <t>Une offre par colonne. Le montant doit être le même. Les durées peuvent différer, mais le classement par coût total ne s'affichera qu'à durée égale. Laissez une colonne entièrement vide pour n'en comparer que deux. Vérifiez la ligne 17 (Comparateur!C17:E17 : OK ou « non renseignée »). Pas de date, de différé ni de revenus ici : le Comparateur compare des prêts sans différé ; pour un prêt avec différé ou pour le taux d'effort, utilisez Mon prêt.</t>
  </si>
  <si>
    <t>Le comparateur ignore une colonne vide et signale une colonne incomplète, au lieu de la déclarer gagnante avec un coût nul.</t>
  </si>
  <si>
    <t>8. Le verdict</t>
  </si>
  <si>
    <t>Comparateur!C20:E39 et Comparateur!C42:C47</t>
  </si>
  <si>
    <t>Lisez les rangs (ligne 34 par TAEG, ligne 35 par coût total), les écarts, puis la meilleure offre en Comparateur!C44 et la moins chère en Comparateur!C45. Vérifiez Comparateur!C43. Vérifiez aussi la ligne 31 (Comparateur!C31:E31) : chaque offre y est contrôlée contre le taux d'usure de sa durée (ligne 30, Comparateur!C30:E30). Une offre DÉPASSÉ ne peut pas être signée en l'état, même si elle est classée première.</t>
  </si>
  <si>
    <t>Le TAEG classe à toute durée. Le coût total ne classe qu'à durée égale : si les durées diffèrent, Comparateur!C43 affiche DIFFÉRENTES et Comparateur!C45 ne désigne pas d'offre la moins chère. Les coûts totaux (ligne 25) et les mensualités (ligne 22) de chaque offre restent lisibles : présentez-les au client avec l'écart de durée, ou demandez à la banque une offre à la même durée que l'autre pour comparer à armes égales.</t>
  </si>
  <si>
    <t>9. Les barèmes</t>
  </si>
  <si>
    <t>Paramètres!C8:C17, C21:C32 et C41:C43</t>
  </si>
  <si>
    <t>Chaque trimestre, mettez à jour les trois taux d'usure (Paramètres!C8:C10, Banque de France), puis le trimestre et la date de l'avis (Paramètres!C41 et Paramètres!C42) et la date de vérification (Paramètres!C43). Les repères de taux (Paramètres!C25 et Paramètres!C26) bougent chaque mois : rafraîchissez-les avant tout dossier engageant. Les repères d'assurance et de frais (Paramètres!C27:C32), une fois par an. Source : banque-france.fr, rubrique Taux d'usure, avis publié le dernier jour ouvré de mars, juin, septembre et décembre.</t>
  </si>
  <si>
    <t>Un taux d'usure périmé fausse le contrôle d'usure sans prévenir. Toutes les formules pointent ici, et les libellés de source de Paramètres et de Méthode se mettent à jour seuls à partir du trimestre et des dates saisis : ce sont des cellules bleues, rien à déverrouiller.</t>
  </si>
  <si>
    <t xml:space="preserve">  EXEMPLE GUIDÉ</t>
  </si>
  <si>
    <t>Le fichier est livré avec un prêt de 180 000 € sur 300 mois (25 ans) à 3,35 %, sans différé, première échéance le 05/11/2026, assurance à 0,28 % sur capital initial, 1 200 € de frais de dossier et 2 100 € de caution Crédit Logement dont 1 500 € versés au FMG. Les deux contrôles de saisie affichent OK.</t>
  </si>
  <si>
    <t>Mensualité capital et intérêts : 886,71 € (Mon prêt!C22). Assurance : 42,00 € par mois (Mon prêt!C24). Mensualité totale : 928,71 € (Mon prêt!C25). Sur 25 ans, les intérêts atteignent 86 012 € (Mon prêt!C26) et l'assurance 12 600 € (Mon prêt!C27) : coût total du crédit 101 912 € (Mon prêt!C28), soit 56,62 % du capital (Mon prêt!C29). La restitution attendue du FMG, 1 050 € (Mon prêt!C30), ramène le coût net à 100 862 € (Mon prêt!C31).</t>
  </si>
  <si>
    <t>TAEG assurance comprise : 4,03 % (Mon prêt!C34), contre 3,58 % hors assurance (Mon prêt!C35) : l'assurance pèse 0,45 point de TAEA, le taux annuel effectif de l'assurance (Mon prêt!C36). Le taux d'usure applicable à un prêt de 20 ans et plus est de 5,29 % (Mon prêt!C37) : le contrôle Mon prêt!C38 affiche OK. Avec 3 400 € de revenus nets, le taux d'effort ressort à 27,3 % (Mon prêt!C42), dans la norme des 35 %, et la durée de 25 ans est dans la norme.</t>
  </si>
  <si>
    <t>Remboursement anticipé au mois 84 (après 7 ans) : capital restant dû 143 685,14 € (Mon prêt!C48), indemnité maximale 2 406,73 € (Mon prêt!C49), soit six mois d'intérêts, moins que 3 % du capital restant dû ; il faudrait 146 091,87 € pour solder (Mon prêt!C50). Dans l'Échéancier, la ligne 91 donne la même valeur en colonne J (ligne = mois + 7, le numéro du mois se lit en colonne B) ; à la ligne 127 (mois 120, dix ans), il reste 125 322,24 € à rembourser. La première année, vous payez 5 958,56 € d'intérêts pour 4 681,96 € de capital : Échéancier!B8 à B19.</t>
  </si>
  <si>
    <t>Comparateur : trois offres pour le même prêt de 180 000 € sur 300 mois. Offre A (Banque 1) à 3,25 % avec un contrat groupe à 0,42 % sur capital initial ; offre B (Banque 2) à 3,40 % avec une délégation à 0,18 % sur capital restant dû ; offre C (Banque 3) à 3,55 % avec 0,20 % sur capital initial, sans frais de dossier mais une hypothèque à 2 700 € sans restitution. TAEG (Comparateur!C28:E28) : A 4,17 %, B 3,80 %, C 4,08 %, toutes trois sous le taux d'usure : la ligne 31 (Comparateur!C31:E31) affiche OK pour chacune. Coût total (Comparateur!C25:E25) : A 105 651 €, B 95 079 €, C 103 486 €. Le verdict désigne « Offre B : Banque 2 » par TAEG (Comparateur!C44) et par coût total (Comparateur!C45) ; l'écart entre la meilleure et la pire atteint 10 572 € (Comparateur!C46).</t>
  </si>
  <si>
    <t>Comment le lire : la banque au taux nominal le plus bas (A) n'est pas la moins chère, parce que son assurance groupe coûte 18 900 € contre 4 630 € pour la délégation dégressive de B. Passez la durée de l'offre C à 240 mois : son coût total tombe à 81 554 €, sous celui de B, mais le contrôle Comparateur!C43 passe à DIFFÉRENTES et Comparateur!C45 cesse de désigner une offre. Seul le TAEG reste comparable : les coûts totaux et les mensualités des deux offres restent lisibles côte à côte, à présenter au client avec l'écart de durée.</t>
  </si>
  <si>
    <t xml:space="preserve">  LES CHIFFRES À REGARDER, ET CE QU'ILS VALENT</t>
  </si>
  <si>
    <t>Indicateur</t>
  </si>
  <si>
    <t>Où</t>
  </si>
  <si>
    <t>Repère métier</t>
  </si>
  <si>
    <t>Ce qu'il dit vraiment</t>
  </si>
  <si>
    <t>Mensualité totale, assurance comprise</t>
  </si>
  <si>
    <t>Mon prêt!C25</t>
  </si>
  <si>
    <t>Au plus 35 % des revenus nets, tous crédits confondus (HCSF, repère 2026).</t>
  </si>
  <si>
    <t>Ce que la banque prélève chaque mois. C'est elle qui décide si le dossier passe.</t>
  </si>
  <si>
    <t>TAEG, assurance comprise</t>
  </si>
  <si>
    <t>Mon prêt!C34 ; Comparateur!C28:E28 (usure en ligne 31)</t>
  </si>
  <si>
    <t>Un nominal de 3,35 % sur 25 ans avec frais et assurance groupe donne 4,03 % sur l'exemple ; taux d'usure 5,29 % à 20 ans et plus (3e trimestre 2026).</t>
  </si>
  <si>
    <t>Le seul taux opposable, celui de l'offre de prêt. Il agrège taux, frais et assurance : c'est lui qui classe les offres. Dans le Comparateur, la ligne 31 dit, offre par offre, si le TAEG passe sous le taux d'usure de sa durée (ligne 30).</t>
  </si>
  <si>
    <t>Coût total du crédit</t>
  </si>
  <si>
    <t>Mon prêt!C28 ; Comparateur!C25:E25</t>
  </si>
  <si>
    <t>Sur 25 ans à 3,35 %, plus de la moitié du capital : l'exemple donne 56,62 %.</t>
  </si>
  <si>
    <t>Ce que le crédit ajoute au prix du bien, et ce que le client décaisse. Comparable entre offres à durée égale seulement.</t>
  </si>
  <si>
    <t>TAEA, taux annuel effectif de l'assurance</t>
  </si>
  <si>
    <t>Mon prêt!C36</t>
  </si>
  <si>
    <t>Sur l'exemple, 0,28 % d'assurance sur capital initial pèse 0,45 point de TAEA : sur capital initial, le TAEA dépasse le taux d'assurance affiché.</t>
  </si>
  <si>
    <t>Le poids de l'assurance dans le TAEG. Il figure aussi sur la fiche standardisée d'information. Plus il est élevé, plus une délégation se négocie.</t>
  </si>
  <si>
    <t>Capital restant dû à une date</t>
  </si>
  <si>
    <t>Échéancier!J8:J367 ; Mon prêt!C48</t>
  </si>
  <si>
    <t>Après 7 ans sur 25, il reste encore 80 % du capital sur l'exemple.</t>
  </si>
  <si>
    <t>Ce qu'une revente ou un rachat doit couvrir, avant indemnité.</t>
  </si>
  <si>
    <t>Taux d'effort</t>
  </si>
  <si>
    <t>Mon prêt!C42</t>
  </si>
  <si>
    <t>35 % maximum assurance comprise ; 33 % laisse une marge (repère 2026).</t>
  </si>
  <si>
    <t>Ne compte que ce prêt. Ajoutez vos autres mensualités pour le chiffre de la banque.</t>
  </si>
  <si>
    <t xml:space="preserve">  LES DONNÉES À METTRE À JOUR, OÙ ET POURQUOI</t>
  </si>
  <si>
    <t>Deux familles de données. Les benchmarks (taux d'usure, normes HCSF, plafond d'indemnité, part de FMG restituée, repères de taux, d'assurance et de garantie) changent avec la réglementation ou le marché, à date fixe, et se rafraîchissent depuis une source indiquée. Les données de projet (montant, taux, durée, assurance, frais, revenus, offres) sont propres à chaque dossier. L'architecture du classeur ne change pas quand les données changent : seules les cellules bleues bougent.</t>
  </si>
  <si>
    <t>Tout se met à jour dans des cellules bleues, sans ôter la protection : les libellés de source de Paramètres et de Méthode se reconstruisent seuls à partir du trimestre, de la date de l'avis et de la date de vérification (Paramètres!C41:C43). Les chiffres cités dans ce guide et dans Méthode, eux, sont écrits en toutes lettres et datés du millésime 2026 : relisez-les à chaque mise à jour de Paramètres, en particulier le taux d'usure de l'exemple guidé, les repères de la colonne « Repère métier » ci-dessus et les ordres de grandeur de garantie de l'étape 1.</t>
  </si>
  <si>
    <t>Paramètre</t>
  </si>
  <si>
    <t>Onglet et cellule</t>
  </si>
  <si>
    <t>Ce qu'il pilote</t>
  </si>
  <si>
    <t>Source à consulter, fréquence</t>
  </si>
  <si>
    <t>Taux d'usure par tranche de durée</t>
  </si>
  <si>
    <t>Paramètres!C8:C10</t>
  </si>
  <si>
    <t>Contrôle « TAEG inférieur ou égal au taux d'usure », dans Mon prêt et le Comparateur</t>
  </si>
  <si>
    <t>Banque de France, banque-france.fr, rubrique Taux d'usure, avis publié le dernier jour ouvré de mars, juin, septembre et décembre : trimestriel</t>
  </si>
  <si>
    <t>Trimestre, date de l'avis, date de vérification</t>
  </si>
  <si>
    <t>Paramètres!C41:C43</t>
  </si>
  <si>
    <t>Les libellés de source de Paramètres et de Méthode, qui les lisent par formule</t>
  </si>
  <si>
    <t>Les mêmes avis Banque de France : trimestriel</t>
  </si>
  <si>
    <t>Seuils de durée des tranches d'usure</t>
  </si>
  <si>
    <t>Paramètres!C11:C12</t>
  </si>
  <si>
    <t>Choix de la tranche selon la durée</t>
  </si>
  <si>
    <t>Banque de France : stable</t>
  </si>
  <si>
    <t>Normes HCSF (35 %, 25 ans, différé 2 ans)</t>
  </si>
  <si>
    <t>Paramètres!C13:C15</t>
  </si>
  <si>
    <t>Contrôles « Taux d'effort » et « Durée dans la norme »</t>
  </si>
  <si>
    <t>HCSF, à chaque décision</t>
  </si>
  <si>
    <t>Plafonds de l'indemnité de remboursement anticipé</t>
  </si>
  <si>
    <t>Paramètres!C16:C17</t>
  </si>
  <si>
    <t>Indemnité maximale de Mon prêt</t>
  </si>
  <si>
    <t>Code de la consommation, art. R313-25 : stable</t>
  </si>
  <si>
    <t>Part du FMG restituée</t>
  </si>
  <si>
    <t>Paramètres!C21</t>
  </si>
  <si>
    <t>Restitution estimée et coût net</t>
  </si>
  <si>
    <t>Crédit Logement, page tarif : trimestriel</t>
  </si>
  <si>
    <t>Plancher et plafonds de saisie des taux</t>
  </si>
  <si>
    <t>Paramètres!C22:C24</t>
  </si>
  <si>
    <t>Contrôle « Taux vraisemblable » et validation des taux nominal et d'assurance</t>
  </si>
  <si>
    <t>Convention du classeur : stable. Relevez le plancher si des taux inférieurs à 0,10 % redeviennent courants</t>
  </si>
  <si>
    <t>Repères de taux</t>
  </si>
  <si>
    <t>Paramètres!C25:C26</t>
  </si>
  <si>
    <t>Rien : ils servent à juger une offre, les notes d'aide y renvoient</t>
  </si>
  <si>
    <t>Observatoire Crédit Logement / CSA : mensuel, à rafraîchir avant tout dossier engageant</t>
  </si>
  <si>
    <t>Repères d'assurance, de frais de dossier et de garantie (caution, hypothèque)</t>
  </si>
  <si>
    <t>Paramètres!C27:C32</t>
  </si>
  <si>
    <t>Rien : ils servent à estimer une garantie ou une assurance quand l'offre n'est pas encore en main</t>
  </si>
  <si>
    <t>Baromètres d'assurance et comparateurs (PrêtClair, Meilleurtaux, Pretto) : annuel</t>
  </si>
  <si>
    <t>Le prêt et les offres</t>
  </si>
  <si>
    <t>Mon prêt!C7:C16, Mon prêt!C41, Mon prêt!C47, Comparateur!C8:E16</t>
  </si>
  <si>
    <t>Tout le reste</t>
  </si>
  <si>
    <t>Données de projet, lues sur l'offre de prêt ou la simulation de la banque</t>
  </si>
  <si>
    <t xml:space="preserve">  TROIS FAÇONS DE S'EN SERVIR</t>
  </si>
  <si>
    <t>Votre situation</t>
  </si>
  <si>
    <t>Vous négociez votre assurance</t>
  </si>
  <si>
    <t>Saisissez le prêt avec le contrat groupe (assiette « Capital initial » en Mon prêt!C12, taux de la banque). Notez le coût total (Mon prêt!C28) et le TAEA (Mon prêt!C36). Passez l'assiette en « Capital restant dû » avec le taux de la délégation : l'écart de coût total est ce que la délégation vous fait gagner sur la durée.</t>
  </si>
  <si>
    <t>Vous revendez dans sept ans</t>
  </si>
  <si>
    <t>Saisissez 84 en Mon prêt!C47. Le capital restant dû (Mon prêt!C48) plus l'indemnité maximale (Mon prêt!C49) est ce que le prix de vente net doit couvrir. Pour les intérêts déjà payés à cette date, sélectionnez Échéancier!E8:E91 : la somme s'affiche en bas de la fenêtre Excel, dans la barre d'état.</t>
  </si>
  <si>
    <t>Vous avez deux offres, pas trois</t>
  </si>
  <si>
    <t>Remplissez les colonnes C et D du Comparateur et laissez la colonne E entièrement vide : la ligne 17 affiche « non renseignée » pour E, Comparateur!C42 affiche 2, et le verdict compare les deux. Mettez la même durée aux deux, sinon fiez-vous au TAEG seul et présentez au client les deux coûts totaux avec l'écart de durée.</t>
  </si>
  <si>
    <t xml:space="preserve">  LES ERREURS QUI FAUSSENT TOUT</t>
  </si>
  <si>
    <t>Le piège</t>
  </si>
  <si>
    <t>Le dégât</t>
  </si>
  <si>
    <t>Saisir le taux en décimal, 0,0335 au lieu de 3,35 (Mon prêt!C8)</t>
  </si>
  <si>
    <t>La cellule affiche 0,03 % : mensualité proche du seul capital, 602,52 € au lieu de 886,71 €, coût total quasi nul. Le contrôle « Taux vraisemblable » (Mon prêt!C18) passe au rouge en dessous du plancher de Paramètres!C22, sauf à 0 % exactement.</t>
  </si>
  <si>
    <t>Saisir la durée en années dans une cellule en mois (Mon prêt!C9)</t>
  </si>
  <si>
    <t>25 au lieu de 300 : un prêt de 25 mois, mensualité de 7 464,21 €. Le libellé et le format « mois » sont là pour ça ; 240 = 20 ans, 300 = 25 ans.</t>
  </si>
  <si>
    <t>Saisir un taux d'assurance sur capital restant dû avec l'assiette « Capital initial » (Mon prêt!C12)</t>
  </si>
  <si>
    <t>Le même taux appliqué au capital initial plutôt qu'au capital restant dû gonfle l'assurance de 75 % sur l'exemple et le TAEG de 0,16 point. Choisissez l'assiette qui figure sur le contrat.</t>
  </si>
  <si>
    <t>Comparer des offres de durées différentes par le coût total (Comparateur!C11:E11)</t>
  </si>
  <si>
    <t>L'offre la plus courte gagne presque toujours en coût total : ce n'est pas un signal de qualité. Comparateur!C43 passe à DIFFÉRENTES et seul le classement par TAEG reste. Redemandez une offre à la même durée pour comparer à armes égales.</t>
  </si>
  <si>
    <t>Laisser un montant ou une durée dans une offre incomplète (Comparateur!C9:E11)</t>
  </si>
  <si>
    <t>L'offre est signalée À CORRIGER et exclue du classement ; le verdict ne compte plus qu'une offre et demande d'en renseigner deux. Videz la colonne entière pour l'ignorer.</t>
  </si>
  <si>
    <t>Oublier les frais de garantie ou de dossier (Mon prêt!C14, Mon prêt!C15)</t>
  </si>
  <si>
    <t>3 300 € oubliés sur 180 000 € abaissent le TAEG de 0,18 point sur l'exemple : une offre peut sembler sous le taux d'usure alors qu'elle le dépasse. Sans l'offre en main, estimez-les depuis Paramètres!C31 et Paramètres!C32.</t>
  </si>
  <si>
    <t>Prendre le coût total pour ce que le crédit vous coûtera si vous revendez avant le terme</t>
  </si>
  <si>
    <t>Le coût total suppose d'aller au bout. Après 7 ans sur 25, vous n'avez payé qu'une partie des intérêts mais l'essentiel de ce qui pèse le plus : lisez le capital restant dû et l'indemnité, pas le coût total.</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</si>
  <si>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</si>
  <si>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</si>
  <si>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Mensualité, coût total, TAEG face au taux d'usure, repères HCSF et capital restant dû à une date donnée.</t>
  </si>
  <si>
    <t>Cellules bleues : à remplir.  Cellules blanches : calculées automatiquement.</t>
  </si>
  <si>
    <t xml:space="preserve">  L'EMPRUNT</t>
  </si>
  <si>
    <t>Montant emprunté</t>
  </si>
  <si>
    <t>Capital débloqué par la banque, hors frais.</t>
  </si>
  <si>
    <t>Taux nominal annuel (hors assurance)</t>
  </si>
  <si>
    <t>Tapez 3,35 pour 3,35 %. Repères de marché sur 20 et 25 ans : Paramètres!C25 et Paramètres!C26. 0 pour un prêt à taux zéro.</t>
  </si>
  <si>
    <t>Durée totale du prêt (en mois)</t>
  </si>
  <si>
    <t>Mois entiers, de 1 à 360 (30 ans). 240 = 20 ans, 300 = 25 ans. Différé compris.</t>
  </si>
  <si>
    <t>Différé d'amortissement (en mois, 0 ou vide si aucun)</t>
  </si>
  <si>
    <t>VEFA, construction, travaux : pendant ces mois vous ne payez que les intérêts et l'assurance. Inférieur à la durée.</t>
  </si>
  <si>
    <t>Date de la première échéance</t>
  </si>
  <si>
    <t>Vraie date (jj/mm/aaaa). Le déblocage est supposé un mois plus tôt, sans intérêts intercalaires.</t>
  </si>
  <si>
    <t>Assurance calculée sur</t>
  </si>
  <si>
    <t>Capital initial</t>
  </si>
  <si>
    <t>Liste : capital initial (contrat groupe, cotisation constante) ou capital restant dû (délégation, cotisation dégressive).</t>
  </si>
  <si>
    <t>Taux d'assurance annuel</t>
  </si>
  <si>
    <t>Tapez 0,28 pour 0,28 %. Repères 2026 en groupe et en délégation : Paramètres!C27 et Paramètres!C28. 0 si aucune assurance.</t>
  </si>
  <si>
    <t>Frais de dossier</t>
  </si>
  <si>
    <t>Négociables. Fourchette usuelle : Paramètres!C29 à Paramètres!C30. Vide = 0.</t>
  </si>
  <si>
    <t>Frais de garantie (caution ou hypothèque)</t>
  </si>
  <si>
    <t>Le montant de l'offre. Sans l'offre : caution Crédit Logement, environ Paramètres!C31 du capital ; hypothèque (émoluments, publicité foncière, formalités), environ Paramètres!C32 du capital. Vide = 0.</t>
  </si>
  <si>
    <t>Dont versement au fonds mutuel de garantie (FMG), 0 ou vide sinon</t>
  </si>
  <si>
    <t>Fonds mutuel de garantie d'une caution Crédit Logement, lisible sur l'offre cautionnée, en partie restitué en fin de prêt. 0 pour une hypothèque. Sans l'offre, laissez vide : ni le TAEG ni le coût total n'en dépendent, seulement la restitution et le coût net. Au plus les frais de garantie.</t>
  </si>
  <si>
    <t>Saisie complète et cohérente</t>
  </si>
  <si>
    <t>À CORRIGER : un montant, le taux, la durée, la date ou l'assiette manque, une valeur est négative ou hors bornes, ou un paramètre est vide. Les résultats restent vides tant que c'est rouge.</t>
  </si>
  <si>
    <t>Taux vraisemblable</t>
  </si>
  <si>
    <t>À CORRIGER si le taux est entre 0 et le plancher de Paramètres!C22 : vous avez sans doute tapé 0,0335 au lieu de 3,35. Un prêt à taux zéro se saisit 0 exactement.</t>
  </si>
  <si>
    <t xml:space="preserve">  CE QUE ÇA DONNE</t>
  </si>
  <si>
    <t>Durée en années</t>
  </si>
  <si>
    <t>Durée totale, différé compris.</t>
  </si>
  <si>
    <t>Mensualité, capital et intérêts (hors différé)</t>
  </si>
  <si>
    <t>Échéance constante, arrondie au centime comme dans l'offre de prêt. La dernière échéance absorbe l'arrondi.</t>
  </si>
  <si>
    <t>Échéance pendant le différé (intérêts + assurance)</t>
  </si>
  <si>
    <t>Vide s'il n'y a pas de différé.</t>
  </si>
  <si>
    <t>Assurance du premier mois</t>
  </si>
  <si>
    <t>Sur capital initial : constante. Sur capital restant dû : elle baisse ensuite chaque mois.</t>
  </si>
  <si>
    <t>Première échéance d'amortissement. C'est le chiffre à rapporter à vos revenus.</t>
  </si>
  <si>
    <t>Total des intérêts</t>
  </si>
  <si>
    <t>Somme de la colonne Intérêts de l'Échéancier.</t>
  </si>
  <si>
    <t>Total de l'assurance</t>
  </si>
  <si>
    <t>Somme de la colonne Assurance de l'Échéancier.</t>
  </si>
  <si>
    <t>Intérêts + assurance + frais de dossier + frais de garantie. Comparable entre offres à durée égale seulement.</t>
  </si>
  <si>
    <t>Coût du crédit rapporté au capital</t>
  </si>
  <si>
    <t>Pour 100 € empruntés, ce que le crédit coûte en plus.</t>
  </si>
  <si>
    <t>Garantie restituée en fin de prêt (estimation)</t>
  </si>
  <si>
    <t>Versement au FMG × part restituée (Paramètres!C21). Ne réduit pas le TAEG, qui compte la garantie en entier.</t>
  </si>
  <si>
    <t>Coût total net de la restitution</t>
  </si>
  <si>
    <t>Ce que le crédit vous aura réellement coûté si vous allez au terme.</t>
  </si>
  <si>
    <t xml:space="preserve">  TAEG ET TAUX D'USURE</t>
  </si>
  <si>
    <t>Taux annuel effectif global (Code de la consommation, art. R314-3) : le seul taux opposable, celui de l'offre de prêt.</t>
  </si>
  <si>
    <t>TAEG hors assurance</t>
  </si>
  <si>
    <t>Même calcul sans les cotisations d'assurance : le coût de la banque seule, frais compris.</t>
  </si>
  <si>
    <t>TAEA, coût de l'assurance en points de taux</t>
  </si>
  <si>
    <t>Taux annuel effectif de l'assurance : différence entre les deux TAEG. Il figure aussi sur la fiche standardisée d'information.</t>
  </si>
  <si>
    <t>Taux d'usure applicable (selon la durée)</t>
  </si>
  <si>
    <t>Tranche choisie automatiquement parmi Paramètres!C8:C10 selon les seuils de durée de Paramètres.</t>
  </si>
  <si>
    <t>TAEG inférieur ou égal au taux d'usure</t>
  </si>
  <si>
    <t>DÉPASSÉ : la banque ne peut pas prêter à ces conditions. Baissez l'assurance ou les frais, ou allongez la durée.</t>
  </si>
  <si>
    <t xml:space="preserve">  REPÈRES HCSF</t>
  </si>
  <si>
    <t>Revenus nets mensuels du foyer (facultatif)</t>
  </si>
  <si>
    <t>Revenus nets avant impôt, tels que la banque les retient. Vide : le taux d'effort n'est pas calculé.</t>
  </si>
  <si>
    <t>Taux d'effort, assurance comprise</t>
  </si>
  <si>
    <t>Mensualité totale ÷ revenus. Ne compte que ce prêt : ajoutez vos autres crédits pour le taux d'effort complet.</t>
  </si>
  <si>
    <t>Taux d'effort dans la norme HCSF</t>
  </si>
  <si>
    <t>Plafond en Paramètres!C13. HORS NORME : la banque doit puiser dans sa marge de flexibilité, réservée en priorité à la résidence principale.</t>
  </si>
  <si>
    <t>Durée dans la norme HCSF (différé toléré en plus)</t>
  </si>
  <si>
    <t>Durée maximale en Paramètres!C14, différé toléré en plus en Paramètres!C15. HORS NORME : le prêt sort du cadre du HCSF.</t>
  </si>
  <si>
    <t xml:space="preserve">  REMBOURSEMENT ANTICIPÉ, À TITRE D'INFORMATION</t>
  </si>
  <si>
    <t>Mois du remboursement anticipé envisagé (facultatif)</t>
  </si>
  <si>
    <t>Numéro d'échéance, entre 1 et la durée. 84 = après 7 ans. Vide : rien n'est calculé.</t>
  </si>
  <si>
    <t>Capital restant dû après cette échéance</t>
  </si>
  <si>
    <t>Lu dans l'Échéancier. C'est ce qu'il faut rembourser pour solder le prêt, avant indemnité.</t>
  </si>
  <si>
    <t>Indemnité de remboursement anticipé maximale</t>
  </si>
  <si>
    <t>Le plus bas des deux plafonds légaux : Paramètres!C16 (en mois d'intérêts) et Paramètres!C17 (en part du capital restant dû). Souvent négociable, parfois exonérée : voir Méthode.</t>
  </si>
  <si>
    <t>À débourser pour solder le prêt (capital + indemnité maximale)</t>
  </si>
  <si>
    <t>Hors intérêts courus depuis la dernière échéance.</t>
  </si>
  <si>
    <t>Échéancier mois par mois</t>
  </si>
  <si>
    <t>Alimenté par Mon prêt. Rien à saisir ici. Les lignes au-delà de la durée restent vides.</t>
  </si>
  <si>
    <t>Saisie de Mon prêt :</t>
  </si>
  <si>
    <t>Rouge : corrigez la saisie dans Mon prêt, l'échéancier reste vide.</t>
  </si>
  <si>
    <t>Mois</t>
  </si>
  <si>
    <t>Date</t>
  </si>
  <si>
    <t>Échéance (capital + intérêts)</t>
  </si>
  <si>
    <t>Intérêts</t>
  </si>
  <si>
    <t>Capital</t>
  </si>
  <si>
    <t>Assurance</t>
  </si>
  <si>
    <t>Total prélevé</t>
  </si>
  <si>
    <t>Capital remboursé (cumul)</t>
  </si>
  <si>
    <t>Capital restant dû</t>
  </si>
  <si>
    <t>Flux (TAEG)</t>
  </si>
  <si>
    <t>Flux hors assurance</t>
  </si>
  <si>
    <t>Total</t>
  </si>
  <si>
    <t>Somme des colonnes : recoupement avec Mon prêt.</t>
  </si>
  <si>
    <t>Comparer trois offres de prêt</t>
  </si>
  <si>
    <t>Le taux nominal ne suffit pas : le TAEG départage à toute durée, le coût total seulement à durée égale.</t>
  </si>
  <si>
    <t xml:space="preserve">  LES OFFRES</t>
  </si>
  <si>
    <t>Offre A</t>
  </si>
  <si>
    <t>Offre B</t>
  </si>
  <si>
    <t>Offre C</t>
  </si>
  <si>
    <t>Banque ou courtier</t>
  </si>
  <si>
    <t>Banque 1</t>
  </si>
  <si>
    <t>Banque 2</t>
  </si>
  <si>
    <t>Banque 3</t>
  </si>
  <si>
    <t>Libre. Sert au verdict.</t>
  </si>
  <si>
    <t>Même montant pour les trois offres, sinon la comparaison n'a pas de sens.</t>
  </si>
  <si>
    <t>Tapez 3,25 pour 3,25 %.</t>
  </si>
  <si>
    <t>Durée du prêt (en mois)</t>
  </si>
  <si>
    <t>Mois entiers, 1 à 360. Le classement par coût total exige des durées identiques.</t>
  </si>
  <si>
    <t>Liste : capital initial (contrat groupe) ou capital restant dû (délégation).</t>
  </si>
  <si>
    <t>Tapez 0,42 pour 0,42 %.</t>
  </si>
  <si>
    <t>Vide = 0. Fourchette usuelle : Paramètres!C29 à Paramètres!C30.</t>
  </si>
  <si>
    <t>Vide = 0. Ordre de grandeur d'une caution : Paramètres!C31 du capital ; d'une hypothèque : Paramètres!C32 du capital.</t>
  </si>
  <si>
    <t>Dont versement au FMG (fonds mutuel de garantie d'une caution Crédit Logement)</t>
  </si>
  <si>
    <t>0 ou vide pour une hypothèque. Au plus les frais de garantie.</t>
  </si>
  <si>
    <t>Offre renseignée et cohérente</t>
  </si>
  <si>
    <t>« non renseignée » : la colonne est ignorée (comparer deux offres fonctionne). Rouge : une saisie manque, est hors bornes ou dépasse un plafond de saisie de Paramètres.</t>
  </si>
  <si>
    <t xml:space="preserve">  CE QUE CHAQUE OFFRE COÛTE VRAIMENT</t>
  </si>
  <si>
    <t>Mensualité, capital et intérêts</t>
  </si>
  <si>
    <t>Arrondie au centime.</t>
  </si>
  <si>
    <t>Constante sur capital initial, dégressive sur capital restant dû.</t>
  </si>
  <si>
    <t>Mensualité totale du premier mois</t>
  </si>
  <si>
    <t>Ce que la mensualité laisse vivre se juge ici.</t>
  </si>
  <si>
    <t>Somme de l'échéancier de l'offre (onglet Détail des offres).</t>
  </si>
  <si>
    <t>Intérêts + assurance + dossier + garantie.</t>
  </si>
  <si>
    <t>Versement au FMG × part restituée (Paramètres!C21).</t>
  </si>
  <si>
    <t>Le chiffre qui départage les offres, quelle que soit la durée.</t>
  </si>
  <si>
    <t>Le coût de la banque seule, frais compris.</t>
  </si>
  <si>
    <t>Taux d'usure applicable</t>
  </si>
  <si>
    <t>Selon la durée de l'offre, parmi Paramètres!C8:C10.</t>
  </si>
  <si>
    <t>DÉPASSÉ : offre illégale en l'état.</t>
  </si>
  <si>
    <t xml:space="preserve">  CLASSEMENT</t>
  </si>
  <si>
    <t>Rang par TAEG</t>
  </si>
  <si>
    <t>1 = meilleure offre. Deux offres à égalité partagent le même rang.</t>
  </si>
  <si>
    <t>Rang par coût total</t>
  </si>
  <si>
    <t>N'a de sens qu'à durées identiques : voir le contrôle du verdict.</t>
  </si>
  <si>
    <t>Écart de TAEG avec la meilleure offre</t>
  </si>
  <si>
    <t>En points de taux.</t>
  </si>
  <si>
    <t>Écart de coût total avec la moins chère</t>
  </si>
  <si>
    <t>Zéro sur l'offre la moins chère.</t>
  </si>
  <si>
    <t>Écart de mensualité totale avec la plus basse</t>
  </si>
  <si>
    <t>Premier mois.</t>
  </si>
  <si>
    <t>Durée retenue pour le classement</t>
  </si>
  <si>
    <t>Vide pour une offre ignorée.</t>
  </si>
  <si>
    <t xml:space="preserve">  VERDICT</t>
  </si>
  <si>
    <t>Offres renseignées et cohérentes</t>
  </si>
  <si>
    <t>Il en faut au moins deux.</t>
  </si>
  <si>
    <t>Durées identiques</t>
  </si>
  <si>
    <t>DIFFÉRENTES : le classement par coût total est trompeur (l'offre la plus courte gagne presque toujours). Fiez-vous au TAEG.</t>
  </si>
  <si>
    <t>Meilleure offre par TAEG</t>
  </si>
  <si>
    <t>Le verdict de référence : à tout horizon, la plus économique par euro emprunté.</t>
  </si>
  <si>
    <t>Offre la moins chère en coût total (à durée égale)</t>
  </si>
  <si>
    <t>Affiché seulement si les durées sont identiques.</t>
  </si>
  <si>
    <t>Écart de coût total entre la moins chère et la plus chère</t>
  </si>
  <si>
    <t>Ce que le choix de la banque vaut en euros, sur toute la durée.</t>
  </si>
  <si>
    <t>Durée la plus longue des offres retenues</t>
  </si>
  <si>
    <t>Pilote la longueur du détail mois par mois.</t>
  </si>
  <si>
    <t>Détail mois par mois des trois offres</t>
  </si>
  <si>
    <t>Alimenté par le Comparateur. Rien à saisir ici. Ces flux servent au calcul du TAEG de chaque offre.</t>
  </si>
  <si>
    <t>Les seules valeurs à mettre à jour quand la réglementation ou le marché changent. Mon prêt et le Comparateur y renvoient pour chaque barème.</t>
  </si>
  <si>
    <t xml:space="preserve">  BARÈMES RÉGLEMENTAIRES</t>
  </si>
  <si>
    <t>Valeur</t>
  </si>
  <si>
    <t>Source (organisme, texte, date)</t>
  </si>
  <si>
    <t>Mise à jour</t>
  </si>
  <si>
    <t>Commentaire</t>
  </si>
  <si>
    <t>Taux d'usure, prêts à taux fixe de moins de 10 ans</t>
  </si>
  <si>
    <t>Trimestrielle (1er janvier, avril, juillet, octobre)</t>
  </si>
  <si>
    <t>Plafond légal du TAEG. Une offre au-dessus est illégale.</t>
  </si>
  <si>
    <t>Taux d'usure, prêts à taux fixe de 10 ans à moins de 20 ans</t>
  </si>
  <si>
    <t>Trimestrielle</t>
  </si>
  <si>
    <t>Taux d'usure, prêts à taux fixe de 20 ans et plus</t>
  </si>
  <si>
    <t>Tranche de la plupart des prêts immobiliers (20 et 25 ans).</t>
  </si>
  <si>
    <t>Seuil de durée entre les deux premières tranches d'usure</t>
  </si>
  <si>
    <t>Stable</t>
  </si>
  <si>
    <t>10 ans. Le classeur choisit la tranche d'usure selon la durée du prêt.</t>
  </si>
  <si>
    <t>Seuil de durée entre les deux dernières tranches d'usure</t>
  </si>
  <si>
    <t>20 ans.</t>
  </si>
  <si>
    <t>Taux d'effort maximal (HCSF), assurance comprise</t>
  </si>
  <si>
    <t>À chaque décision du HCSF</t>
  </si>
  <si>
    <t>Norme contraignante avec une marge de flexibilité de 20 % de la production.</t>
  </si>
  <si>
    <t>Durée maximale d'un prêt (HCSF)</t>
  </si>
  <si>
    <t>25 ans, hors différé.</t>
  </si>
  <si>
    <t>Différé maximal toléré en plus (HCSF, VEFA, construction, travaux)</t>
  </si>
  <si>
    <t>2 ans : un prêt peut atteindre 27 ans quand le bien n'est pas livré à la signature.</t>
  </si>
  <si>
    <t>Indemnité de remboursement anticipé : plafond en mois d'intérêts</t>
  </si>
  <si>
    <t>Six mois d'intérêts sur le capital remboursé, au taux moyen du prêt.</t>
  </si>
  <si>
    <t>Indemnité de remboursement anticipé : plafond en part du capital restant dû</t>
  </si>
  <si>
    <t>Le plus bas des deux plafonds s'applique. Exonérations : voir Méthode.</t>
  </si>
  <si>
    <t xml:space="preserve">  REPÈRES DE MARCHÉ ET GARDE-FOUS</t>
  </si>
  <si>
    <t>Part du versement au FMG restituée en fin de prêt (caution Crédit Logement)</t>
  </si>
  <si>
    <t>0 % pour une hypothèque, une caution CAMCA ou SACCEF (pas de restitution).</t>
  </si>
  <si>
    <t>Taux nominal minimal vraisemblable hors prêt à taux zéro (garde-fou de saisie)</t>
  </si>
  <si>
    <t>Convention CorpusImmo, commune aux matrices qui saisissent des taux : un taux entre 0 et 0,10 % signale presque toujours une saisie en fraction (0,0335 au lieu de 3,35 %).</t>
  </si>
  <si>
    <t>Le contrôle « Taux vraisemblable » passe au rouge en dessous, sauf à 0 % exactement (PTZ).</t>
  </si>
  <si>
    <t>Taux nominal maximal admis à la saisie (garde-fou)</t>
  </si>
  <si>
    <t>Convention du classeur : au-delà, la saisie est refusée et le contrôle de saisie passe au rouge. Le taux d'usure, bien plus bas, est contrôlé à part.</t>
  </si>
  <si>
    <t>Taux d'assurance maximal admis à la saisie (garde-fou)</t>
  </si>
  <si>
    <t>Convention du classeur : un taux d'assurance annuel au-delà de 5 % du capital n'existe pas ; c'est presque toujours une saisie en euros ou en fraction.</t>
  </si>
  <si>
    <t>Repère : taux moyen des prêts sur 20 ans</t>
  </si>
  <si>
    <t>Mensuelle, à rafraîchir avant tout dossier engageant</t>
  </si>
  <si>
    <t>Point de départ pour juger une offre ; le taux se saisit dossier par dossier dans Mon prêt et le Comparateur.</t>
  </si>
  <si>
    <t>Repère : taux moyen des prêts sur 25 ans</t>
  </si>
  <si>
    <t>Repère : taux d'assurance emprunteur, contrat groupe (sur capital initial)</t>
  </si>
  <si>
    <t>Annuelle</t>
  </si>
  <si>
    <t>Repère : taux d'assurance emprunteur, délégation (souvent sur capital restant dû)</t>
  </si>
  <si>
    <t>Une délégation cotise le plus souvent sur le capital restant dû : choisir l'assiette dans la liste.</t>
  </si>
  <si>
    <t>Repère : frais de dossier, bas de fourchette</t>
  </si>
  <si>
    <t>Négociables, et offerts par quelques banques en ligne. Moyenne du relevé : 1 899,68 € pour 200 000 €.</t>
  </si>
  <si>
    <t>Repère : frais de dossier, haut de fourchette</t>
  </si>
  <si>
    <t>Plafond le plus élevé du relevé. Un dossier au-dessus de la moyenne se négocie.</t>
  </si>
  <si>
    <t>Repère : frais de caution, en part du capital emprunté</t>
  </si>
  <si>
    <t>Annuelle, sur le simulateur creditlogement.fr</t>
  </si>
  <si>
    <t>Aucune source primaire ne tranche : le classeur retient la borne haute des relevés, parce que sous-estimer un coût avancé par l'emprunteur flatte le TAEG. Commission de caution et versement au fonds mutuel de garantie compris. Une hypothèque coûte davantage : voir le repère suivant.</t>
  </si>
  <si>
    <t>Repère : frais d'hypothèque, en part du capital</t>
  </si>
  <si>
    <t>Hypothèque conventionnelle. L'hypothèque légale spéciale du prêteur de deniers (ancien PPD), exonérée de taxe de publicité foncière, revient à environ 0,90 % du capital. Aucune restitution en fin de prêt : le FMG reste à 0.</t>
  </si>
  <si>
    <t xml:space="preserve">  LISTE DÉROULANTE : ASSIETTE DE L'ASSURANCE</t>
  </si>
  <si>
    <t>Assurance calculée sur (liste de Mon prêt et du Comparateur)</t>
  </si>
  <si>
    <t>Contrat groupe bancaire : cotisation constante sur toute la durée.</t>
  </si>
  <si>
    <t>Délégation d'assurance : cotisation dégressive, recalculée chaque mois sur le capital restant dû.</t>
  </si>
  <si>
    <t>Libellés fixes, testés par les formules de l'Échéancier et du Détail des offres. Loi n° 2022-270 du 28 février 2022 (Lemoine) : les délégations cotisent le plus souvent sur le capital restant dû.</t>
  </si>
  <si>
    <t xml:space="preserve">  MILLÉSIME DES TAUX D'USURE ET VÉRIFICATION</t>
  </si>
  <si>
    <t>Trimestre d'application des taux d'usure</t>
  </si>
  <si>
    <t>3e trimestre 2026</t>
  </si>
  <si>
    <t>Banque de France, avis trimestriel. Écrivez le trimestre tel qu'il doit apparaître, par exemple « 1er trimestre 2027 ».</t>
  </si>
  <si>
    <t>Repris tel quel dans la colonne Source ci-dessus et dans l'onglet Méthode : une seule saisie met tous les libellés à jour.</t>
  </si>
  <si>
    <t>Date de publication de l'avis de la Banque de France</t>
  </si>
  <si>
    <t>banque-france.fr, rubrique Taux d'usure : avis publié le dernier jour ouvré de mars, juin, septembre et décembre.</t>
  </si>
  <si>
    <t>Date de l'avis qui fixe les trois taux d'usure saisis plus haut.</t>
  </si>
  <si>
    <t>Dernière vérification des paramètres</t>
  </si>
  <si>
    <t>Aucun de ces taux n'est recopié dans une formule : toutes pointent ici.</t>
  </si>
  <si>
    <t>À chaque vérification</t>
  </si>
  <si>
    <t>Cette date s'affiche dans chaque libellé de source, ici et dans Méthode.</t>
  </si>
  <si>
    <t>Ces valeurs sont volontairement isolées ici. Un modèle qui embarque un taux d'usure au cœur de ses formules devient faux au trimestre suivant,</t>
  </si>
  <si>
    <t>sans que personne ne s'en aperçoive. Vérifiez-les avant tout usage engageant, et notez la date de votre dernière vérification ci-dessus.</t>
  </si>
  <si>
    <t>Méthode de calcul</t>
  </si>
  <si>
    <t>Ce que le modèle fait, ce qu'il ne fait pas, et sur quelles sources reposent ses chiffres.</t>
  </si>
  <si>
    <t xml:space="preserve">  CONVENTIONS RETENUES, ET CE QU'ELLES COÛTENT</t>
  </si>
  <si>
    <t>Mensualité</t>
  </si>
  <si>
    <t>Échéance constante d'un prêt amortissable : capital × (taux ÷ 12) ÷ (1 − (1 + taux ÷ 12) ^ − nombre d'échéances), soit capital ÷ nombre d'échéances à taux nul. C'est le calcul d'un prêt amortissable à échéances constantes, celui de la quasi-totalité des crédits immobiliers français. Le taux mensuel est proportionnel (taux annuel ÷ 12), convention des banques françaises : 3,35 % nominal équivaut à 3,40 % actuariel. L'échéance est arrondie au centime, comme dans l'offre de prêt ; la dernière échéance solde exactement le capital restant dû et absorbe l'arrondi.</t>
  </si>
  <si>
    <t>Intérêts et capital du mois</t>
  </si>
  <si>
    <t>Échéancier itératif : intérêts du mois = capital restant dû du mois précédent × taux ÷ 12, arrondis au centime ; capital = échéance − intérêts ; capital restant dû = précédent − capital. Aucune fonction financière : le tableau reste juste à taux nul (prêt à taux zéro). Les premières années remboursent surtout des intérêts : c'est ce qui rend une revente précoce coûteuse, et ce que le tableau rend visible.</t>
  </si>
  <si>
    <t>Différé</t>
  </si>
  <si>
    <t>Différé d'amortissement (VEFA, construction, travaux) : pendant les mois de différé, l'échéance se limite aux intérêts du mois plus l'assurance ; le capital n'est pas entamé. L'amortissement commence ensuite sur la durée restante (durée totale − différé). Le différé total avec capitalisation des intérêts, les déblocages progressifs et les intérêts intercalaires d'une VEFA ne sont pas modélisés.</t>
  </si>
  <si>
    <t>Dates</t>
  </si>
  <si>
    <t>Vraies dates Excel. La première échéance tombe à la date saisie, les suivantes le même jour chaque mois (dernier jour du mois si le jour n'existe pas). Le déblocage est supposé un mois avant la première échéance, sans intérêts intercalaires.</t>
  </si>
  <si>
    <t>Deux assiettes au choix, par prêt et par offre. Capital initial : cotisation constante, convention des contrats groupe bancaires. Capital restant dû : cotisation recalculée chaque mois sur le capital restant dû du mois précédent, convention de la plupart des délégations (loi Lemoine du 28 février 2022) ; sur 25 ans à taux égal, elle coûte 30 à 40 % de moins. La cotisation est arrondie au centime.</t>
  </si>
  <si>
    <t>Intérêts + assurance + frais de dossier + frais de garantie. Il agrège tout ce que la banque facture, mais il ne permet de comparer deux offres qu'à durée égale : une offre plus courte coûte presque toujours moins en intérêts tout en pesant davantage chaque mois. À durées différentes, le classeur refuse de désigner une offre la moins chère et renvoie au TAEG.</t>
  </si>
  <si>
    <t>Garantie et restitution</t>
  </si>
  <si>
    <t>Le coût total et le TAEG comptent les frais de garantie en entier. Pour une caution Crédit Logement, une partie du versement au fonds mutuel de garantie (FMG) est restituée en fin de prêt (environ 70 %, Paramètres) : le classeur l'affiche à part, en estimation, et calcule un coût total net de restitution. La restitution n'entre pas dans le TAEG. Le privilège de prêteur de deniers a été remplacé le 1er janvier 2022 par l'hypothèque légale spéciale du prêteur de deniers (ordonnance n° 2021-1192 du 15 septembre 2021), sans changement de coût.</t>
  </si>
  <si>
    <t>TAEG et TAEA</t>
  </si>
  <si>
    <t>Taux annuel effectif global selon la méthode d'équivalence de l'annexe à l'article R314-3 du Code de la consommation : le taux mensuel qui égalise le montant net versé (capital − frais de dossier − frais de garantie) et la somme des échéances actualisées (capital, intérêts et assurance obligatoire), annualisé par (1 + taux mensuel) ^ 12 − 1. Résolu par la fonction IRR sur les flux réels de l'Échéancier. Le TAEG hors assurance suit la même méthode sans les cotisations ; le TAEA (taux annuel effectif de l'assurance) est la différence des deux. Ne sont pas comptés : frais de notaire, frais de courtage, frais de tenue de compte, assurances facultatives. Sur l'exemple livré, la conversion proportionnelle du seul nominal (3,35 %) redonne 3,40 % : l'écart avec le TAEG est le poids des frais et de l'assurance.</t>
  </si>
  <si>
    <t>Taux d'usure</t>
  </si>
  <si>
    <t>Repères HCSF</t>
  </si>
  <si>
    <t>Taux d'effort = mensualité totale assurance comprise ÷ revenus nets mensuels, plafonné à 35 % ; durée limitée à 25 ans, 27 ans avec un différé d'au plus 2 ans quand le bien n'est pas livré à la signature. Norme contraignante depuis le 1er janvier 2022, avec une marge de flexibilité de 20 % de la production, dont 70 % pour la résidence principale et 30 % pour les primo-accédants. Le classeur ne compte que ce prêt : ajoutez vos autres crédits à la main.</t>
  </si>
  <si>
    <t>Remboursement anticipé</t>
  </si>
  <si>
    <t>Capital restant dû lu dans l'Échéancier après l'échéance choisie. Indemnité plafonnée au plus bas de six mois d'intérêts sur le capital remboursé, au taux moyen du prêt, et de 3 % du capital restant dû (Code de la consommation, art. L313-47 et R313-25). Aucune indemnité n'est due, pour les prêts conclus depuis le 1er juillet 1999, quand la vente suit une mutation professionnelle, une cessation forcée d'activité ou le décès de l'emprunteur ou de son conjoint. Le classeur affiche le plafond légal ; l'offre de prêt peut prévoir moins.</t>
  </si>
  <si>
    <t>Trois offres côte à côte. Une colonne sans montant, taux ni durée est ignorée : comparer deux offres fonctionne. Chaque offre a son propre échéancier (onglet Détail des offres), son TAEG et son coût total. Classement par TAEG (valable à toute durée) et par coût total (à durée égale seulement, contrôlé). L'offre de rang 1 ressort en vert ; les écarts au meilleur sont affichés en clair. À égalité, deux offres partagent le même rang et la première colonne l'emporte au verdict.</t>
  </si>
  <si>
    <t>Taux et arrondis</t>
  </si>
  <si>
    <t>Tous les taux sont des fractions affichées en pourcentage : tapez 3,35 dans une cellule de taux, elle affiche 3,35 % et contient 0,0335. Aucune formule ne divise par 100. Échéances, intérêts et cotisations sont arrondis au centime à chaque ligne ; les totaux sont les sommes des lignes, ce qui peut différer de quelques centimes d'un calcul non arrondi.</t>
  </si>
  <si>
    <t xml:space="preserve">  CE QUE CE MODÈLE NE FAIT PAS</t>
  </si>
  <si>
    <t>•  Il ne traite ni les prêts à paliers, ni les prêts in fine, ni les taux variables ou révisables, ni la modulation d'échéances.</t>
  </si>
  <si>
    <t>•  Il ne lisse pas un prêt à taux zéro avec un prêt principal : chaque prêt se saisit séparément, le PTZ à 0 % dans Mon prêt.</t>
  </si>
  <si>
    <t>•  Il ne modélise ni les déblocages progressifs d'une VEFA, ni les intérêts intercalaires, ni le différé total avec capitalisation des intérêts.</t>
  </si>
  <si>
    <t>•  Il ne calcule pas les frais de garantie ni les frais de notaire : ils se saisissent tels que l'offre les indique.</t>
  </si>
  <si>
    <t>•  Il ne gère qu'une seule assurance et une seule quotité ; pour deux co-emprunteurs, saisissez le taux cumulé des deux contrats.</t>
  </si>
  <si>
    <t>•  Il ne calcule pas le taux d'effort complet du foyer (autres crédits, revenus locatifs pondérés) : c'est l'objet de la matrice Capacité d'emprunt et bilan patrimonial.</t>
  </si>
  <si>
    <t>•  Il ne remplace ni l'offre de prêt, seul document opposable, ni un conseil en financement.</t>
  </si>
  <si>
    <t xml:space="preserve">  SOURCES</t>
  </si>
  <si>
    <t>Prêt à taux zéro</t>
  </si>
  <si>
    <t>Hypothèque légale spéciale du prêteur de deniers</t>
  </si>
  <si>
    <t>Assurance emprunteur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</si>
</sst>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8" formatCode="#,##0&quot; €&quot;"/>
    <numFmt numFmtId="169" formatCode="0&quot; mois&quot;"/>
    <numFmt numFmtId="171" formatCode="dd/mm/yyyy;@"/>
    <numFmt numFmtId="172" formatCode="0.0&quot; ans&quot;"/>
    <numFmt numFmtId="173" formatCode="#,##0.00&quot; €&quot;"/>
  </numFmts>
  <fonts count="11" x14ac:knownFonts="1">
    <font>
      <sz val="11"/>
      <color theme="1"/>
      <name val="Calibri"/>
      <family val="2"/>
      <scheme val="minor"/>
    </font>
    <font>
      <b/>
      <sz val="10"/>
      <color rgb="FFFFFFFF"/>
      <name val="Calibri"/>
    </font>
    <font>
      <b/>
      <sz val="16"/>
      <color rgb="FF0E1A33"/>
      <name val="Calibri"/>
    </font>
    <font>
      <sz val="10"/>
      <color rgb="FF6B7280"/>
      <name val="Calibri"/>
    </font>
    <font>
      <sz val="9"/>
      <color rgb="FF6B7280"/>
      <name val="Calibri"/>
    </font>
    <font>
      <sz val="10"/>
      <color rgb="FF1F2937"/>
      <name val="Calibri"/>
    </font>
    <font>
      <sz val="10"/>
      <color rgb="FF0E1A33"/>
      <name val="Calibri"/>
    </font>
    <font>
      <b/>
      <sz val="10"/>
      <color rgb="FF0E1A33"/>
      <name val="Calibri"/>
    </font>
    <font>
      <b/>
      <sz val="14"/>
      <color rgb="FF0E1A33"/>
      <name val="Calibri"/>
    </font>
    <font>
      <i/>
      <sz val="8"/>
      <color rgb="FF6B7280"/>
      <name val="Calibri"/>
    </font>
    <font>
      <b/>
      <sz val="12"/>
      <color rgb="FF0E1A33"/>
      <name val="Calibri"/>
    </font>
  </fonts>
  <fills count="6">
    <fill>
      <patternFill patternType="none"/>
    </fill>
    <fill>
      <patternFill patternType="gray125"/>
    </fill>
    <fill>
      <patternFill patternType="solid">
        <fgColor rgb="FF0E1A33"/>
      </patternFill>
    </fill>
    <fill>
      <patternFill patternType="solid">
        <fgColor rgb="FFE8F0FE"/>
      </patternFill>
    </fill>
    <fill>
      <patternFill patternType="solid">
        <fgColor rgb="FFFFFFFF"/>
      </patternFill>
    </fill>
    <fill>
      <patternFill patternType="solid">
        <fgColor rgb="FFF5F9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4">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68" fontId="6" fillId="3" borderId="1" xfId="0" applyNumberFormat="1" applyFont="1" applyFill="1" applyBorder="1" applyAlignment="1" applyProtection="1">
      <alignment horizontal="right" vertical="center"/>
      <protection locked="0"/>
    </xf>
    <xf numFmtId="10" fontId="6" fillId="3" borderId="1" xfId="0" applyNumberFormat="1" applyFont="1" applyFill="1" applyBorder="1" applyAlignment="1" applyProtection="1">
      <alignment horizontal="right" vertical="center"/>
      <protection locked="0"/>
    </xf>
    <xf numFmtId="169" fontId="6" fillId="3" borderId="1" xfId="0" applyNumberFormat="1" applyFont="1" applyFill="1" applyBorder="1" applyAlignment="1" applyProtection="1">
      <alignment horizontal="right" vertical="center"/>
      <protection locked="0"/>
    </xf>
    <xf numFmtId="171" fontId="6" fillId="3" borderId="1" xfId="0" applyNumberFormat="1" applyFont="1" applyFill="1" applyBorder="1" applyAlignment="1" applyProtection="1">
      <alignment horizontal="right" vertical="center"/>
      <protection locked="0"/>
    </xf>
    <xf numFmtId="49" fontId="6" fillId="3" borderId="1" xfId="0" applyNumberFormat="1" applyFont="1" applyFill="1" applyBorder="1" applyAlignment="1" applyProtection="1">
      <alignment horizontal="left" vertical="center"/>
      <protection locked="0"/>
    </xf>
    <xf numFmtId="0" fontId="7" fillId="0" borderId="1" xfId="0" applyFont="1" applyBorder="1" applyAlignment="1">
      <alignment horizontal="center" vertical="center"/>
    </xf>
    <xf numFmtId="172" fontId="5" fillId="4" borderId="0" xfId="0" applyNumberFormat="1" applyFont="1" applyFill="1" applyAlignment="1">
      <alignment horizontal="right" vertical="center"/>
    </xf>
    <xf numFmtId="173" fontId="5" fillId="4" borderId="0" xfId="0" applyNumberFormat="1" applyFont="1" applyFill="1" applyAlignment="1">
      <alignment horizontal="right" vertical="center"/>
    </xf>
    <xf numFmtId="0" fontId="7" fillId="0" borderId="0" xfId="0" applyFont="1" applyAlignment="1">
      <alignment horizontal="left" vertical="center"/>
    </xf>
    <xf numFmtId="173" fontId="8" fillId="5" borderId="1" xfId="0" applyNumberFormat="1" applyFont="1" applyFill="1" applyBorder="1" applyAlignment="1">
      <alignment horizontal="right" vertical="center"/>
    </xf>
    <xf numFmtId="168" fontId="5" fillId="4" borderId="0" xfId="0" applyNumberFormat="1" applyFont="1" applyFill="1" applyAlignment="1">
      <alignment horizontal="right" vertical="center"/>
    </xf>
    <xf numFmtId="168" fontId="8" fillId="5" borderId="1" xfId="0" applyNumberFormat="1" applyFont="1" applyFill="1" applyBorder="1" applyAlignment="1">
      <alignment horizontal="right" vertical="center"/>
    </xf>
    <xf numFmtId="10" fontId="5" fillId="4" borderId="0" xfId="0" applyNumberFormat="1" applyFont="1" applyFill="1" applyAlignment="1">
      <alignment horizontal="right" vertical="center"/>
    </xf>
    <xf numFmtId="168" fontId="7" fillId="5" borderId="1" xfId="0" applyNumberFormat="1" applyFont="1" applyFill="1" applyBorder="1" applyAlignment="1">
      <alignment horizontal="right" vertical="center"/>
    </xf>
    <xf numFmtId="10" fontId="8" fillId="5" borderId="1" xfId="0" applyNumberFormat="1" applyFont="1" applyFill="1" applyBorder="1" applyAlignment="1">
      <alignment horizontal="right" vertical="center"/>
    </xf>
    <xf numFmtId="173" fontId="7" fillId="5" borderId="1" xfId="0" applyNumberFormat="1" applyFont="1" applyFill="1" applyBorder="1" applyAlignment="1">
      <alignment horizontal="right" vertical="center"/>
    </xf>
    <xf numFmtId="0" fontId="7" fillId="0" borderId="0" xfId="0" applyFont="1"/>
    <xf numFmtId="0" fontId="1" fillId="2" borderId="0" xfId="0" applyFont="1" applyFill="1" applyAlignment="1">
      <alignment horizontal="center" vertical="center" wrapText="1"/>
    </xf>
    <xf numFmtId="3" fontId="5" fillId="4" borderId="0" xfId="0" applyNumberFormat="1" applyFont="1" applyFill="1" applyAlignment="1">
      <alignment horizontal="right" vertical="center"/>
    </xf>
    <xf numFmtId="171" fontId="5" fillId="4" borderId="0" xfId="0" applyNumberFormat="1" applyFont="1" applyFill="1" applyAlignment="1">
      <alignment horizontal="right" vertical="center"/>
    </xf>
    <xf numFmtId="173" fontId="7" fillId="4" borderId="0" xfId="0" applyNumberFormat="1" applyFont="1" applyFill="1" applyAlignment="1">
      <alignment horizontal="right" vertical="center"/>
    </xf>
    <xf numFmtId="169" fontId="5" fillId="4" borderId="0" xfId="0" applyNumberFormat="1" applyFont="1" applyFill="1" applyAlignment="1">
      <alignment horizontal="right" vertical="center"/>
    </xf>
    <xf numFmtId="49" fontId="7" fillId="5" borderId="1" xfId="0" applyNumberFormat="1" applyFont="1" applyFill="1" applyBorder="1" applyAlignment="1">
      <alignment horizontal="left" vertical="center"/>
    </xf>
    <xf numFmtId="0" fontId="5" fillId="0" borderId="0" xfId="0" applyFont="1"/>
    <xf numFmtId="0" fontId="4" fillId="0" borderId="0" xfId="0" applyFont="1" applyAlignment="1">
      <alignment horizontal="left" vertical="top" wrapText="1"/>
    </xf>
    <xf numFmtId="0" fontId="5" fillId="0" borderId="2" xfId="0" applyFont="1" applyBorder="1" applyAlignment="1">
      <alignment horizontal="left" vertical="top" wrapText="1"/>
    </xf>
    <xf numFmtId="0" fontId="0" fillId="0" borderId="3" xfId="0" applyBorder="1"/>
    <xf numFmtId="0" fontId="5" fillId="0" borderId="0" xfId="0" applyFont="1" applyAlignment="1">
      <alignment horizontal="left" vertical="top" wrapText="1"/>
    </xf>
    <xf numFmtId="0" fontId="0" fillId="0" borderId="0" xfId="0"/>
    <xf numFmtId="0" fontId="1" fillId="2" borderId="0" xfId="0" applyFont="1" applyFill="1" applyAlignment="1">
      <alignment horizontal="left" vertical="center" wrapText="1"/>
    </xf>
    <xf numFmtId="0" fontId="10" fillId="0" borderId="0" xfId="0" applyFont="1" applyAlignment="1">
      <alignment horizontal="center" vertical="center" wrapText="1"/>
    </xf>
    <xf numFmtId="0" fontId="7" fillId="0" borderId="0" xfId="0" applyFont="1" applyAlignment="1">
      <alignment horizontal="left" vertical="top" wrapText="1"/>
    </xf>
    <xf numFmtId="0" fontId="9" fillId="0" borderId="0" xfId="0" applyFont="1" applyAlignment="1">
      <alignment horizontal="left" vertical="top" wrapText="1"/>
    </xf>
  </cellXfs>
  <cellStyles count="1">
    <cellStyle name="Normal" xfId="0" builtinId="0"/>
  </cellStyles>
  <dxfs count="15">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3"/>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16.5" customHeight="1" x14ac:dyDescent="0.35">
      <c r="B7" s="38" t="s">
        <v>4</v>
      </c>
      <c r="C7" s="39"/>
      <c r="D7" s="39"/>
      <c r="E7" s="39"/>
    </row>
    <row r="8" spans="2:6" ht="43.5" customHeight="1" x14ac:dyDescent="0.35">
      <c r="B8" s="38" t="s">
        <v>5</v>
      </c>
      <c r="C8" s="39"/>
      <c r="D8" s="39"/>
      <c r="E8" s="39"/>
    </row>
    <row r="9" spans="2:6" ht="16.5" customHeight="1" x14ac:dyDescent="0.35">
      <c r="B9" s="38" t="s">
        <v>6</v>
      </c>
      <c r="C9" s="39"/>
      <c r="D9" s="39"/>
      <c r="E9" s="39"/>
    </row>
    <row r="10" spans="2:6" ht="18" customHeight="1" x14ac:dyDescent="0.35">
      <c r="B10" s="5" t="s">
        <v>7</v>
      </c>
      <c r="C10" s="40" t="s">
        <v>8</v>
      </c>
      <c r="D10" s="39"/>
      <c r="E10" s="39"/>
    </row>
    <row r="11" spans="2:6" ht="16.5" customHeight="1" x14ac:dyDescent="0.35">
      <c r="B11" s="6" t="s">
        <v>9</v>
      </c>
      <c r="C11" s="36" t="s">
        <v>10</v>
      </c>
      <c r="D11" s="37"/>
      <c r="E11" s="37"/>
    </row>
    <row r="12" spans="2:6" ht="16.5" customHeight="1" x14ac:dyDescent="0.35">
      <c r="B12" s="6" t="s">
        <v>11</v>
      </c>
      <c r="C12" s="36" t="s">
        <v>12</v>
      </c>
      <c r="D12" s="37"/>
      <c r="E12" s="37"/>
    </row>
    <row r="13" spans="2:6" ht="16.5" customHeight="1" x14ac:dyDescent="0.35">
      <c r="B13" s="6" t="s">
        <v>13</v>
      </c>
      <c r="C13" s="36" t="s">
        <v>14</v>
      </c>
      <c r="D13" s="37"/>
      <c r="E13" s="37"/>
    </row>
    <row r="14" spans="2:6" ht="16.5" customHeight="1" x14ac:dyDescent="0.35">
      <c r="B14" s="6" t="s">
        <v>15</v>
      </c>
      <c r="C14" s="36" t="s">
        <v>16</v>
      </c>
      <c r="D14" s="37"/>
      <c r="E14" s="37"/>
    </row>
    <row r="15" spans="2:6" ht="30" customHeight="1" x14ac:dyDescent="0.35">
      <c r="B15" s="6" t="s">
        <v>17</v>
      </c>
      <c r="C15" s="36" t="s">
        <v>18</v>
      </c>
      <c r="D15" s="37"/>
      <c r="E15" s="37"/>
    </row>
    <row r="17" spans="2:5" ht="18" customHeight="1" x14ac:dyDescent="0.35">
      <c r="B17" s="1" t="s">
        <v>19</v>
      </c>
      <c r="C17" s="1"/>
      <c r="D17" s="1"/>
      <c r="E17" s="1"/>
    </row>
    <row r="18" spans="2:5" ht="28" customHeight="1" x14ac:dyDescent="0.35">
      <c r="B18" s="41" t="s">
        <v>20</v>
      </c>
      <c r="C18" s="39"/>
      <c r="D18" s="39"/>
      <c r="E18" s="39"/>
    </row>
    <row r="20" spans="2:5" ht="18" customHeight="1" x14ac:dyDescent="0.35">
      <c r="B20" s="1" t="s">
        <v>21</v>
      </c>
      <c r="C20" s="1"/>
      <c r="D20" s="1"/>
      <c r="E20" s="1"/>
    </row>
    <row r="21" spans="2:5" ht="18" customHeight="1" x14ac:dyDescent="0.35">
      <c r="B21" s="5" t="s">
        <v>22</v>
      </c>
      <c r="C21" s="5" t="s">
        <v>23</v>
      </c>
      <c r="D21" s="40" t="s">
        <v>24</v>
      </c>
      <c r="E21" s="39"/>
    </row>
    <row r="22" spans="2:5" ht="30" customHeight="1" x14ac:dyDescent="0.35">
      <c r="B22" s="6" t="s">
        <v>1</v>
      </c>
      <c r="C22" s="7" t="s">
        <v>25</v>
      </c>
      <c r="D22" s="36" t="s">
        <v>26</v>
      </c>
      <c r="E22" s="37"/>
    </row>
    <row r="23" spans="2:5" ht="124.5" customHeight="1" x14ac:dyDescent="0.35">
      <c r="B23" s="6" t="s">
        <v>27</v>
      </c>
      <c r="C23" s="7" t="s">
        <v>28</v>
      </c>
      <c r="D23" s="36" t="s">
        <v>29</v>
      </c>
      <c r="E23" s="37"/>
    </row>
    <row r="24" spans="2:5" ht="16.5" customHeight="1" x14ac:dyDescent="0.35">
      <c r="B24" s="6" t="s">
        <v>30</v>
      </c>
      <c r="C24" s="7" t="s">
        <v>31</v>
      </c>
      <c r="D24" s="36" t="s">
        <v>32</v>
      </c>
      <c r="E24" s="37"/>
    </row>
    <row r="25" spans="2:5" ht="70.5" customHeight="1" x14ac:dyDescent="0.35">
      <c r="B25" s="6" t="s">
        <v>33</v>
      </c>
      <c r="C25" s="7" t="s">
        <v>34</v>
      </c>
      <c r="D25" s="36" t="s">
        <v>35</v>
      </c>
      <c r="E25" s="37"/>
    </row>
    <row r="26" spans="2:5" ht="16.5" customHeight="1" x14ac:dyDescent="0.35">
      <c r="B26" s="6" t="s">
        <v>36</v>
      </c>
      <c r="C26" s="7" t="s">
        <v>31</v>
      </c>
      <c r="D26" s="36" t="s">
        <v>37</v>
      </c>
      <c r="E26" s="37"/>
    </row>
    <row r="27" spans="2:5" ht="57" customHeight="1" x14ac:dyDescent="0.35">
      <c r="B27" s="6" t="s">
        <v>38</v>
      </c>
      <c r="C27" s="7" t="s">
        <v>39</v>
      </c>
      <c r="D27" s="36" t="s">
        <v>40</v>
      </c>
      <c r="E27" s="37"/>
    </row>
    <row r="28" spans="2:5" ht="16.5" customHeight="1" x14ac:dyDescent="0.35">
      <c r="B28" s="6" t="s">
        <v>41</v>
      </c>
      <c r="C28" s="7" t="s">
        <v>31</v>
      </c>
      <c r="D28" s="36" t="s">
        <v>42</v>
      </c>
      <c r="E28" s="37"/>
    </row>
    <row r="30" spans="2:5" ht="18" customHeight="1" x14ac:dyDescent="0.35">
      <c r="B30" s="1" t="s">
        <v>43</v>
      </c>
      <c r="C30" s="1"/>
      <c r="D30" s="1"/>
      <c r="E30" s="1"/>
    </row>
    <row r="31" spans="2:5" ht="18" customHeight="1" x14ac:dyDescent="0.35">
      <c r="B31" s="5" t="s">
        <v>44</v>
      </c>
      <c r="C31" s="5" t="s">
        <v>45</v>
      </c>
      <c r="D31" s="40" t="s">
        <v>46</v>
      </c>
      <c r="E31" s="39"/>
    </row>
    <row r="32" spans="2:5" ht="16.5" customHeight="1" x14ac:dyDescent="0.35">
      <c r="B32" s="6" t="s">
        <v>47</v>
      </c>
      <c r="C32" s="7" t="s">
        <v>48</v>
      </c>
      <c r="D32" s="36" t="s">
        <v>49</v>
      </c>
      <c r="E32" s="37"/>
    </row>
    <row r="33" spans="2:5" ht="16.5" customHeight="1" x14ac:dyDescent="0.35">
      <c r="B33" s="6" t="s">
        <v>50</v>
      </c>
      <c r="C33" s="7" t="s">
        <v>51</v>
      </c>
      <c r="D33" s="36" t="s">
        <v>52</v>
      </c>
      <c r="E33" s="37"/>
    </row>
    <row r="34" spans="2:5" ht="30" customHeight="1" x14ac:dyDescent="0.35">
      <c r="B34" s="6" t="s">
        <v>53</v>
      </c>
      <c r="C34" s="7" t="s">
        <v>54</v>
      </c>
      <c r="D34" s="36" t="s">
        <v>55</v>
      </c>
      <c r="E34" s="37"/>
    </row>
    <row r="35" spans="2:5" ht="30" customHeight="1" x14ac:dyDescent="0.35">
      <c r="B35" s="6" t="s">
        <v>56</v>
      </c>
      <c r="C35" s="7" t="s">
        <v>57</v>
      </c>
      <c r="D35" s="36" t="s">
        <v>58</v>
      </c>
      <c r="E35" s="37"/>
    </row>
    <row r="36" spans="2:5" ht="30" customHeight="1" x14ac:dyDescent="0.35">
      <c r="B36" s="6" t="s">
        <v>59</v>
      </c>
      <c r="C36" s="7" t="s">
        <v>60</v>
      </c>
      <c r="D36" s="36" t="s">
        <v>61</v>
      </c>
      <c r="E36" s="37"/>
    </row>
    <row r="37" spans="2:5" ht="43.5" customHeight="1" x14ac:dyDescent="0.35">
      <c r="B37" s="6" t="s">
        <v>62</v>
      </c>
      <c r="C37" s="7" t="s">
        <v>63</v>
      </c>
      <c r="D37" s="36" t="s">
        <v>64</v>
      </c>
      <c r="E37" s="37"/>
    </row>
    <row r="38" spans="2:5" ht="30" customHeight="1" x14ac:dyDescent="0.35">
      <c r="B38" s="38" t="s">
        <v>65</v>
      </c>
      <c r="C38" s="39"/>
      <c r="D38" s="39"/>
      <c r="E38" s="39"/>
    </row>
    <row r="40" spans="2:5" ht="18" customHeight="1" x14ac:dyDescent="0.35">
      <c r="B40" s="1" t="s">
        <v>66</v>
      </c>
      <c r="C40" s="1"/>
      <c r="D40" s="1"/>
      <c r="E40" s="1"/>
    </row>
    <row r="41" spans="2:5" ht="18" customHeight="1" x14ac:dyDescent="0.35">
      <c r="B41" s="5" t="s">
        <v>67</v>
      </c>
      <c r="C41" s="5" t="s">
        <v>68</v>
      </c>
      <c r="D41" s="5" t="s">
        <v>46</v>
      </c>
      <c r="E41" s="5" t="s">
        <v>69</v>
      </c>
    </row>
    <row r="42" spans="2:5" ht="178.5" customHeight="1" x14ac:dyDescent="0.35">
      <c r="B42" s="6" t="s">
        <v>70</v>
      </c>
      <c r="C42" s="7" t="s">
        <v>71</v>
      </c>
      <c r="D42" s="7" t="s">
        <v>72</v>
      </c>
      <c r="E42" s="7" t="s">
        <v>73</v>
      </c>
    </row>
    <row r="43" spans="2:5" ht="192" customHeight="1" x14ac:dyDescent="0.35">
      <c r="B43" s="6" t="s">
        <v>74</v>
      </c>
      <c r="C43" s="7" t="s">
        <v>75</v>
      </c>
      <c r="D43" s="7" t="s">
        <v>76</v>
      </c>
      <c r="E43" s="7" t="s">
        <v>77</v>
      </c>
    </row>
    <row r="44" spans="2:5" ht="70.5" customHeight="1" x14ac:dyDescent="0.35">
      <c r="B44" s="6" t="s">
        <v>78</v>
      </c>
      <c r="C44" s="7" t="s">
        <v>79</v>
      </c>
      <c r="D44" s="7" t="s">
        <v>80</v>
      </c>
      <c r="E44" s="7" t="s">
        <v>81</v>
      </c>
    </row>
    <row r="45" spans="2:5" ht="57" customHeight="1" x14ac:dyDescent="0.35">
      <c r="B45" s="6" t="s">
        <v>82</v>
      </c>
      <c r="C45" s="7" t="s">
        <v>83</v>
      </c>
      <c r="D45" s="7" t="s">
        <v>84</v>
      </c>
      <c r="E45" s="7" t="s">
        <v>85</v>
      </c>
    </row>
    <row r="46" spans="2:5" ht="57" customHeight="1" x14ac:dyDescent="0.35">
      <c r="B46" s="6" t="s">
        <v>86</v>
      </c>
      <c r="C46" s="7" t="s">
        <v>87</v>
      </c>
      <c r="D46" s="7" t="s">
        <v>88</v>
      </c>
      <c r="E46" s="7" t="s">
        <v>89</v>
      </c>
    </row>
    <row r="47" spans="2:5" ht="30" customHeight="1" x14ac:dyDescent="0.35">
      <c r="B47" s="6" t="s">
        <v>90</v>
      </c>
      <c r="C47" s="7" t="s">
        <v>91</v>
      </c>
      <c r="D47" s="7" t="s">
        <v>92</v>
      </c>
      <c r="E47" s="7" t="s">
        <v>93</v>
      </c>
    </row>
    <row r="48" spans="2:5" ht="57" customHeight="1" x14ac:dyDescent="0.35">
      <c r="B48" s="6" t="s">
        <v>94</v>
      </c>
      <c r="C48" s="7" t="s">
        <v>95</v>
      </c>
      <c r="D48" s="7" t="s">
        <v>96</v>
      </c>
      <c r="E48" s="7" t="s">
        <v>97</v>
      </c>
    </row>
    <row r="49" spans="2:5" ht="111" customHeight="1" x14ac:dyDescent="0.35">
      <c r="B49" s="6" t="s">
        <v>98</v>
      </c>
      <c r="C49" s="7" t="s">
        <v>99</v>
      </c>
      <c r="D49" s="7" t="s">
        <v>100</v>
      </c>
      <c r="E49" s="7" t="s">
        <v>101</v>
      </c>
    </row>
    <row r="50" spans="2:5" ht="111" customHeight="1" x14ac:dyDescent="0.35">
      <c r="B50" s="6" t="s">
        <v>102</v>
      </c>
      <c r="C50" s="7" t="s">
        <v>103</v>
      </c>
      <c r="D50" s="7" t="s">
        <v>104</v>
      </c>
      <c r="E50" s="7" t="s">
        <v>105</v>
      </c>
    </row>
    <row r="51" spans="2:5" ht="138" customHeight="1" x14ac:dyDescent="0.35">
      <c r="B51" s="6" t="s">
        <v>106</v>
      </c>
      <c r="C51" s="7" t="s">
        <v>107</v>
      </c>
      <c r="D51" s="7" t="s">
        <v>108</v>
      </c>
      <c r="E51" s="7" t="s">
        <v>109</v>
      </c>
    </row>
    <row r="53" spans="2:5" ht="18" customHeight="1" x14ac:dyDescent="0.35">
      <c r="B53" s="1" t="s">
        <v>110</v>
      </c>
      <c r="C53" s="1"/>
      <c r="D53" s="1"/>
      <c r="E53" s="1"/>
    </row>
    <row r="54" spans="2:5" ht="30" customHeight="1" x14ac:dyDescent="0.35">
      <c r="B54" s="38" t="s">
        <v>111</v>
      </c>
      <c r="C54" s="39"/>
      <c r="D54" s="39"/>
      <c r="E54" s="39"/>
    </row>
    <row r="55" spans="2:5" ht="43.5" customHeight="1" x14ac:dyDescent="0.35">
      <c r="B55" s="38" t="s">
        <v>112</v>
      </c>
      <c r="C55" s="39"/>
      <c r="D55" s="39"/>
      <c r="E55" s="39"/>
    </row>
    <row r="56" spans="2:5" ht="43.5" customHeight="1" x14ac:dyDescent="0.35">
      <c r="B56" s="38" t="s">
        <v>113</v>
      </c>
      <c r="C56" s="39"/>
      <c r="D56" s="39"/>
      <c r="E56" s="39"/>
    </row>
    <row r="57" spans="2:5" ht="43.5" customHeight="1" x14ac:dyDescent="0.35">
      <c r="B57" s="38" t="s">
        <v>114</v>
      </c>
      <c r="C57" s="39"/>
      <c r="D57" s="39"/>
      <c r="E57" s="39"/>
    </row>
    <row r="58" spans="2:5" ht="57" customHeight="1" x14ac:dyDescent="0.35">
      <c r="B58" s="38" t="s">
        <v>115</v>
      </c>
      <c r="C58" s="39"/>
      <c r="D58" s="39"/>
      <c r="E58" s="39"/>
    </row>
    <row r="59" spans="2:5" ht="43.5" customHeight="1" x14ac:dyDescent="0.35">
      <c r="B59" s="38" t="s">
        <v>116</v>
      </c>
      <c r="C59" s="39"/>
      <c r="D59" s="39"/>
      <c r="E59" s="39"/>
    </row>
    <row r="61" spans="2:5" ht="18" customHeight="1" x14ac:dyDescent="0.35">
      <c r="B61" s="1" t="s">
        <v>117</v>
      </c>
      <c r="C61" s="1"/>
      <c r="D61" s="1"/>
      <c r="E61" s="1"/>
    </row>
    <row r="62" spans="2:5" ht="18" customHeight="1" x14ac:dyDescent="0.35">
      <c r="B62" s="5" t="s">
        <v>118</v>
      </c>
      <c r="C62" s="5" t="s">
        <v>119</v>
      </c>
      <c r="D62" s="5" t="s">
        <v>120</v>
      </c>
      <c r="E62" s="5" t="s">
        <v>121</v>
      </c>
    </row>
    <row r="63" spans="2:5" ht="30" customHeight="1" x14ac:dyDescent="0.35">
      <c r="B63" s="6" t="s">
        <v>122</v>
      </c>
      <c r="C63" s="7" t="s">
        <v>123</v>
      </c>
      <c r="D63" s="7" t="s">
        <v>124</v>
      </c>
      <c r="E63" s="7" t="s">
        <v>125</v>
      </c>
    </row>
    <row r="64" spans="2:5" ht="57" customHeight="1" x14ac:dyDescent="0.35">
      <c r="B64" s="6" t="s">
        <v>126</v>
      </c>
      <c r="C64" s="7" t="s">
        <v>127</v>
      </c>
      <c r="D64" s="7" t="s">
        <v>128</v>
      </c>
      <c r="E64" s="7" t="s">
        <v>129</v>
      </c>
    </row>
    <row r="65" spans="2:5" ht="30" customHeight="1" x14ac:dyDescent="0.35">
      <c r="B65" s="6" t="s">
        <v>130</v>
      </c>
      <c r="C65" s="7" t="s">
        <v>131</v>
      </c>
      <c r="D65" s="7" t="s">
        <v>132</v>
      </c>
      <c r="E65" s="7" t="s">
        <v>133</v>
      </c>
    </row>
    <row r="66" spans="2:5" ht="43.5" customHeight="1" x14ac:dyDescent="0.35">
      <c r="B66" s="6" t="s">
        <v>134</v>
      </c>
      <c r="C66" s="7" t="s">
        <v>135</v>
      </c>
      <c r="D66" s="7" t="s">
        <v>136</v>
      </c>
      <c r="E66" s="7" t="s">
        <v>137</v>
      </c>
    </row>
    <row r="67" spans="2:5" ht="30" customHeight="1" x14ac:dyDescent="0.35">
      <c r="B67" s="6" t="s">
        <v>138</v>
      </c>
      <c r="C67" s="7" t="s">
        <v>139</v>
      </c>
      <c r="D67" s="7" t="s">
        <v>140</v>
      </c>
      <c r="E67" s="7" t="s">
        <v>141</v>
      </c>
    </row>
    <row r="68" spans="2:5" ht="30" customHeight="1" x14ac:dyDescent="0.35">
      <c r="B68" s="6" t="s">
        <v>142</v>
      </c>
      <c r="C68" s="7" t="s">
        <v>143</v>
      </c>
      <c r="D68" s="7" t="s">
        <v>144</v>
      </c>
      <c r="E68" s="7" t="s">
        <v>145</v>
      </c>
    </row>
    <row r="70" spans="2:5" ht="18" customHeight="1" x14ac:dyDescent="0.35">
      <c r="B70" s="1" t="s">
        <v>146</v>
      </c>
      <c r="C70" s="1"/>
      <c r="D70" s="1"/>
      <c r="E70" s="1"/>
    </row>
    <row r="71" spans="2:5" ht="43.5" customHeight="1" x14ac:dyDescent="0.35">
      <c r="B71" s="38" t="s">
        <v>147</v>
      </c>
      <c r="C71" s="39"/>
      <c r="D71" s="39"/>
      <c r="E71" s="39"/>
    </row>
    <row r="72" spans="2:5" ht="43.5" customHeight="1" x14ac:dyDescent="0.35">
      <c r="B72" s="38" t="s">
        <v>148</v>
      </c>
      <c r="C72" s="39"/>
      <c r="D72" s="39"/>
      <c r="E72" s="39"/>
    </row>
    <row r="73" spans="2:5" ht="18" customHeight="1" x14ac:dyDescent="0.35">
      <c r="B73" s="5" t="s">
        <v>149</v>
      </c>
      <c r="C73" s="5" t="s">
        <v>150</v>
      </c>
      <c r="D73" s="5" t="s">
        <v>151</v>
      </c>
      <c r="E73" s="5" t="s">
        <v>152</v>
      </c>
    </row>
    <row r="74" spans="2:5" ht="30" customHeight="1" x14ac:dyDescent="0.35">
      <c r="B74" s="6" t="s">
        <v>153</v>
      </c>
      <c r="C74" s="7" t="s">
        <v>154</v>
      </c>
      <c r="D74" s="7" t="s">
        <v>155</v>
      </c>
      <c r="E74" s="7" t="s">
        <v>156</v>
      </c>
    </row>
    <row r="75" spans="2:5" ht="30" customHeight="1" x14ac:dyDescent="0.35">
      <c r="B75" s="6" t="s">
        <v>157</v>
      </c>
      <c r="C75" s="7" t="s">
        <v>158</v>
      </c>
      <c r="D75" s="7" t="s">
        <v>159</v>
      </c>
      <c r="E75" s="7" t="s">
        <v>160</v>
      </c>
    </row>
    <row r="76" spans="2:5" ht="16.5" customHeight="1" x14ac:dyDescent="0.35">
      <c r="B76" s="6" t="s">
        <v>161</v>
      </c>
      <c r="C76" s="7" t="s">
        <v>162</v>
      </c>
      <c r="D76" s="7" t="s">
        <v>163</v>
      </c>
      <c r="E76" s="7" t="s">
        <v>164</v>
      </c>
    </row>
    <row r="77" spans="2:5" ht="30" customHeight="1" x14ac:dyDescent="0.35">
      <c r="B77" s="6" t="s">
        <v>165</v>
      </c>
      <c r="C77" s="7" t="s">
        <v>166</v>
      </c>
      <c r="D77" s="7" t="s">
        <v>167</v>
      </c>
      <c r="E77" s="7" t="s">
        <v>168</v>
      </c>
    </row>
    <row r="78" spans="2:5" ht="30" customHeight="1" x14ac:dyDescent="0.35">
      <c r="B78" s="6" t="s">
        <v>169</v>
      </c>
      <c r="C78" s="7" t="s">
        <v>170</v>
      </c>
      <c r="D78" s="7" t="s">
        <v>171</v>
      </c>
      <c r="E78" s="7" t="s">
        <v>172</v>
      </c>
    </row>
    <row r="79" spans="2:5" ht="16.5" customHeight="1" x14ac:dyDescent="0.35">
      <c r="B79" s="6" t="s">
        <v>173</v>
      </c>
      <c r="C79" s="7" t="s">
        <v>174</v>
      </c>
      <c r="D79" s="7" t="s">
        <v>175</v>
      </c>
      <c r="E79" s="7" t="s">
        <v>176</v>
      </c>
    </row>
    <row r="80" spans="2:5" ht="30" customHeight="1" x14ac:dyDescent="0.35">
      <c r="B80" s="6" t="s">
        <v>177</v>
      </c>
      <c r="C80" s="7" t="s">
        <v>178</v>
      </c>
      <c r="D80" s="7" t="s">
        <v>179</v>
      </c>
      <c r="E80" s="7" t="s">
        <v>180</v>
      </c>
    </row>
    <row r="81" spans="2:5" ht="30" customHeight="1" x14ac:dyDescent="0.35">
      <c r="B81" s="6" t="s">
        <v>181</v>
      </c>
      <c r="C81" s="7" t="s">
        <v>182</v>
      </c>
      <c r="D81" s="7" t="s">
        <v>183</v>
      </c>
      <c r="E81" s="7" t="s">
        <v>184</v>
      </c>
    </row>
    <row r="82" spans="2:5" ht="30" customHeight="1" x14ac:dyDescent="0.35">
      <c r="B82" s="6" t="s">
        <v>185</v>
      </c>
      <c r="C82" s="7" t="s">
        <v>186</v>
      </c>
      <c r="D82" s="7" t="s">
        <v>187</v>
      </c>
      <c r="E82" s="7" t="s">
        <v>188</v>
      </c>
    </row>
    <row r="83" spans="2:5" ht="43.5" customHeight="1" x14ac:dyDescent="0.35">
      <c r="B83" s="6" t="s">
        <v>189</v>
      </c>
      <c r="C83" s="7" t="s">
        <v>190</v>
      </c>
      <c r="D83" s="7" t="s">
        <v>191</v>
      </c>
      <c r="E83" s="7" t="s">
        <v>192</v>
      </c>
    </row>
    <row r="85" spans="2:5" ht="18" customHeight="1" x14ac:dyDescent="0.35">
      <c r="B85" s="1" t="s">
        <v>193</v>
      </c>
      <c r="C85" s="1"/>
      <c r="D85" s="1"/>
      <c r="E85" s="1"/>
    </row>
    <row r="86" spans="2:5" ht="18" customHeight="1" x14ac:dyDescent="0.35">
      <c r="B86" s="5" t="s">
        <v>194</v>
      </c>
      <c r="C86" s="40" t="s">
        <v>46</v>
      </c>
      <c r="D86" s="39"/>
      <c r="E86" s="39"/>
    </row>
    <row r="87" spans="2:5" ht="30" customHeight="1" x14ac:dyDescent="0.35">
      <c r="B87" s="6" t="s">
        <v>195</v>
      </c>
      <c r="C87" s="36" t="s">
        <v>196</v>
      </c>
      <c r="D87" s="37"/>
      <c r="E87" s="37"/>
    </row>
    <row r="88" spans="2:5" ht="30" customHeight="1" x14ac:dyDescent="0.35">
      <c r="B88" s="6" t="s">
        <v>197</v>
      </c>
      <c r="C88" s="36" t="s">
        <v>198</v>
      </c>
      <c r="D88" s="37"/>
      <c r="E88" s="37"/>
    </row>
    <row r="89" spans="2:5" ht="30" customHeight="1" x14ac:dyDescent="0.35">
      <c r="B89" s="6" t="s">
        <v>199</v>
      </c>
      <c r="C89" s="36" t="s">
        <v>200</v>
      </c>
      <c r="D89" s="37"/>
      <c r="E89" s="37"/>
    </row>
    <row r="91" spans="2:5" ht="18" customHeight="1" x14ac:dyDescent="0.35">
      <c r="B91" s="1" t="s">
        <v>201</v>
      </c>
      <c r="C91" s="1"/>
      <c r="D91" s="1"/>
      <c r="E91" s="1"/>
    </row>
    <row r="92" spans="2:5" ht="18" customHeight="1" x14ac:dyDescent="0.35">
      <c r="B92" s="5" t="s">
        <v>202</v>
      </c>
      <c r="C92" s="40" t="s">
        <v>203</v>
      </c>
      <c r="D92" s="39"/>
      <c r="E92" s="39"/>
    </row>
    <row r="93" spans="2:5" ht="30" customHeight="1" x14ac:dyDescent="0.35">
      <c r="B93" s="6" t="s">
        <v>204</v>
      </c>
      <c r="C93" s="36" t="s">
        <v>205</v>
      </c>
      <c r="D93" s="37"/>
      <c r="E93" s="37"/>
    </row>
    <row r="94" spans="2:5" ht="30" customHeight="1" x14ac:dyDescent="0.35">
      <c r="B94" s="6" t="s">
        <v>206</v>
      </c>
      <c r="C94" s="36" t="s">
        <v>207</v>
      </c>
      <c r="D94" s="37"/>
      <c r="E94" s="37"/>
    </row>
    <row r="95" spans="2:5" ht="43.5" customHeight="1" x14ac:dyDescent="0.35">
      <c r="B95" s="6" t="s">
        <v>208</v>
      </c>
      <c r="C95" s="36" t="s">
        <v>209</v>
      </c>
      <c r="D95" s="37"/>
      <c r="E95" s="37"/>
    </row>
    <row r="96" spans="2:5" ht="43.5" customHeight="1" x14ac:dyDescent="0.35">
      <c r="B96" s="6" t="s">
        <v>210</v>
      </c>
      <c r="C96" s="36" t="s">
        <v>211</v>
      </c>
      <c r="D96" s="37"/>
      <c r="E96" s="37"/>
    </row>
    <row r="97" spans="2:5" ht="30" customHeight="1" x14ac:dyDescent="0.35">
      <c r="B97" s="6" t="s">
        <v>212</v>
      </c>
      <c r="C97" s="36" t="s">
        <v>213</v>
      </c>
      <c r="D97" s="37"/>
      <c r="E97" s="37"/>
    </row>
    <row r="98" spans="2:5" ht="30" customHeight="1" x14ac:dyDescent="0.35">
      <c r="B98" s="6" t="s">
        <v>214</v>
      </c>
      <c r="C98" s="36" t="s">
        <v>215</v>
      </c>
      <c r="D98" s="37"/>
      <c r="E98" s="37"/>
    </row>
    <row r="99" spans="2:5" ht="43.5" customHeight="1" x14ac:dyDescent="0.35">
      <c r="B99" s="6" t="s">
        <v>216</v>
      </c>
      <c r="C99" s="36" t="s">
        <v>217</v>
      </c>
      <c r="D99" s="37"/>
      <c r="E99" s="37"/>
    </row>
    <row r="101" spans="2:5" ht="16.5" customHeight="1" x14ac:dyDescent="0.35">
      <c r="B101" s="42" t="s">
        <v>218</v>
      </c>
      <c r="C101" s="39"/>
      <c r="D101" s="39"/>
      <c r="E101" s="39"/>
    </row>
    <row r="103" spans="2:5" ht="36" customHeight="1" x14ac:dyDescent="0.35">
      <c r="B103" s="43" t="s">
        <v>219</v>
      </c>
      <c r="C103" s="39"/>
      <c r="D103" s="39"/>
      <c r="E103" s="39"/>
    </row>
  </sheetData>
  <sheetProtection sheet="1"/>
  <mergeCells count="48">
    <mergeCell ref="B103:E103"/>
    <mergeCell ref="D26:E26"/>
    <mergeCell ref="D35:E35"/>
    <mergeCell ref="C10:E10"/>
    <mergeCell ref="B101:E101"/>
    <mergeCell ref="D25:E25"/>
    <mergeCell ref="C14:E14"/>
    <mergeCell ref="B8:E8"/>
    <mergeCell ref="D24:E24"/>
    <mergeCell ref="B57:E57"/>
    <mergeCell ref="C89:E89"/>
    <mergeCell ref="C98:E98"/>
    <mergeCell ref="D33:E33"/>
    <mergeCell ref="B38:E38"/>
    <mergeCell ref="D23:E23"/>
    <mergeCell ref="C97:E97"/>
    <mergeCell ref="C88:E88"/>
    <mergeCell ref="C96:E96"/>
    <mergeCell ref="D28:E28"/>
    <mergeCell ref="C86:E86"/>
    <mergeCell ref="C92:E92"/>
    <mergeCell ref="C15:E15"/>
    <mergeCell ref="B7:E7"/>
    <mergeCell ref="D32:E32"/>
    <mergeCell ref="B72:E72"/>
    <mergeCell ref="B59:E59"/>
    <mergeCell ref="B18:E18"/>
    <mergeCell ref="B56:E56"/>
    <mergeCell ref="B71:E71"/>
    <mergeCell ref="C13:E13"/>
    <mergeCell ref="B58:E58"/>
    <mergeCell ref="D37:E37"/>
    <mergeCell ref="C99:E99"/>
    <mergeCell ref="B9:E9"/>
    <mergeCell ref="C94:E94"/>
    <mergeCell ref="C93:E93"/>
    <mergeCell ref="D34:E34"/>
    <mergeCell ref="B55:E55"/>
    <mergeCell ref="D22:E22"/>
    <mergeCell ref="D36:E36"/>
    <mergeCell ref="D31:E31"/>
    <mergeCell ref="C12:E12"/>
    <mergeCell ref="C95:E95"/>
    <mergeCell ref="D21:E21"/>
    <mergeCell ref="C11:E11"/>
    <mergeCell ref="D27:E27"/>
    <mergeCell ref="B54:E54"/>
    <mergeCell ref="C87:E8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6EF6"/>
  </sheetPr>
  <dimension ref="B1:D52"/>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8" customWidth="1"/>
    <col min="3" max="3" width="17" customWidth="1"/>
    <col min="4" max="4" width="100" customWidth="1"/>
  </cols>
  <sheetData>
    <row r="1" spans="2:4" ht="20" customHeight="1" x14ac:dyDescent="0.35">
      <c r="B1" s="1" t="s">
        <v>0</v>
      </c>
      <c r="C1" s="1"/>
      <c r="D1" s="1"/>
    </row>
    <row r="2" spans="2:4" ht="26" customHeight="1" x14ac:dyDescent="0.35">
      <c r="B2" s="2" t="s">
        <v>27</v>
      </c>
    </row>
    <row r="3" spans="2:4" x14ac:dyDescent="0.35">
      <c r="B3" s="3" t="s">
        <v>220</v>
      </c>
    </row>
    <row r="5" spans="2:4" x14ac:dyDescent="0.35">
      <c r="B5" s="9" t="s">
        <v>221</v>
      </c>
    </row>
    <row r="6" spans="2:4" ht="18" customHeight="1" x14ac:dyDescent="0.35">
      <c r="B6" s="1" t="s">
        <v>222</v>
      </c>
      <c r="C6" s="1"/>
      <c r="D6" s="1"/>
    </row>
    <row r="7" spans="2:4" x14ac:dyDescent="0.35">
      <c r="B7" s="10" t="s">
        <v>223</v>
      </c>
      <c r="C7" s="11">
        <v>180000</v>
      </c>
      <c r="D7" s="9" t="s">
        <v>224</v>
      </c>
    </row>
    <row r="8" spans="2:4" x14ac:dyDescent="0.35">
      <c r="B8" s="10" t="s">
        <v>225</v>
      </c>
      <c r="C8" s="12">
        <v>3.3500000000000002E-2</v>
      </c>
      <c r="D8" s="9" t="s">
        <v>226</v>
      </c>
    </row>
    <row r="9" spans="2:4" x14ac:dyDescent="0.35">
      <c r="B9" s="10" t="s">
        <v>227</v>
      </c>
      <c r="C9" s="13">
        <v>300</v>
      </c>
      <c r="D9" s="9" t="s">
        <v>228</v>
      </c>
    </row>
    <row r="10" spans="2:4" x14ac:dyDescent="0.35">
      <c r="B10" s="10" t="s">
        <v>229</v>
      </c>
      <c r="C10" s="13">
        <v>0</v>
      </c>
      <c r="D10" s="9" t="s">
        <v>230</v>
      </c>
    </row>
    <row r="11" spans="2:4" x14ac:dyDescent="0.35">
      <c r="B11" s="10" t="s">
        <v>231</v>
      </c>
      <c r="C11" s="14">
        <v>46331</v>
      </c>
      <c r="D11" s="9" t="s">
        <v>232</v>
      </c>
    </row>
    <row r="12" spans="2:4" x14ac:dyDescent="0.35">
      <c r="B12" s="10" t="s">
        <v>233</v>
      </c>
      <c r="C12" s="15" t="s">
        <v>234</v>
      </c>
      <c r="D12" s="9" t="s">
        <v>235</v>
      </c>
    </row>
    <row r="13" spans="2:4" x14ac:dyDescent="0.35">
      <c r="B13" s="10" t="s">
        <v>236</v>
      </c>
      <c r="C13" s="12">
        <v>2.8E-3</v>
      </c>
      <c r="D13" s="9" t="s">
        <v>237</v>
      </c>
    </row>
    <row r="14" spans="2:4" x14ac:dyDescent="0.35">
      <c r="B14" s="10" t="s">
        <v>238</v>
      </c>
      <c r="C14" s="11">
        <v>1200</v>
      </c>
      <c r="D14" s="9" t="s">
        <v>239</v>
      </c>
    </row>
    <row r="15" spans="2:4" x14ac:dyDescent="0.35">
      <c r="B15" s="10" t="s">
        <v>240</v>
      </c>
      <c r="C15" s="11">
        <v>2100</v>
      </c>
      <c r="D15" s="9" t="s">
        <v>241</v>
      </c>
    </row>
    <row r="16" spans="2:4" x14ac:dyDescent="0.35">
      <c r="B16" s="10" t="s">
        <v>242</v>
      </c>
      <c r="C16" s="11">
        <v>1500</v>
      </c>
      <c r="D16" s="9" t="s">
        <v>243</v>
      </c>
    </row>
    <row r="17" spans="2:4" x14ac:dyDescent="0.35">
      <c r="B17" s="10" t="s">
        <v>244</v>
      </c>
      <c r="C17" s="16" t="str">
        <f>IF(AND(ISNUMBER($C$7),$C$7&gt;0,ISNUMBER($C$8),$C$8&gt;=0,$C$8&lt;=Paramètres!$C$23,ISNUMBER($C$9),$C$9&gt;=1,$C$9&lt;=360,$C$9=INT(N($C$9)),OR($C$10="",AND(ISNUMBER($C$10),$C$10&gt;=0,$C$10&lt;$C$9,$C$10=INT(N($C$10)))),ISNUMBER($C$11),N($C$11)&gt;1,NOT(ISNA(MATCH($C$12,Paramètres!$B$36:$B$37,0))),ISNUMBER($C$13),$C$13&gt;=0,$C$13&lt;=Paramètres!$C$24,OR($C$14="",AND(ISNUMBER($C$14),$C$14&gt;=0)),OR($C$15="",AND(ISNUMBER($C$15),$C$15&gt;=0)),OR($C$16="",AND(ISNUMBER($C$16),$C$16&gt;=0,$C$16&lt;=N($C$15))),OR($C$41="",AND(ISNUMBER($C$41),$C$41&gt;0)),OR($C$47="",AND(ISNUMBER($C$47),$C$47&gt;=1,$C$47&lt;=N($C$9),$C$47=INT(N($C$47)))),COUNT(Paramètres!$C$8:$C$17)=10,COUNT(Paramètres!$C$21:$C$32)=12),"OK","À CORRIGER")</f>
        <v>OK</v>
      </c>
      <c r="D17" s="9" t="s">
        <v>245</v>
      </c>
    </row>
    <row r="18" spans="2:4" x14ac:dyDescent="0.35">
      <c r="B18" s="10" t="s">
        <v>246</v>
      </c>
      <c r="C18" s="16" t="str">
        <f>IF(AND(ISNUMBER($C$8),ISNUMBER(Paramètres!$C$22),OR($C$8=0,$C$8&gt;=Paramètres!$C$22)),"OK","À CORRIGER")</f>
        <v>OK</v>
      </c>
      <c r="D18" s="9" t="s">
        <v>247</v>
      </c>
    </row>
    <row r="20" spans="2:4" ht="18" customHeight="1" x14ac:dyDescent="0.35">
      <c r="B20" s="1" t="s">
        <v>248</v>
      </c>
      <c r="C20" s="1"/>
      <c r="D20" s="1"/>
    </row>
    <row r="21" spans="2:4" x14ac:dyDescent="0.35">
      <c r="B21" s="10" t="s">
        <v>249</v>
      </c>
      <c r="C21" s="17">
        <f>IF($C$17&lt;&gt;"OK","",$C$9/12)</f>
        <v>25</v>
      </c>
      <c r="D21" s="9" t="s">
        <v>250</v>
      </c>
    </row>
    <row r="22" spans="2:4" x14ac:dyDescent="0.35">
      <c r="B22" s="10" t="s">
        <v>251</v>
      </c>
      <c r="C22" s="18">
        <f>IF($C$17&lt;&gt;"OK","",ROUND(IF($C$8=0,$C$7/($C$9-N($C$10)),$C$7*($C$8/12)/(1-(1+$C$8/12)^(-($C$9-N($C$10))))),2))</f>
        <v>886.71</v>
      </c>
      <c r="D22" s="9" t="s">
        <v>252</v>
      </c>
    </row>
    <row r="23" spans="2:4" x14ac:dyDescent="0.35">
      <c r="B23" s="10" t="s">
        <v>253</v>
      </c>
      <c r="C23" s="18" t="str">
        <f>IF(OR($C$17&lt;&gt;"OK",N($C$10)=0),"",ROUND($C$7*$C$8/12,2)+$C$24)</f>
        <v/>
      </c>
      <c r="D23" s="9" t="s">
        <v>254</v>
      </c>
    </row>
    <row r="24" spans="2:4" x14ac:dyDescent="0.35">
      <c r="B24" s="10" t="s">
        <v>255</v>
      </c>
      <c r="C24" s="18">
        <f>IF($C$17&lt;&gt;"OK","",ROUND($C$7*$C$13/12,2))</f>
        <v>42</v>
      </c>
      <c r="D24" s="9" t="s">
        <v>256</v>
      </c>
    </row>
    <row r="25" spans="2:4" ht="21" customHeight="1" x14ac:dyDescent="0.35">
      <c r="B25" s="19" t="s">
        <v>122</v>
      </c>
      <c r="C25" s="20">
        <f>IF($C$17&lt;&gt;"OK","",$C$22+INDEX(Échéancier!$G$8:$G$367,N($C$10)+1))</f>
        <v>928.71</v>
      </c>
      <c r="D25" s="9" t="s">
        <v>257</v>
      </c>
    </row>
    <row r="26" spans="2:4" x14ac:dyDescent="0.35">
      <c r="B26" s="10" t="s">
        <v>258</v>
      </c>
      <c r="C26" s="21">
        <f>IF($C$17&lt;&gt;"OK","",Échéancier!$E$6)</f>
        <v>86011.540000000008</v>
      </c>
      <c r="D26" s="9" t="s">
        <v>259</v>
      </c>
    </row>
    <row r="27" spans="2:4" x14ac:dyDescent="0.35">
      <c r="B27" s="10" t="s">
        <v>260</v>
      </c>
      <c r="C27" s="21">
        <f>IF($C$17&lt;&gt;"OK","",Échéancier!$G$6)</f>
        <v>12600</v>
      </c>
      <c r="D27" s="9" t="s">
        <v>261</v>
      </c>
    </row>
    <row r="28" spans="2:4" ht="21" customHeight="1" x14ac:dyDescent="0.35">
      <c r="B28" s="19" t="s">
        <v>130</v>
      </c>
      <c r="C28" s="22">
        <f>IF($C$17&lt;&gt;"OK","",$C$26+$C$27+$C$14+$C$15)</f>
        <v>101911.54000000001</v>
      </c>
      <c r="D28" s="9" t="s">
        <v>262</v>
      </c>
    </row>
    <row r="29" spans="2:4" x14ac:dyDescent="0.35">
      <c r="B29" s="10" t="s">
        <v>263</v>
      </c>
      <c r="C29" s="23">
        <f>IF($C$17&lt;&gt;"OK","",$C$28/$C$7)</f>
        <v>0.56617522222222227</v>
      </c>
      <c r="D29" s="9" t="s">
        <v>264</v>
      </c>
    </row>
    <row r="30" spans="2:4" x14ac:dyDescent="0.35">
      <c r="B30" s="10" t="s">
        <v>265</v>
      </c>
      <c r="C30" s="21">
        <f>IF($C$17&lt;&gt;"OK","",$C$16*Paramètres!$C$21)</f>
        <v>1050</v>
      </c>
      <c r="D30" s="9" t="s">
        <v>266</v>
      </c>
    </row>
    <row r="31" spans="2:4" x14ac:dyDescent="0.35">
      <c r="B31" s="19" t="s">
        <v>267</v>
      </c>
      <c r="C31" s="24">
        <f>IF($C$17&lt;&gt;"OK","",$C$28-$C$30)</f>
        <v>100861.54000000001</v>
      </c>
      <c r="D31" s="9" t="s">
        <v>268</v>
      </c>
    </row>
    <row r="33" spans="2:4" ht="18" customHeight="1" x14ac:dyDescent="0.35">
      <c r="B33" s="1" t="s">
        <v>269</v>
      </c>
      <c r="C33" s="1"/>
      <c r="D33" s="1"/>
    </row>
    <row r="34" spans="2:4" ht="21" customHeight="1" x14ac:dyDescent="0.35">
      <c r="B34" s="19" t="s">
        <v>126</v>
      </c>
      <c r="C34" s="25">
        <f>IF($C$17&lt;&gt;"OK","",(1+IRR(Échéancier!$K$7:$K$367,$C$8/12))^12-1)</f>
        <v>4.0317932675461909E-2</v>
      </c>
      <c r="D34" s="9" t="s">
        <v>270</v>
      </c>
    </row>
    <row r="35" spans="2:4" x14ac:dyDescent="0.35">
      <c r="B35" s="10" t="s">
        <v>271</v>
      </c>
      <c r="C35" s="23">
        <f>IF($C$17&lt;&gt;"OK","",(1+IRR(Échéancier!$L$7:$L$367,$C$8/12))^12-1)</f>
        <v>3.5796191945109967E-2</v>
      </c>
      <c r="D35" s="9" t="s">
        <v>272</v>
      </c>
    </row>
    <row r="36" spans="2:4" x14ac:dyDescent="0.35">
      <c r="B36" s="10" t="s">
        <v>273</v>
      </c>
      <c r="C36" s="23">
        <f>IF($C$17&lt;&gt;"OK","",$C$34-$C$35)</f>
        <v>4.5217407303519419E-3</v>
      </c>
      <c r="D36" s="9" t="s">
        <v>274</v>
      </c>
    </row>
    <row r="37" spans="2:4" x14ac:dyDescent="0.35">
      <c r="B37" s="10" t="s">
        <v>275</v>
      </c>
      <c r="C37" s="23">
        <f>IF($C$17&lt;&gt;"OK","",IF($C$9&lt;Paramètres!$C$11,Paramètres!$C$8,IF($C$9&lt;Paramètres!$C$12,Paramètres!$C$9,Paramètres!$C$10)))</f>
        <v>5.2900000000000003E-2</v>
      </c>
      <c r="D37" s="9" t="s">
        <v>276</v>
      </c>
    </row>
    <row r="38" spans="2:4" x14ac:dyDescent="0.35">
      <c r="B38" s="10" t="s">
        <v>277</v>
      </c>
      <c r="C38" s="16" t="str">
        <f>IF($C$17="OK",IF($C$34&lt;=$C$37,"OK","DÉPASSÉ"),"")</f>
        <v>OK</v>
      </c>
      <c r="D38" s="9" t="s">
        <v>278</v>
      </c>
    </row>
    <row r="40" spans="2:4" ht="18" customHeight="1" x14ac:dyDescent="0.35">
      <c r="B40" s="1" t="s">
        <v>279</v>
      </c>
      <c r="C40" s="1"/>
      <c r="D40" s="1"/>
    </row>
    <row r="41" spans="2:4" x14ac:dyDescent="0.35">
      <c r="B41" s="10" t="s">
        <v>280</v>
      </c>
      <c r="C41" s="11">
        <v>3400</v>
      </c>
      <c r="D41" s="9" t="s">
        <v>281</v>
      </c>
    </row>
    <row r="42" spans="2:4" x14ac:dyDescent="0.35">
      <c r="B42" s="10" t="s">
        <v>282</v>
      </c>
      <c r="C42" s="23">
        <f>IF(OR($C$17&lt;&gt;"OK",$C$41=""),"",$C$25/$C$41)</f>
        <v>0.27315</v>
      </c>
      <c r="D42" s="9" t="s">
        <v>283</v>
      </c>
    </row>
    <row r="43" spans="2:4" x14ac:dyDescent="0.35">
      <c r="B43" s="10" t="s">
        <v>284</v>
      </c>
      <c r="C43" s="16" t="str">
        <f>IF($C$42&lt;&gt;"",IF($C$42&lt;=Paramètres!$C$13,"OK","HORS NORME"),"sans objet")</f>
        <v>OK</v>
      </c>
      <c r="D43" s="9" t="s">
        <v>285</v>
      </c>
    </row>
    <row r="44" spans="2:4" x14ac:dyDescent="0.35">
      <c r="B44" s="10" t="s">
        <v>286</v>
      </c>
      <c r="C44" s="16" t="str">
        <f>IF($C$17="OK",IF($C$9&lt;=Paramètres!$C$14+MIN(N($C$10),Paramètres!$C$15),"OK","HORS NORME"),"")</f>
        <v>OK</v>
      </c>
      <c r="D44" s="9" t="s">
        <v>287</v>
      </c>
    </row>
    <row r="46" spans="2:4" ht="18" customHeight="1" x14ac:dyDescent="0.35">
      <c r="B46" s="1" t="s">
        <v>288</v>
      </c>
      <c r="C46" s="1"/>
      <c r="D46" s="1"/>
    </row>
    <row r="47" spans="2:4" x14ac:dyDescent="0.35">
      <c r="B47" s="10" t="s">
        <v>289</v>
      </c>
      <c r="C47" s="13">
        <v>84</v>
      </c>
      <c r="D47" s="9" t="s">
        <v>290</v>
      </c>
    </row>
    <row r="48" spans="2:4" x14ac:dyDescent="0.35">
      <c r="B48" s="10" t="s">
        <v>291</v>
      </c>
      <c r="C48" s="18">
        <f>IF(OR($C$17&lt;&gt;"OK",$C$47=""),"",INDEX(Échéancier!$J$8:$J$367,$C$47))</f>
        <v>143685.14000000001</v>
      </c>
      <c r="D48" s="9" t="s">
        <v>292</v>
      </c>
    </row>
    <row r="49" spans="2:4" x14ac:dyDescent="0.35">
      <c r="B49" s="10" t="s">
        <v>293</v>
      </c>
      <c r="C49" s="18">
        <f>IF($C$48="","",MIN($C$48*$C$8*Paramètres!$C$16/12,$C$48*Paramètres!$C$17))</f>
        <v>2406.7260950000004</v>
      </c>
      <c r="D49" s="9" t="s">
        <v>294</v>
      </c>
    </row>
    <row r="50" spans="2:4" x14ac:dyDescent="0.35">
      <c r="B50" s="19" t="s">
        <v>295</v>
      </c>
      <c r="C50" s="26">
        <f>IF($C$48="","",$C$48+$C$49)</f>
        <v>146091.866095</v>
      </c>
      <c r="D50" s="9" t="s">
        <v>296</v>
      </c>
    </row>
    <row r="52" spans="2:4" ht="36" customHeight="1" x14ac:dyDescent="0.35">
      <c r="B52" s="43" t="s">
        <v>219</v>
      </c>
      <c r="C52" s="39"/>
      <c r="D52" s="39"/>
    </row>
  </sheetData>
  <sheetProtection sheet="1" formatColumns="0" formatRows="0"/>
  <mergeCells count="1">
    <mergeCell ref="B52:D52"/>
  </mergeCells>
  <conditionalFormatting sqref="C17:C18">
    <cfRule type="cellIs" dxfId="14" priority="1" operator="equal">
      <formula>"OK"</formula>
    </cfRule>
    <cfRule type="cellIs" dxfId="13" priority="2" operator="equal">
      <formula>"À CORRIGER"</formula>
    </cfRule>
  </conditionalFormatting>
  <conditionalFormatting sqref="C38">
    <cfRule type="cellIs" dxfId="12" priority="5" operator="equal">
      <formula>"OK"</formula>
    </cfRule>
    <cfRule type="cellIs" dxfId="11" priority="6" operator="equal">
      <formula>"DÉPASSÉ"</formula>
    </cfRule>
  </conditionalFormatting>
  <conditionalFormatting sqref="C43:C44">
    <cfRule type="cellIs" dxfId="10" priority="7" operator="equal">
      <formula>"OK"</formula>
    </cfRule>
    <cfRule type="cellIs" dxfId="9" priority="8" operator="equal">
      <formula>"HORS NORME"</formula>
    </cfRule>
  </conditionalFormatting>
  <dataValidations count="8">
    <dataValidation type="decimal" operator="greaterThanOrEqual" allowBlank="1" showErrorMessage="1" errorTitle="Saisie" error="Montant emprunté : un nombre positif." sqref="C7" xr:uid="{00000000-0002-0000-0100-000001000000}">
      <formula1>0</formula1>
    </dataValidation>
    <dataValidation type="whole" allowBlank="1" showErrorMessage="1" errorTitle="Saisie" error="Durée en mois entiers, de 1 à 360 (30 ans)." sqref="C9" xr:uid="{00000000-0002-0000-0100-000003000000}">
      <formula1>1</formula1>
      <formula2>360</formula2>
    </dataValidation>
    <dataValidation type="whole" allowBlank="1" showErrorMessage="1" errorTitle="Saisie" error="Différé en mois entiers, inférieur à la durée." sqref="C10" xr:uid="{00000000-0002-0000-0100-000004000000}">
      <formula1>0</formula1>
      <formula2>$C$9-1</formula2>
    </dataValidation>
    <dataValidation type="decimal" operator="greaterThanOrEqual" allowBlank="1" showErrorMessage="1" errorTitle="Saisie" error="Valeur hors des bornes admises." sqref="C14:C15" xr:uid="{00000000-0002-0000-0100-000006000000}">
      <formula1>0</formula1>
    </dataValidation>
    <dataValidation type="decimal" allowBlank="1" showErrorMessage="1" errorTitle="Saisie" error="Au plus les frais de garantie saisis au-dessus." sqref="C16" xr:uid="{00000000-0002-0000-0100-000008000000}">
      <formula1>0</formula1>
      <formula2>$C$15</formula2>
    </dataValidation>
    <dataValidation type="decimal" operator="greaterThanOrEqual" allowBlank="1" showErrorMessage="1" errorTitle="Saisie" error="Revenus nets mensuels : un nombre positif, ou la cellule vide." sqref="C41" xr:uid="{00000000-0002-0000-0100-000009000000}">
      <formula1>1</formula1>
    </dataValidation>
    <dataValidation type="whole" allowBlank="1" showErrorMessage="1" errorTitle="Saisie" error="Numéro d'échéance entre 1 et la durée du prêt." sqref="C47" xr:uid="{00000000-0002-0000-0100-00000A000000}">
      <formula1>1</formula1>
      <formula2>$C$9</formula2>
    </dataValidation>
    <dataValidation type="date" operator="greaterThan" allowBlank="1" showErrorMessage="1" errorTitle="Saisie" error="Une vraie date, au format jj/mm/aaaa." sqref="C11" xr:uid="{00000000-0002-0000-0100-00000B000000}">
      <formula1>1</formula1>
    </dataValidation>
  </dataValidations>
  <pageMargins left="0.75" right="0.75" top="1" bottom="1" header="0.5" footer="0.5"/>
  <pageSetup orientation="landscape"/>
  <extLst>
    <ext xmlns:x14="http://schemas.microsoft.com/office/spreadsheetml/2009/9/main" uri="{CCE6A557-97BC-4b89-ADB6-D9C93CAAB3DF}">
      <x14:dataValidations xmlns:xm="http://schemas.microsoft.com/office/excel/2006/main" count="3">
        <x14:dataValidation type="list" allowBlank="1" showErrorMessage="1" errorTitle="Choisir dans la liste" error="Choisissez l'assiette dans la liste (onglet Paramètres)." xr:uid="{00000000-0002-0000-0100-000000000000}">
          <x14:formula1>
            <xm:f>Paramètres!$B$36:$B$37</xm:f>
          </x14:formula1>
          <xm:sqref>C12</xm:sqref>
        </x14:dataValidation>
        <x14:dataValidation type="decimal" allowBlank="1" showErrorMessage="1" errorTitle="Saisie" error="Taux nominal entre 0 % et le plafond de saisie de Paramètres (20 %). Tapez 3,35 pour 3,35 %." xr:uid="{00000000-0002-0000-0100-000002000000}">
          <x14:formula1>
            <xm:f>0</xm:f>
          </x14:formula1>
          <x14:formula2>
            <xm:f>Paramètres!$C$23</xm:f>
          </x14:formula2>
          <xm:sqref>C8</xm:sqref>
        </x14:dataValidation>
        <x14:dataValidation type="decimal" allowBlank="1" showErrorMessage="1" errorTitle="Saisie" error="Taux d'assurance entre 0 % et le plafond de saisie de Paramètres (5 %). Tapez 0,28 pour 0,28 %." xr:uid="{00000000-0002-0000-0100-000005000000}">
          <x14:formula1>
            <xm:f>0</xm:f>
          </x14:formula1>
          <x14:formula2>
            <xm:f>Paramètres!$C$24</xm:f>
          </x14:formula2>
          <xm:sqref>C13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350C8"/>
  </sheetPr>
  <dimension ref="B1:L369"/>
  <sheetViews>
    <sheetView showGridLines="0" workbookViewId="0">
      <pane xSplit="3" ySplit="7" topLeftCell="D8"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7" customWidth="1"/>
    <col min="3" max="3" width="12" customWidth="1"/>
    <col min="4" max="4" width="16" customWidth="1"/>
    <col min="5" max="6" width="13" customWidth="1"/>
    <col min="7" max="7" width="12" customWidth="1"/>
    <col min="8" max="8" width="14" customWidth="1"/>
    <col min="9" max="10" width="17" customWidth="1"/>
    <col min="11" max="11" width="14" customWidth="1"/>
    <col min="12" max="12" width="15" customWidth="1"/>
  </cols>
  <sheetData>
    <row r="1" spans="2:12" ht="20" customHeight="1" x14ac:dyDescent="0.35">
      <c r="B1" s="1" t="s">
        <v>0</v>
      </c>
      <c r="C1" s="1"/>
      <c r="D1" s="1"/>
      <c r="E1" s="1"/>
      <c r="F1" s="1"/>
      <c r="G1" s="1"/>
      <c r="H1" s="1"/>
      <c r="I1" s="1"/>
      <c r="J1" s="1"/>
      <c r="K1" s="1"/>
      <c r="L1" s="1"/>
    </row>
    <row r="2" spans="2:12" ht="26" customHeight="1" x14ac:dyDescent="0.35">
      <c r="B2" s="2" t="s">
        <v>297</v>
      </c>
    </row>
    <row r="3" spans="2:12" x14ac:dyDescent="0.35">
      <c r="B3" s="3" t="s">
        <v>298</v>
      </c>
    </row>
    <row r="4" spans="2:12" x14ac:dyDescent="0.35">
      <c r="C4" s="27" t="s">
        <v>299</v>
      </c>
      <c r="E4" s="16" t="str">
        <f>IF('Mon prêt'!$C$17="OK","OK","À CORRIGER")</f>
        <v>OK</v>
      </c>
      <c r="F4" s="9" t="s">
        <v>300</v>
      </c>
    </row>
    <row r="5" spans="2:12" ht="30" customHeight="1" x14ac:dyDescent="0.35">
      <c r="B5" s="28" t="s">
        <v>301</v>
      </c>
      <c r="C5" s="28" t="s">
        <v>302</v>
      </c>
      <c r="D5" s="28" t="s">
        <v>303</v>
      </c>
      <c r="E5" s="28" t="s">
        <v>304</v>
      </c>
      <c r="F5" s="28" t="s">
        <v>305</v>
      </c>
      <c r="G5" s="28" t="s">
        <v>306</v>
      </c>
      <c r="H5" s="28" t="s">
        <v>307</v>
      </c>
      <c r="I5" s="28" t="s">
        <v>308</v>
      </c>
      <c r="J5" s="28" t="s">
        <v>309</v>
      </c>
      <c r="K5" s="28" t="s">
        <v>310</v>
      </c>
      <c r="L5" s="28" t="s">
        <v>311</v>
      </c>
    </row>
    <row r="6" spans="2:12" x14ac:dyDescent="0.35">
      <c r="B6" s="19" t="s">
        <v>312</v>
      </c>
      <c r="D6" s="26">
        <f>IF($B$7="","",SUM(D8:D367))</f>
        <v>266011.53999999928</v>
      </c>
      <c r="E6" s="26">
        <f>IF($B$7="","",SUM(E8:E367))</f>
        <v>86011.540000000008</v>
      </c>
      <c r="F6" s="26">
        <f>IF($B$7="","",SUM(F8:F367))</f>
        <v>180000.00000000003</v>
      </c>
      <c r="G6" s="26">
        <f>IF($B$7="","",SUM(G8:G367))</f>
        <v>12600</v>
      </c>
      <c r="H6" s="26">
        <f>IF($B$7="","",SUM(H8:H367))</f>
        <v>278611.53999999957</v>
      </c>
      <c r="J6" s="9" t="s">
        <v>313</v>
      </c>
    </row>
    <row r="7" spans="2:12" x14ac:dyDescent="0.35">
      <c r="B7" s="29">
        <f>IF('Mon prêt'!$C$17&lt;&gt;"OK","",0)</f>
        <v>0</v>
      </c>
      <c r="C7" s="30">
        <f>IF($B$7="","",EDATE('Mon prêt'!$C$11,-1))</f>
        <v>46300</v>
      </c>
      <c r="D7" s="18"/>
      <c r="E7" s="18"/>
      <c r="F7" s="18"/>
      <c r="G7" s="18"/>
      <c r="H7" s="18"/>
      <c r="I7" s="18">
        <f>IF($B$7="","",0)</f>
        <v>0</v>
      </c>
      <c r="J7" s="18">
        <f>IF($B$7="","",'Mon prêt'!$C$7)</f>
        <v>180000</v>
      </c>
      <c r="K7" s="18">
        <f>IF($B$7="","",-('Mon prêt'!$C$7-'Mon prêt'!$C$14-'Mon prêt'!$C$15))</f>
        <v>-176700</v>
      </c>
      <c r="L7" s="18">
        <f>IF($B$7="","",-('Mon prêt'!$C$7-'Mon prêt'!$C$14-'Mon prêt'!$C$15))</f>
        <v>-176700</v>
      </c>
    </row>
    <row r="8" spans="2:12" x14ac:dyDescent="0.35">
      <c r="B8" s="29">
        <f>IF(B7="","",IF(B7+1&gt;'Mon prêt'!$C$9,"",B7+1))</f>
        <v>1</v>
      </c>
      <c r="C8" s="30">
        <f>IF($B8="","",EDATE('Mon prêt'!$C$11,B8-1))</f>
        <v>46331</v>
      </c>
      <c r="D8" s="18">
        <f>IF($B8="","",IF(B8='Mon prêt'!$C$9,J7+E8,IF(B8&lt;='Mon prêt'!$C$10,E8,'Mon prêt'!$C$22)))</f>
        <v>886.71</v>
      </c>
      <c r="E8" s="18">
        <f>IF($B8="","",ROUND(J7*'Mon prêt'!$C$8/12,2))</f>
        <v>502.5</v>
      </c>
      <c r="F8" s="18">
        <f t="shared" ref="F8:F71" si="0">IF($B8="","",D8-E8)</f>
        <v>384.21000000000004</v>
      </c>
      <c r="G8" s="18">
        <f>IF($B8="","",ROUND(IF('Mon prêt'!$C$12=Paramètres!$B$36,'Mon prêt'!$C$7,J7)*'Mon prêt'!$C$13/12,2))</f>
        <v>42</v>
      </c>
      <c r="H8" s="18">
        <f t="shared" ref="H8:H71" si="1">IF($B8="","",D8+G8)</f>
        <v>928.71</v>
      </c>
      <c r="I8" s="18">
        <f t="shared" ref="I8:I71" si="2">IF($B8="","",I7+F8)</f>
        <v>384.21000000000004</v>
      </c>
      <c r="J8" s="31">
        <f t="shared" ref="J8:J71" si="3">IF($B8="","",ROUND(J7-F8,2))</f>
        <v>179615.79</v>
      </c>
      <c r="K8" s="18">
        <f t="shared" ref="K8:K71" si="4">IF($B8="","",H8)</f>
        <v>928.71</v>
      </c>
      <c r="L8" s="18">
        <f t="shared" ref="L8:L71" si="5">IF($B8="","",D8)</f>
        <v>886.71</v>
      </c>
    </row>
    <row r="9" spans="2:12" x14ac:dyDescent="0.35">
      <c r="B9" s="29">
        <f>IF(B8="","",IF(B8+1&gt;'Mon prêt'!$C$9,"",B8+1))</f>
        <v>2</v>
      </c>
      <c r="C9" s="30">
        <f>IF($B9="","",EDATE('Mon prêt'!$C$11,B9-1))</f>
        <v>46361</v>
      </c>
      <c r="D9" s="18">
        <f>IF($B9="","",IF(B9='Mon prêt'!$C$9,J8+E9,IF(B9&lt;='Mon prêt'!$C$10,E9,'Mon prêt'!$C$22)))</f>
        <v>886.71</v>
      </c>
      <c r="E9" s="18">
        <f>IF($B9="","",ROUND(J8*'Mon prêt'!$C$8/12,2))</f>
        <v>501.43</v>
      </c>
      <c r="F9" s="18">
        <f t="shared" si="0"/>
        <v>385.28000000000003</v>
      </c>
      <c r="G9" s="18">
        <f>IF($B9="","",ROUND(IF('Mon prêt'!$C$12=Paramètres!$B$36,'Mon prêt'!$C$7,J8)*'Mon prêt'!$C$13/12,2))</f>
        <v>42</v>
      </c>
      <c r="H9" s="18">
        <f t="shared" si="1"/>
        <v>928.71</v>
      </c>
      <c r="I9" s="18">
        <f t="shared" si="2"/>
        <v>769.49</v>
      </c>
      <c r="J9" s="31">
        <f t="shared" si="3"/>
        <v>179230.51</v>
      </c>
      <c r="K9" s="18">
        <f t="shared" si="4"/>
        <v>928.71</v>
      </c>
      <c r="L9" s="18">
        <f t="shared" si="5"/>
        <v>886.71</v>
      </c>
    </row>
    <row r="10" spans="2:12" x14ac:dyDescent="0.35">
      <c r="B10" s="29">
        <f>IF(B9="","",IF(B9+1&gt;'Mon prêt'!$C$9,"",B9+1))</f>
        <v>3</v>
      </c>
      <c r="C10" s="30">
        <f>IF($B10="","",EDATE('Mon prêt'!$C$11,B10-1))</f>
        <v>46392</v>
      </c>
      <c r="D10" s="18">
        <f>IF($B10="","",IF(B10='Mon prêt'!$C$9,J9+E10,IF(B10&lt;='Mon prêt'!$C$10,E10,'Mon prêt'!$C$22)))</f>
        <v>886.71</v>
      </c>
      <c r="E10" s="18">
        <f>IF($B10="","",ROUND(J9*'Mon prêt'!$C$8/12,2))</f>
        <v>500.35</v>
      </c>
      <c r="F10" s="18">
        <f t="shared" si="0"/>
        <v>386.36</v>
      </c>
      <c r="G10" s="18">
        <f>IF($B10="","",ROUND(IF('Mon prêt'!$C$12=Paramètres!$B$36,'Mon prêt'!$C$7,J9)*'Mon prêt'!$C$13/12,2))</f>
        <v>42</v>
      </c>
      <c r="H10" s="18">
        <f t="shared" si="1"/>
        <v>928.71</v>
      </c>
      <c r="I10" s="18">
        <f t="shared" si="2"/>
        <v>1155.8499999999999</v>
      </c>
      <c r="J10" s="31">
        <f t="shared" si="3"/>
        <v>178844.15</v>
      </c>
      <c r="K10" s="18">
        <f t="shared" si="4"/>
        <v>928.71</v>
      </c>
      <c r="L10" s="18">
        <f t="shared" si="5"/>
        <v>886.71</v>
      </c>
    </row>
    <row r="11" spans="2:12" x14ac:dyDescent="0.35">
      <c r="B11" s="29">
        <f>IF(B10="","",IF(B10+1&gt;'Mon prêt'!$C$9,"",B10+1))</f>
        <v>4</v>
      </c>
      <c r="C11" s="30">
        <f>IF($B11="","",EDATE('Mon prêt'!$C$11,B11-1))</f>
        <v>46423</v>
      </c>
      <c r="D11" s="18">
        <f>IF($B11="","",IF(B11='Mon prêt'!$C$9,J10+E11,IF(B11&lt;='Mon prêt'!$C$10,E11,'Mon prêt'!$C$22)))</f>
        <v>886.71</v>
      </c>
      <c r="E11" s="18">
        <f>IF($B11="","",ROUND(J10*'Mon prêt'!$C$8/12,2))</f>
        <v>499.27</v>
      </c>
      <c r="F11" s="18">
        <f t="shared" si="0"/>
        <v>387.44000000000005</v>
      </c>
      <c r="G11" s="18">
        <f>IF($B11="","",ROUND(IF('Mon prêt'!$C$12=Paramètres!$B$36,'Mon prêt'!$C$7,J10)*'Mon prêt'!$C$13/12,2))</f>
        <v>42</v>
      </c>
      <c r="H11" s="18">
        <f t="shared" si="1"/>
        <v>928.71</v>
      </c>
      <c r="I11" s="18">
        <f t="shared" si="2"/>
        <v>1543.29</v>
      </c>
      <c r="J11" s="31">
        <f t="shared" si="3"/>
        <v>178456.71</v>
      </c>
      <c r="K11" s="18">
        <f t="shared" si="4"/>
        <v>928.71</v>
      </c>
      <c r="L11" s="18">
        <f t="shared" si="5"/>
        <v>886.71</v>
      </c>
    </row>
    <row r="12" spans="2:12" x14ac:dyDescent="0.35">
      <c r="B12" s="29">
        <f>IF(B11="","",IF(B11+1&gt;'Mon prêt'!$C$9,"",B11+1))</f>
        <v>5</v>
      </c>
      <c r="C12" s="30">
        <f>IF($B12="","",EDATE('Mon prêt'!$C$11,B12-1))</f>
        <v>46451</v>
      </c>
      <c r="D12" s="18">
        <f>IF($B12="","",IF(B12='Mon prêt'!$C$9,J11+E12,IF(B12&lt;='Mon prêt'!$C$10,E12,'Mon prêt'!$C$22)))</f>
        <v>886.71</v>
      </c>
      <c r="E12" s="18">
        <f>IF($B12="","",ROUND(J11*'Mon prêt'!$C$8/12,2))</f>
        <v>498.19</v>
      </c>
      <c r="F12" s="18">
        <f t="shared" si="0"/>
        <v>388.52000000000004</v>
      </c>
      <c r="G12" s="18">
        <f>IF($B12="","",ROUND(IF('Mon prêt'!$C$12=Paramètres!$B$36,'Mon prêt'!$C$7,J11)*'Mon prêt'!$C$13/12,2))</f>
        <v>42</v>
      </c>
      <c r="H12" s="18">
        <f t="shared" si="1"/>
        <v>928.71</v>
      </c>
      <c r="I12" s="18">
        <f t="shared" si="2"/>
        <v>1931.81</v>
      </c>
      <c r="J12" s="31">
        <f t="shared" si="3"/>
        <v>178068.19</v>
      </c>
      <c r="K12" s="18">
        <f t="shared" si="4"/>
        <v>928.71</v>
      </c>
      <c r="L12" s="18">
        <f t="shared" si="5"/>
        <v>886.71</v>
      </c>
    </row>
    <row r="13" spans="2:12" x14ac:dyDescent="0.35">
      <c r="B13" s="29">
        <f>IF(B12="","",IF(B12+1&gt;'Mon prêt'!$C$9,"",B12+1))</f>
        <v>6</v>
      </c>
      <c r="C13" s="30">
        <f>IF($B13="","",EDATE('Mon prêt'!$C$11,B13-1))</f>
        <v>46482</v>
      </c>
      <c r="D13" s="18">
        <f>IF($B13="","",IF(B13='Mon prêt'!$C$9,J12+E13,IF(B13&lt;='Mon prêt'!$C$10,E13,'Mon prêt'!$C$22)))</f>
        <v>886.71</v>
      </c>
      <c r="E13" s="18">
        <f>IF($B13="","",ROUND(J12*'Mon prêt'!$C$8/12,2))</f>
        <v>497.11</v>
      </c>
      <c r="F13" s="18">
        <f t="shared" si="0"/>
        <v>389.6</v>
      </c>
      <c r="G13" s="18">
        <f>IF($B13="","",ROUND(IF('Mon prêt'!$C$12=Paramètres!$B$36,'Mon prêt'!$C$7,J12)*'Mon prêt'!$C$13/12,2))</f>
        <v>42</v>
      </c>
      <c r="H13" s="18">
        <f t="shared" si="1"/>
        <v>928.71</v>
      </c>
      <c r="I13" s="18">
        <f t="shared" si="2"/>
        <v>2321.41</v>
      </c>
      <c r="J13" s="31">
        <f t="shared" si="3"/>
        <v>177678.59</v>
      </c>
      <c r="K13" s="18">
        <f t="shared" si="4"/>
        <v>928.71</v>
      </c>
      <c r="L13" s="18">
        <f t="shared" si="5"/>
        <v>886.71</v>
      </c>
    </row>
    <row r="14" spans="2:12" x14ac:dyDescent="0.35">
      <c r="B14" s="29">
        <f>IF(B13="","",IF(B13+1&gt;'Mon prêt'!$C$9,"",B13+1))</f>
        <v>7</v>
      </c>
      <c r="C14" s="30">
        <f>IF($B14="","",EDATE('Mon prêt'!$C$11,B14-1))</f>
        <v>46512</v>
      </c>
      <c r="D14" s="18">
        <f>IF($B14="","",IF(B14='Mon prêt'!$C$9,J13+E14,IF(B14&lt;='Mon prêt'!$C$10,E14,'Mon prêt'!$C$22)))</f>
        <v>886.71</v>
      </c>
      <c r="E14" s="18">
        <f>IF($B14="","",ROUND(J13*'Mon prêt'!$C$8/12,2))</f>
        <v>496.02</v>
      </c>
      <c r="F14" s="18">
        <f t="shared" si="0"/>
        <v>390.69000000000005</v>
      </c>
      <c r="G14" s="18">
        <f>IF($B14="","",ROUND(IF('Mon prêt'!$C$12=Paramètres!$B$36,'Mon prêt'!$C$7,J13)*'Mon prêt'!$C$13/12,2))</f>
        <v>42</v>
      </c>
      <c r="H14" s="18">
        <f t="shared" si="1"/>
        <v>928.71</v>
      </c>
      <c r="I14" s="18">
        <f t="shared" si="2"/>
        <v>2712.1</v>
      </c>
      <c r="J14" s="31">
        <f t="shared" si="3"/>
        <v>177287.9</v>
      </c>
      <c r="K14" s="18">
        <f t="shared" si="4"/>
        <v>928.71</v>
      </c>
      <c r="L14" s="18">
        <f t="shared" si="5"/>
        <v>886.71</v>
      </c>
    </row>
    <row r="15" spans="2:12" x14ac:dyDescent="0.35">
      <c r="B15" s="29">
        <f>IF(B14="","",IF(B14+1&gt;'Mon prêt'!$C$9,"",B14+1))</f>
        <v>8</v>
      </c>
      <c r="C15" s="30">
        <f>IF($B15="","",EDATE('Mon prêt'!$C$11,B15-1))</f>
        <v>46543</v>
      </c>
      <c r="D15" s="18">
        <f>IF($B15="","",IF(B15='Mon prêt'!$C$9,J14+E15,IF(B15&lt;='Mon prêt'!$C$10,E15,'Mon prêt'!$C$22)))</f>
        <v>886.71</v>
      </c>
      <c r="E15" s="18">
        <f>IF($B15="","",ROUND(J14*'Mon prêt'!$C$8/12,2))</f>
        <v>494.93</v>
      </c>
      <c r="F15" s="18">
        <f t="shared" si="0"/>
        <v>391.78000000000003</v>
      </c>
      <c r="G15" s="18">
        <f>IF($B15="","",ROUND(IF('Mon prêt'!$C$12=Paramètres!$B$36,'Mon prêt'!$C$7,J14)*'Mon prêt'!$C$13/12,2))</f>
        <v>42</v>
      </c>
      <c r="H15" s="18">
        <f t="shared" si="1"/>
        <v>928.71</v>
      </c>
      <c r="I15" s="18">
        <f t="shared" si="2"/>
        <v>3103.88</v>
      </c>
      <c r="J15" s="31">
        <f t="shared" si="3"/>
        <v>176896.12</v>
      </c>
      <c r="K15" s="18">
        <f t="shared" si="4"/>
        <v>928.71</v>
      </c>
      <c r="L15" s="18">
        <f t="shared" si="5"/>
        <v>886.71</v>
      </c>
    </row>
    <row r="16" spans="2:12" x14ac:dyDescent="0.35">
      <c r="B16" s="29">
        <f>IF(B15="","",IF(B15+1&gt;'Mon prêt'!$C$9,"",B15+1))</f>
        <v>9</v>
      </c>
      <c r="C16" s="30">
        <f>IF($B16="","",EDATE('Mon prêt'!$C$11,B16-1))</f>
        <v>46573</v>
      </c>
      <c r="D16" s="18">
        <f>IF($B16="","",IF(B16='Mon prêt'!$C$9,J15+E16,IF(B16&lt;='Mon prêt'!$C$10,E16,'Mon prêt'!$C$22)))</f>
        <v>886.71</v>
      </c>
      <c r="E16" s="18">
        <f>IF($B16="","",ROUND(J15*'Mon prêt'!$C$8/12,2))</f>
        <v>493.84</v>
      </c>
      <c r="F16" s="18">
        <f t="shared" si="0"/>
        <v>392.87000000000006</v>
      </c>
      <c r="G16" s="18">
        <f>IF($B16="","",ROUND(IF('Mon prêt'!$C$12=Paramètres!$B$36,'Mon prêt'!$C$7,J15)*'Mon prêt'!$C$13/12,2))</f>
        <v>42</v>
      </c>
      <c r="H16" s="18">
        <f t="shared" si="1"/>
        <v>928.71</v>
      </c>
      <c r="I16" s="18">
        <f t="shared" si="2"/>
        <v>3496.75</v>
      </c>
      <c r="J16" s="31">
        <f t="shared" si="3"/>
        <v>176503.25</v>
      </c>
      <c r="K16" s="18">
        <f t="shared" si="4"/>
        <v>928.71</v>
      </c>
      <c r="L16" s="18">
        <f t="shared" si="5"/>
        <v>886.71</v>
      </c>
    </row>
    <row r="17" spans="2:12" x14ac:dyDescent="0.35">
      <c r="B17" s="29">
        <f>IF(B16="","",IF(B16+1&gt;'Mon prêt'!$C$9,"",B16+1))</f>
        <v>10</v>
      </c>
      <c r="C17" s="30">
        <f>IF($B17="","",EDATE('Mon prêt'!$C$11,B17-1))</f>
        <v>46604</v>
      </c>
      <c r="D17" s="18">
        <f>IF($B17="","",IF(B17='Mon prêt'!$C$9,J16+E17,IF(B17&lt;='Mon prêt'!$C$10,E17,'Mon prêt'!$C$22)))</f>
        <v>886.71</v>
      </c>
      <c r="E17" s="18">
        <f>IF($B17="","",ROUND(J16*'Mon prêt'!$C$8/12,2))</f>
        <v>492.74</v>
      </c>
      <c r="F17" s="18">
        <f t="shared" si="0"/>
        <v>393.97</v>
      </c>
      <c r="G17" s="18">
        <f>IF($B17="","",ROUND(IF('Mon prêt'!$C$12=Paramètres!$B$36,'Mon prêt'!$C$7,J16)*'Mon prêt'!$C$13/12,2))</f>
        <v>42</v>
      </c>
      <c r="H17" s="18">
        <f t="shared" si="1"/>
        <v>928.71</v>
      </c>
      <c r="I17" s="18">
        <f t="shared" si="2"/>
        <v>3890.7200000000003</v>
      </c>
      <c r="J17" s="31">
        <f t="shared" si="3"/>
        <v>176109.28</v>
      </c>
      <c r="K17" s="18">
        <f t="shared" si="4"/>
        <v>928.71</v>
      </c>
      <c r="L17" s="18">
        <f t="shared" si="5"/>
        <v>886.71</v>
      </c>
    </row>
    <row r="18" spans="2:12" x14ac:dyDescent="0.35">
      <c r="B18" s="29">
        <f>IF(B17="","",IF(B17+1&gt;'Mon prêt'!$C$9,"",B17+1))</f>
        <v>11</v>
      </c>
      <c r="C18" s="30">
        <f>IF($B18="","",EDATE('Mon prêt'!$C$11,B18-1))</f>
        <v>46635</v>
      </c>
      <c r="D18" s="18">
        <f>IF($B18="","",IF(B18='Mon prêt'!$C$9,J17+E18,IF(B18&lt;='Mon prêt'!$C$10,E18,'Mon prêt'!$C$22)))</f>
        <v>886.71</v>
      </c>
      <c r="E18" s="18">
        <f>IF($B18="","",ROUND(J17*'Mon prêt'!$C$8/12,2))</f>
        <v>491.64</v>
      </c>
      <c r="F18" s="18">
        <f t="shared" si="0"/>
        <v>395.07000000000005</v>
      </c>
      <c r="G18" s="18">
        <f>IF($B18="","",ROUND(IF('Mon prêt'!$C$12=Paramètres!$B$36,'Mon prêt'!$C$7,J17)*'Mon prêt'!$C$13/12,2))</f>
        <v>42</v>
      </c>
      <c r="H18" s="18">
        <f t="shared" si="1"/>
        <v>928.71</v>
      </c>
      <c r="I18" s="18">
        <f t="shared" si="2"/>
        <v>4285.79</v>
      </c>
      <c r="J18" s="31">
        <f t="shared" si="3"/>
        <v>175714.21</v>
      </c>
      <c r="K18" s="18">
        <f t="shared" si="4"/>
        <v>928.71</v>
      </c>
      <c r="L18" s="18">
        <f t="shared" si="5"/>
        <v>886.71</v>
      </c>
    </row>
    <row r="19" spans="2:12" x14ac:dyDescent="0.35">
      <c r="B19" s="29">
        <f>IF(B18="","",IF(B18+1&gt;'Mon prêt'!$C$9,"",B18+1))</f>
        <v>12</v>
      </c>
      <c r="C19" s="30">
        <f>IF($B19="","",EDATE('Mon prêt'!$C$11,B19-1))</f>
        <v>46665</v>
      </c>
      <c r="D19" s="18">
        <f>IF($B19="","",IF(B19='Mon prêt'!$C$9,J18+E19,IF(B19&lt;='Mon prêt'!$C$10,E19,'Mon prêt'!$C$22)))</f>
        <v>886.71</v>
      </c>
      <c r="E19" s="18">
        <f>IF($B19="","",ROUND(J18*'Mon prêt'!$C$8/12,2))</f>
        <v>490.54</v>
      </c>
      <c r="F19" s="18">
        <f t="shared" si="0"/>
        <v>396.17</v>
      </c>
      <c r="G19" s="18">
        <f>IF($B19="","",ROUND(IF('Mon prêt'!$C$12=Paramètres!$B$36,'Mon prêt'!$C$7,J18)*'Mon prêt'!$C$13/12,2))</f>
        <v>42</v>
      </c>
      <c r="H19" s="18">
        <f t="shared" si="1"/>
        <v>928.71</v>
      </c>
      <c r="I19" s="18">
        <f t="shared" si="2"/>
        <v>4681.96</v>
      </c>
      <c r="J19" s="31">
        <f t="shared" si="3"/>
        <v>175318.04</v>
      </c>
      <c r="K19" s="18">
        <f t="shared" si="4"/>
        <v>928.71</v>
      </c>
      <c r="L19" s="18">
        <f t="shared" si="5"/>
        <v>886.71</v>
      </c>
    </row>
    <row r="20" spans="2:12" x14ac:dyDescent="0.35">
      <c r="B20" s="29">
        <f>IF(B19="","",IF(B19+1&gt;'Mon prêt'!$C$9,"",B19+1))</f>
        <v>13</v>
      </c>
      <c r="C20" s="30">
        <f>IF($B20="","",EDATE('Mon prêt'!$C$11,B20-1))</f>
        <v>46696</v>
      </c>
      <c r="D20" s="18">
        <f>IF($B20="","",IF(B20='Mon prêt'!$C$9,J19+E20,IF(B20&lt;='Mon prêt'!$C$10,E20,'Mon prêt'!$C$22)))</f>
        <v>886.71</v>
      </c>
      <c r="E20" s="18">
        <f>IF($B20="","",ROUND(J19*'Mon prêt'!$C$8/12,2))</f>
        <v>489.43</v>
      </c>
      <c r="F20" s="18">
        <f t="shared" si="0"/>
        <v>397.28000000000003</v>
      </c>
      <c r="G20" s="18">
        <f>IF($B20="","",ROUND(IF('Mon prêt'!$C$12=Paramètres!$B$36,'Mon prêt'!$C$7,J19)*'Mon prêt'!$C$13/12,2))</f>
        <v>42</v>
      </c>
      <c r="H20" s="18">
        <f t="shared" si="1"/>
        <v>928.71</v>
      </c>
      <c r="I20" s="18">
        <f t="shared" si="2"/>
        <v>5079.24</v>
      </c>
      <c r="J20" s="31">
        <f t="shared" si="3"/>
        <v>174920.76</v>
      </c>
      <c r="K20" s="18">
        <f t="shared" si="4"/>
        <v>928.71</v>
      </c>
      <c r="L20" s="18">
        <f t="shared" si="5"/>
        <v>886.71</v>
      </c>
    </row>
    <row r="21" spans="2:12" x14ac:dyDescent="0.35">
      <c r="B21" s="29">
        <f>IF(B20="","",IF(B20+1&gt;'Mon prêt'!$C$9,"",B20+1))</f>
        <v>14</v>
      </c>
      <c r="C21" s="30">
        <f>IF($B21="","",EDATE('Mon prêt'!$C$11,B21-1))</f>
        <v>46726</v>
      </c>
      <c r="D21" s="18">
        <f>IF($B21="","",IF(B21='Mon prêt'!$C$9,J20+E21,IF(B21&lt;='Mon prêt'!$C$10,E21,'Mon prêt'!$C$22)))</f>
        <v>886.71</v>
      </c>
      <c r="E21" s="18">
        <f>IF($B21="","",ROUND(J20*'Mon prêt'!$C$8/12,2))</f>
        <v>488.32</v>
      </c>
      <c r="F21" s="18">
        <f t="shared" si="0"/>
        <v>398.39000000000004</v>
      </c>
      <c r="G21" s="18">
        <f>IF($B21="","",ROUND(IF('Mon prêt'!$C$12=Paramètres!$B$36,'Mon prêt'!$C$7,J20)*'Mon prêt'!$C$13/12,2))</f>
        <v>42</v>
      </c>
      <c r="H21" s="18">
        <f t="shared" si="1"/>
        <v>928.71</v>
      </c>
      <c r="I21" s="18">
        <f t="shared" si="2"/>
        <v>5477.63</v>
      </c>
      <c r="J21" s="31">
        <f t="shared" si="3"/>
        <v>174522.37</v>
      </c>
      <c r="K21" s="18">
        <f t="shared" si="4"/>
        <v>928.71</v>
      </c>
      <c r="L21" s="18">
        <f t="shared" si="5"/>
        <v>886.71</v>
      </c>
    </row>
    <row r="22" spans="2:12" x14ac:dyDescent="0.35">
      <c r="B22" s="29">
        <f>IF(B21="","",IF(B21+1&gt;'Mon prêt'!$C$9,"",B21+1))</f>
        <v>15</v>
      </c>
      <c r="C22" s="30">
        <f>IF($B22="","",EDATE('Mon prêt'!$C$11,B22-1))</f>
        <v>46757</v>
      </c>
      <c r="D22" s="18">
        <f>IF($B22="","",IF(B22='Mon prêt'!$C$9,J21+E22,IF(B22&lt;='Mon prêt'!$C$10,E22,'Mon prêt'!$C$22)))</f>
        <v>886.71</v>
      </c>
      <c r="E22" s="18">
        <f>IF($B22="","",ROUND(J21*'Mon prêt'!$C$8/12,2))</f>
        <v>487.21</v>
      </c>
      <c r="F22" s="18">
        <f t="shared" si="0"/>
        <v>399.50000000000006</v>
      </c>
      <c r="G22" s="18">
        <f>IF($B22="","",ROUND(IF('Mon prêt'!$C$12=Paramètres!$B$36,'Mon prêt'!$C$7,J21)*'Mon prêt'!$C$13/12,2))</f>
        <v>42</v>
      </c>
      <c r="H22" s="18">
        <f t="shared" si="1"/>
        <v>928.71</v>
      </c>
      <c r="I22" s="18">
        <f t="shared" si="2"/>
        <v>5877.13</v>
      </c>
      <c r="J22" s="31">
        <f t="shared" si="3"/>
        <v>174122.87</v>
      </c>
      <c r="K22" s="18">
        <f t="shared" si="4"/>
        <v>928.71</v>
      </c>
      <c r="L22" s="18">
        <f t="shared" si="5"/>
        <v>886.71</v>
      </c>
    </row>
    <row r="23" spans="2:12" x14ac:dyDescent="0.35">
      <c r="B23" s="29">
        <f>IF(B22="","",IF(B22+1&gt;'Mon prêt'!$C$9,"",B22+1))</f>
        <v>16</v>
      </c>
      <c r="C23" s="30">
        <f>IF($B23="","",EDATE('Mon prêt'!$C$11,B23-1))</f>
        <v>46788</v>
      </c>
      <c r="D23" s="18">
        <f>IF($B23="","",IF(B23='Mon prêt'!$C$9,J22+E23,IF(B23&lt;='Mon prêt'!$C$10,E23,'Mon prêt'!$C$22)))</f>
        <v>886.71</v>
      </c>
      <c r="E23" s="18">
        <f>IF($B23="","",ROUND(J22*'Mon prêt'!$C$8/12,2))</f>
        <v>486.09</v>
      </c>
      <c r="F23" s="18">
        <f t="shared" si="0"/>
        <v>400.62000000000006</v>
      </c>
      <c r="G23" s="18">
        <f>IF($B23="","",ROUND(IF('Mon prêt'!$C$12=Paramètres!$B$36,'Mon prêt'!$C$7,J22)*'Mon prêt'!$C$13/12,2))</f>
        <v>42</v>
      </c>
      <c r="H23" s="18">
        <f t="shared" si="1"/>
        <v>928.71</v>
      </c>
      <c r="I23" s="18">
        <f t="shared" si="2"/>
        <v>6277.75</v>
      </c>
      <c r="J23" s="31">
        <f t="shared" si="3"/>
        <v>173722.25</v>
      </c>
      <c r="K23" s="18">
        <f t="shared" si="4"/>
        <v>928.71</v>
      </c>
      <c r="L23" s="18">
        <f t="shared" si="5"/>
        <v>886.71</v>
      </c>
    </row>
    <row r="24" spans="2:12" x14ac:dyDescent="0.35">
      <c r="B24" s="29">
        <f>IF(B23="","",IF(B23+1&gt;'Mon prêt'!$C$9,"",B23+1))</f>
        <v>17</v>
      </c>
      <c r="C24" s="30">
        <f>IF($B24="","",EDATE('Mon prêt'!$C$11,B24-1))</f>
        <v>46817</v>
      </c>
      <c r="D24" s="18">
        <f>IF($B24="","",IF(B24='Mon prêt'!$C$9,J23+E24,IF(B24&lt;='Mon prêt'!$C$10,E24,'Mon prêt'!$C$22)))</f>
        <v>886.71</v>
      </c>
      <c r="E24" s="18">
        <f>IF($B24="","",ROUND(J23*'Mon prêt'!$C$8/12,2))</f>
        <v>484.97</v>
      </c>
      <c r="F24" s="18">
        <f t="shared" si="0"/>
        <v>401.74</v>
      </c>
      <c r="G24" s="18">
        <f>IF($B24="","",ROUND(IF('Mon prêt'!$C$12=Paramètres!$B$36,'Mon prêt'!$C$7,J23)*'Mon prêt'!$C$13/12,2))</f>
        <v>42</v>
      </c>
      <c r="H24" s="18">
        <f t="shared" si="1"/>
        <v>928.71</v>
      </c>
      <c r="I24" s="18">
        <f t="shared" si="2"/>
        <v>6679.49</v>
      </c>
      <c r="J24" s="31">
        <f t="shared" si="3"/>
        <v>173320.51</v>
      </c>
      <c r="K24" s="18">
        <f t="shared" si="4"/>
        <v>928.71</v>
      </c>
      <c r="L24" s="18">
        <f t="shared" si="5"/>
        <v>886.71</v>
      </c>
    </row>
    <row r="25" spans="2:12" x14ac:dyDescent="0.35">
      <c r="B25" s="29">
        <f>IF(B24="","",IF(B24+1&gt;'Mon prêt'!$C$9,"",B24+1))</f>
        <v>18</v>
      </c>
      <c r="C25" s="30">
        <f>IF($B25="","",EDATE('Mon prêt'!$C$11,B25-1))</f>
        <v>46848</v>
      </c>
      <c r="D25" s="18">
        <f>IF($B25="","",IF(B25='Mon prêt'!$C$9,J24+E25,IF(B25&lt;='Mon prêt'!$C$10,E25,'Mon prêt'!$C$22)))</f>
        <v>886.71</v>
      </c>
      <c r="E25" s="18">
        <f>IF($B25="","",ROUND(J24*'Mon prêt'!$C$8/12,2))</f>
        <v>483.85</v>
      </c>
      <c r="F25" s="18">
        <f t="shared" si="0"/>
        <v>402.86</v>
      </c>
      <c r="G25" s="18">
        <f>IF($B25="","",ROUND(IF('Mon prêt'!$C$12=Paramètres!$B$36,'Mon prêt'!$C$7,J24)*'Mon prêt'!$C$13/12,2))</f>
        <v>42</v>
      </c>
      <c r="H25" s="18">
        <f t="shared" si="1"/>
        <v>928.71</v>
      </c>
      <c r="I25" s="18">
        <f t="shared" si="2"/>
        <v>7082.3499999999995</v>
      </c>
      <c r="J25" s="31">
        <f t="shared" si="3"/>
        <v>172917.65</v>
      </c>
      <c r="K25" s="18">
        <f t="shared" si="4"/>
        <v>928.71</v>
      </c>
      <c r="L25" s="18">
        <f t="shared" si="5"/>
        <v>886.71</v>
      </c>
    </row>
    <row r="26" spans="2:12" x14ac:dyDescent="0.35">
      <c r="B26" s="29">
        <f>IF(B25="","",IF(B25+1&gt;'Mon prêt'!$C$9,"",B25+1))</f>
        <v>19</v>
      </c>
      <c r="C26" s="30">
        <f>IF($B26="","",EDATE('Mon prêt'!$C$11,B26-1))</f>
        <v>46878</v>
      </c>
      <c r="D26" s="18">
        <f>IF($B26="","",IF(B26='Mon prêt'!$C$9,J25+E26,IF(B26&lt;='Mon prêt'!$C$10,E26,'Mon prêt'!$C$22)))</f>
        <v>886.71</v>
      </c>
      <c r="E26" s="18">
        <f>IF($B26="","",ROUND(J25*'Mon prêt'!$C$8/12,2))</f>
        <v>482.73</v>
      </c>
      <c r="F26" s="18">
        <f t="shared" si="0"/>
        <v>403.98</v>
      </c>
      <c r="G26" s="18">
        <f>IF($B26="","",ROUND(IF('Mon prêt'!$C$12=Paramètres!$B$36,'Mon prêt'!$C$7,J25)*'Mon prêt'!$C$13/12,2))</f>
        <v>42</v>
      </c>
      <c r="H26" s="18">
        <f t="shared" si="1"/>
        <v>928.71</v>
      </c>
      <c r="I26" s="18">
        <f t="shared" si="2"/>
        <v>7486.33</v>
      </c>
      <c r="J26" s="31">
        <f t="shared" si="3"/>
        <v>172513.67</v>
      </c>
      <c r="K26" s="18">
        <f t="shared" si="4"/>
        <v>928.71</v>
      </c>
      <c r="L26" s="18">
        <f t="shared" si="5"/>
        <v>886.71</v>
      </c>
    </row>
    <row r="27" spans="2:12" x14ac:dyDescent="0.35">
      <c r="B27" s="29">
        <f>IF(B26="","",IF(B26+1&gt;'Mon prêt'!$C$9,"",B26+1))</f>
        <v>20</v>
      </c>
      <c r="C27" s="30">
        <f>IF($B27="","",EDATE('Mon prêt'!$C$11,B27-1))</f>
        <v>46909</v>
      </c>
      <c r="D27" s="18">
        <f>IF($B27="","",IF(B27='Mon prêt'!$C$9,J26+E27,IF(B27&lt;='Mon prêt'!$C$10,E27,'Mon prêt'!$C$22)))</f>
        <v>886.71</v>
      </c>
      <c r="E27" s="18">
        <f>IF($B27="","",ROUND(J26*'Mon prêt'!$C$8/12,2))</f>
        <v>481.6</v>
      </c>
      <c r="F27" s="18">
        <f t="shared" si="0"/>
        <v>405.11</v>
      </c>
      <c r="G27" s="18">
        <f>IF($B27="","",ROUND(IF('Mon prêt'!$C$12=Paramètres!$B$36,'Mon prêt'!$C$7,J26)*'Mon prêt'!$C$13/12,2))</f>
        <v>42</v>
      </c>
      <c r="H27" s="18">
        <f t="shared" si="1"/>
        <v>928.71</v>
      </c>
      <c r="I27" s="18">
        <f t="shared" si="2"/>
        <v>7891.44</v>
      </c>
      <c r="J27" s="31">
        <f t="shared" si="3"/>
        <v>172108.56</v>
      </c>
      <c r="K27" s="18">
        <f t="shared" si="4"/>
        <v>928.71</v>
      </c>
      <c r="L27" s="18">
        <f t="shared" si="5"/>
        <v>886.71</v>
      </c>
    </row>
    <row r="28" spans="2:12" x14ac:dyDescent="0.35">
      <c r="B28" s="29">
        <f>IF(B27="","",IF(B27+1&gt;'Mon prêt'!$C$9,"",B27+1))</f>
        <v>21</v>
      </c>
      <c r="C28" s="30">
        <f>IF($B28="","",EDATE('Mon prêt'!$C$11,B28-1))</f>
        <v>46939</v>
      </c>
      <c r="D28" s="18">
        <f>IF($B28="","",IF(B28='Mon prêt'!$C$9,J27+E28,IF(B28&lt;='Mon prêt'!$C$10,E28,'Mon prêt'!$C$22)))</f>
        <v>886.71</v>
      </c>
      <c r="E28" s="18">
        <f>IF($B28="","",ROUND(J27*'Mon prêt'!$C$8/12,2))</f>
        <v>480.47</v>
      </c>
      <c r="F28" s="18">
        <f t="shared" si="0"/>
        <v>406.24</v>
      </c>
      <c r="G28" s="18">
        <f>IF($B28="","",ROUND(IF('Mon prêt'!$C$12=Paramètres!$B$36,'Mon prêt'!$C$7,J27)*'Mon prêt'!$C$13/12,2))</f>
        <v>42</v>
      </c>
      <c r="H28" s="18">
        <f t="shared" si="1"/>
        <v>928.71</v>
      </c>
      <c r="I28" s="18">
        <f t="shared" si="2"/>
        <v>8297.68</v>
      </c>
      <c r="J28" s="31">
        <f t="shared" si="3"/>
        <v>171702.32</v>
      </c>
      <c r="K28" s="18">
        <f t="shared" si="4"/>
        <v>928.71</v>
      </c>
      <c r="L28" s="18">
        <f t="shared" si="5"/>
        <v>886.71</v>
      </c>
    </row>
    <row r="29" spans="2:12" x14ac:dyDescent="0.35">
      <c r="B29" s="29">
        <f>IF(B28="","",IF(B28+1&gt;'Mon prêt'!$C$9,"",B28+1))</f>
        <v>22</v>
      </c>
      <c r="C29" s="30">
        <f>IF($B29="","",EDATE('Mon prêt'!$C$11,B29-1))</f>
        <v>46970</v>
      </c>
      <c r="D29" s="18">
        <f>IF($B29="","",IF(B29='Mon prêt'!$C$9,J28+E29,IF(B29&lt;='Mon prêt'!$C$10,E29,'Mon prêt'!$C$22)))</f>
        <v>886.71</v>
      </c>
      <c r="E29" s="18">
        <f>IF($B29="","",ROUND(J28*'Mon prêt'!$C$8/12,2))</f>
        <v>479.34</v>
      </c>
      <c r="F29" s="18">
        <f t="shared" si="0"/>
        <v>407.37000000000006</v>
      </c>
      <c r="G29" s="18">
        <f>IF($B29="","",ROUND(IF('Mon prêt'!$C$12=Paramètres!$B$36,'Mon prêt'!$C$7,J28)*'Mon prêt'!$C$13/12,2))</f>
        <v>42</v>
      </c>
      <c r="H29" s="18">
        <f t="shared" si="1"/>
        <v>928.71</v>
      </c>
      <c r="I29" s="18">
        <f t="shared" si="2"/>
        <v>8705.0500000000011</v>
      </c>
      <c r="J29" s="31">
        <f t="shared" si="3"/>
        <v>171294.95</v>
      </c>
      <c r="K29" s="18">
        <f t="shared" si="4"/>
        <v>928.71</v>
      </c>
      <c r="L29" s="18">
        <f t="shared" si="5"/>
        <v>886.71</v>
      </c>
    </row>
    <row r="30" spans="2:12" x14ac:dyDescent="0.35">
      <c r="B30" s="29">
        <f>IF(B29="","",IF(B29+1&gt;'Mon prêt'!$C$9,"",B29+1))</f>
        <v>23</v>
      </c>
      <c r="C30" s="30">
        <f>IF($B30="","",EDATE('Mon prêt'!$C$11,B30-1))</f>
        <v>47001</v>
      </c>
      <c r="D30" s="18">
        <f>IF($B30="","",IF(B30='Mon prêt'!$C$9,J29+E30,IF(B30&lt;='Mon prêt'!$C$10,E30,'Mon prêt'!$C$22)))</f>
        <v>886.71</v>
      </c>
      <c r="E30" s="18">
        <f>IF($B30="","",ROUND(J29*'Mon prêt'!$C$8/12,2))</f>
        <v>478.2</v>
      </c>
      <c r="F30" s="18">
        <f t="shared" si="0"/>
        <v>408.51000000000005</v>
      </c>
      <c r="G30" s="18">
        <f>IF($B30="","",ROUND(IF('Mon prêt'!$C$12=Paramètres!$B$36,'Mon prêt'!$C$7,J29)*'Mon prêt'!$C$13/12,2))</f>
        <v>42</v>
      </c>
      <c r="H30" s="18">
        <f t="shared" si="1"/>
        <v>928.71</v>
      </c>
      <c r="I30" s="18">
        <f t="shared" si="2"/>
        <v>9113.5600000000013</v>
      </c>
      <c r="J30" s="31">
        <f t="shared" si="3"/>
        <v>170886.44</v>
      </c>
      <c r="K30" s="18">
        <f t="shared" si="4"/>
        <v>928.71</v>
      </c>
      <c r="L30" s="18">
        <f t="shared" si="5"/>
        <v>886.71</v>
      </c>
    </row>
    <row r="31" spans="2:12" x14ac:dyDescent="0.35">
      <c r="B31" s="29">
        <f>IF(B30="","",IF(B30+1&gt;'Mon prêt'!$C$9,"",B30+1))</f>
        <v>24</v>
      </c>
      <c r="C31" s="30">
        <f>IF($B31="","",EDATE('Mon prêt'!$C$11,B31-1))</f>
        <v>47031</v>
      </c>
      <c r="D31" s="18">
        <f>IF($B31="","",IF(B31='Mon prêt'!$C$9,J30+E31,IF(B31&lt;='Mon prêt'!$C$10,E31,'Mon prêt'!$C$22)))</f>
        <v>886.71</v>
      </c>
      <c r="E31" s="18">
        <f>IF($B31="","",ROUND(J30*'Mon prêt'!$C$8/12,2))</f>
        <v>477.06</v>
      </c>
      <c r="F31" s="18">
        <f t="shared" si="0"/>
        <v>409.65000000000003</v>
      </c>
      <c r="G31" s="18">
        <f>IF($B31="","",ROUND(IF('Mon prêt'!$C$12=Paramètres!$B$36,'Mon prêt'!$C$7,J30)*'Mon prêt'!$C$13/12,2))</f>
        <v>42</v>
      </c>
      <c r="H31" s="18">
        <f t="shared" si="1"/>
        <v>928.71</v>
      </c>
      <c r="I31" s="18">
        <f t="shared" si="2"/>
        <v>9523.2100000000009</v>
      </c>
      <c r="J31" s="31">
        <f t="shared" si="3"/>
        <v>170476.79</v>
      </c>
      <c r="K31" s="18">
        <f t="shared" si="4"/>
        <v>928.71</v>
      </c>
      <c r="L31" s="18">
        <f t="shared" si="5"/>
        <v>886.71</v>
      </c>
    </row>
    <row r="32" spans="2:12" x14ac:dyDescent="0.35">
      <c r="B32" s="29">
        <f>IF(B31="","",IF(B31+1&gt;'Mon prêt'!$C$9,"",B31+1))</f>
        <v>25</v>
      </c>
      <c r="C32" s="30">
        <f>IF($B32="","",EDATE('Mon prêt'!$C$11,B32-1))</f>
        <v>47062</v>
      </c>
      <c r="D32" s="18">
        <f>IF($B32="","",IF(B32='Mon prêt'!$C$9,J31+E32,IF(B32&lt;='Mon prêt'!$C$10,E32,'Mon prêt'!$C$22)))</f>
        <v>886.71</v>
      </c>
      <c r="E32" s="18">
        <f>IF($B32="","",ROUND(J31*'Mon prêt'!$C$8/12,2))</f>
        <v>475.91</v>
      </c>
      <c r="F32" s="18">
        <f t="shared" si="0"/>
        <v>410.8</v>
      </c>
      <c r="G32" s="18">
        <f>IF($B32="","",ROUND(IF('Mon prêt'!$C$12=Paramètres!$B$36,'Mon prêt'!$C$7,J31)*'Mon prêt'!$C$13/12,2))</f>
        <v>42</v>
      </c>
      <c r="H32" s="18">
        <f t="shared" si="1"/>
        <v>928.71</v>
      </c>
      <c r="I32" s="18">
        <f t="shared" si="2"/>
        <v>9934.01</v>
      </c>
      <c r="J32" s="31">
        <f t="shared" si="3"/>
        <v>170065.99</v>
      </c>
      <c r="K32" s="18">
        <f t="shared" si="4"/>
        <v>928.71</v>
      </c>
      <c r="L32" s="18">
        <f t="shared" si="5"/>
        <v>886.71</v>
      </c>
    </row>
    <row r="33" spans="2:12" x14ac:dyDescent="0.35">
      <c r="B33" s="29">
        <f>IF(B32="","",IF(B32+1&gt;'Mon prêt'!$C$9,"",B32+1))</f>
        <v>26</v>
      </c>
      <c r="C33" s="30">
        <f>IF($B33="","",EDATE('Mon prêt'!$C$11,B33-1))</f>
        <v>47092</v>
      </c>
      <c r="D33" s="18">
        <f>IF($B33="","",IF(B33='Mon prêt'!$C$9,J32+E33,IF(B33&lt;='Mon prêt'!$C$10,E33,'Mon prêt'!$C$22)))</f>
        <v>886.71</v>
      </c>
      <c r="E33" s="18">
        <f>IF($B33="","",ROUND(J32*'Mon prêt'!$C$8/12,2))</f>
        <v>474.77</v>
      </c>
      <c r="F33" s="18">
        <f t="shared" si="0"/>
        <v>411.94000000000005</v>
      </c>
      <c r="G33" s="18">
        <f>IF($B33="","",ROUND(IF('Mon prêt'!$C$12=Paramètres!$B$36,'Mon prêt'!$C$7,J32)*'Mon prêt'!$C$13/12,2))</f>
        <v>42</v>
      </c>
      <c r="H33" s="18">
        <f t="shared" si="1"/>
        <v>928.71</v>
      </c>
      <c r="I33" s="18">
        <f t="shared" si="2"/>
        <v>10345.950000000001</v>
      </c>
      <c r="J33" s="31">
        <f t="shared" si="3"/>
        <v>169654.05</v>
      </c>
      <c r="K33" s="18">
        <f t="shared" si="4"/>
        <v>928.71</v>
      </c>
      <c r="L33" s="18">
        <f t="shared" si="5"/>
        <v>886.71</v>
      </c>
    </row>
    <row r="34" spans="2:12" x14ac:dyDescent="0.35">
      <c r="B34" s="29">
        <f>IF(B33="","",IF(B33+1&gt;'Mon prêt'!$C$9,"",B33+1))</f>
        <v>27</v>
      </c>
      <c r="C34" s="30">
        <f>IF($B34="","",EDATE('Mon prêt'!$C$11,B34-1))</f>
        <v>47123</v>
      </c>
      <c r="D34" s="18">
        <f>IF($B34="","",IF(B34='Mon prêt'!$C$9,J33+E34,IF(B34&lt;='Mon prêt'!$C$10,E34,'Mon prêt'!$C$22)))</f>
        <v>886.71</v>
      </c>
      <c r="E34" s="18">
        <f>IF($B34="","",ROUND(J33*'Mon prêt'!$C$8/12,2))</f>
        <v>473.62</v>
      </c>
      <c r="F34" s="18">
        <f t="shared" si="0"/>
        <v>413.09000000000003</v>
      </c>
      <c r="G34" s="18">
        <f>IF($B34="","",ROUND(IF('Mon prêt'!$C$12=Paramètres!$B$36,'Mon prêt'!$C$7,J33)*'Mon prêt'!$C$13/12,2))</f>
        <v>42</v>
      </c>
      <c r="H34" s="18">
        <f t="shared" si="1"/>
        <v>928.71</v>
      </c>
      <c r="I34" s="18">
        <f t="shared" si="2"/>
        <v>10759.04</v>
      </c>
      <c r="J34" s="31">
        <f t="shared" si="3"/>
        <v>169240.95999999999</v>
      </c>
      <c r="K34" s="18">
        <f t="shared" si="4"/>
        <v>928.71</v>
      </c>
      <c r="L34" s="18">
        <f t="shared" si="5"/>
        <v>886.71</v>
      </c>
    </row>
    <row r="35" spans="2:12" x14ac:dyDescent="0.35">
      <c r="B35" s="29">
        <f>IF(B34="","",IF(B34+1&gt;'Mon prêt'!$C$9,"",B34+1))</f>
        <v>28</v>
      </c>
      <c r="C35" s="30">
        <f>IF($B35="","",EDATE('Mon prêt'!$C$11,B35-1))</f>
        <v>47154</v>
      </c>
      <c r="D35" s="18">
        <f>IF($B35="","",IF(B35='Mon prêt'!$C$9,J34+E35,IF(B35&lt;='Mon prêt'!$C$10,E35,'Mon prêt'!$C$22)))</f>
        <v>886.71</v>
      </c>
      <c r="E35" s="18">
        <f>IF($B35="","",ROUND(J34*'Mon prêt'!$C$8/12,2))</f>
        <v>472.46</v>
      </c>
      <c r="F35" s="18">
        <f t="shared" si="0"/>
        <v>414.25000000000006</v>
      </c>
      <c r="G35" s="18">
        <f>IF($B35="","",ROUND(IF('Mon prêt'!$C$12=Paramètres!$B$36,'Mon prêt'!$C$7,J34)*'Mon prêt'!$C$13/12,2))</f>
        <v>42</v>
      </c>
      <c r="H35" s="18">
        <f t="shared" si="1"/>
        <v>928.71</v>
      </c>
      <c r="I35" s="18">
        <f t="shared" si="2"/>
        <v>11173.29</v>
      </c>
      <c r="J35" s="31">
        <f t="shared" si="3"/>
        <v>168826.71</v>
      </c>
      <c r="K35" s="18">
        <f t="shared" si="4"/>
        <v>928.71</v>
      </c>
      <c r="L35" s="18">
        <f t="shared" si="5"/>
        <v>886.71</v>
      </c>
    </row>
    <row r="36" spans="2:12" x14ac:dyDescent="0.35">
      <c r="B36" s="29">
        <f>IF(B35="","",IF(B35+1&gt;'Mon prêt'!$C$9,"",B35+1))</f>
        <v>29</v>
      </c>
      <c r="C36" s="30">
        <f>IF($B36="","",EDATE('Mon prêt'!$C$11,B36-1))</f>
        <v>47182</v>
      </c>
      <c r="D36" s="18">
        <f>IF($B36="","",IF(B36='Mon prêt'!$C$9,J35+E36,IF(B36&lt;='Mon prêt'!$C$10,E36,'Mon prêt'!$C$22)))</f>
        <v>886.71</v>
      </c>
      <c r="E36" s="18">
        <f>IF($B36="","",ROUND(J35*'Mon prêt'!$C$8/12,2))</f>
        <v>471.31</v>
      </c>
      <c r="F36" s="18">
        <f t="shared" si="0"/>
        <v>415.40000000000003</v>
      </c>
      <c r="G36" s="18">
        <f>IF($B36="","",ROUND(IF('Mon prêt'!$C$12=Paramètres!$B$36,'Mon prêt'!$C$7,J35)*'Mon prêt'!$C$13/12,2))</f>
        <v>42</v>
      </c>
      <c r="H36" s="18">
        <f t="shared" si="1"/>
        <v>928.71</v>
      </c>
      <c r="I36" s="18">
        <f t="shared" si="2"/>
        <v>11588.69</v>
      </c>
      <c r="J36" s="31">
        <f t="shared" si="3"/>
        <v>168411.31</v>
      </c>
      <c r="K36" s="18">
        <f t="shared" si="4"/>
        <v>928.71</v>
      </c>
      <c r="L36" s="18">
        <f t="shared" si="5"/>
        <v>886.71</v>
      </c>
    </row>
    <row r="37" spans="2:12" x14ac:dyDescent="0.35">
      <c r="B37" s="29">
        <f>IF(B36="","",IF(B36+1&gt;'Mon prêt'!$C$9,"",B36+1))</f>
        <v>30</v>
      </c>
      <c r="C37" s="30">
        <f>IF($B37="","",EDATE('Mon prêt'!$C$11,B37-1))</f>
        <v>47213</v>
      </c>
      <c r="D37" s="18">
        <f>IF($B37="","",IF(B37='Mon prêt'!$C$9,J36+E37,IF(B37&lt;='Mon prêt'!$C$10,E37,'Mon prêt'!$C$22)))</f>
        <v>886.71</v>
      </c>
      <c r="E37" s="18">
        <f>IF($B37="","",ROUND(J36*'Mon prêt'!$C$8/12,2))</f>
        <v>470.15</v>
      </c>
      <c r="F37" s="18">
        <f t="shared" si="0"/>
        <v>416.56000000000006</v>
      </c>
      <c r="G37" s="18">
        <f>IF($B37="","",ROUND(IF('Mon prêt'!$C$12=Paramètres!$B$36,'Mon prêt'!$C$7,J36)*'Mon prêt'!$C$13/12,2))</f>
        <v>42</v>
      </c>
      <c r="H37" s="18">
        <f t="shared" si="1"/>
        <v>928.71</v>
      </c>
      <c r="I37" s="18">
        <f t="shared" si="2"/>
        <v>12005.25</v>
      </c>
      <c r="J37" s="31">
        <f t="shared" si="3"/>
        <v>167994.75</v>
      </c>
      <c r="K37" s="18">
        <f t="shared" si="4"/>
        <v>928.71</v>
      </c>
      <c r="L37" s="18">
        <f t="shared" si="5"/>
        <v>886.71</v>
      </c>
    </row>
    <row r="38" spans="2:12" x14ac:dyDescent="0.35">
      <c r="B38" s="29">
        <f>IF(B37="","",IF(B37+1&gt;'Mon prêt'!$C$9,"",B37+1))</f>
        <v>31</v>
      </c>
      <c r="C38" s="30">
        <f>IF($B38="","",EDATE('Mon prêt'!$C$11,B38-1))</f>
        <v>47243</v>
      </c>
      <c r="D38" s="18">
        <f>IF($B38="","",IF(B38='Mon prêt'!$C$9,J37+E38,IF(B38&lt;='Mon prêt'!$C$10,E38,'Mon prêt'!$C$22)))</f>
        <v>886.71</v>
      </c>
      <c r="E38" s="18">
        <f>IF($B38="","",ROUND(J37*'Mon prêt'!$C$8/12,2))</f>
        <v>468.99</v>
      </c>
      <c r="F38" s="18">
        <f t="shared" si="0"/>
        <v>417.72</v>
      </c>
      <c r="G38" s="18">
        <f>IF($B38="","",ROUND(IF('Mon prêt'!$C$12=Paramètres!$B$36,'Mon prêt'!$C$7,J37)*'Mon prêt'!$C$13/12,2))</f>
        <v>42</v>
      </c>
      <c r="H38" s="18">
        <f t="shared" si="1"/>
        <v>928.71</v>
      </c>
      <c r="I38" s="18">
        <f t="shared" si="2"/>
        <v>12422.97</v>
      </c>
      <c r="J38" s="31">
        <f t="shared" si="3"/>
        <v>167577.03</v>
      </c>
      <c r="K38" s="18">
        <f t="shared" si="4"/>
        <v>928.71</v>
      </c>
      <c r="L38" s="18">
        <f t="shared" si="5"/>
        <v>886.71</v>
      </c>
    </row>
    <row r="39" spans="2:12" x14ac:dyDescent="0.35">
      <c r="B39" s="29">
        <f>IF(B38="","",IF(B38+1&gt;'Mon prêt'!$C$9,"",B38+1))</f>
        <v>32</v>
      </c>
      <c r="C39" s="30">
        <f>IF($B39="","",EDATE('Mon prêt'!$C$11,B39-1))</f>
        <v>47274</v>
      </c>
      <c r="D39" s="18">
        <f>IF($B39="","",IF(B39='Mon prêt'!$C$9,J38+E39,IF(B39&lt;='Mon prêt'!$C$10,E39,'Mon prêt'!$C$22)))</f>
        <v>886.71</v>
      </c>
      <c r="E39" s="18">
        <f>IF($B39="","",ROUND(J38*'Mon prêt'!$C$8/12,2))</f>
        <v>467.82</v>
      </c>
      <c r="F39" s="18">
        <f t="shared" si="0"/>
        <v>418.89000000000004</v>
      </c>
      <c r="G39" s="18">
        <f>IF($B39="","",ROUND(IF('Mon prêt'!$C$12=Paramètres!$B$36,'Mon prêt'!$C$7,J38)*'Mon prêt'!$C$13/12,2))</f>
        <v>42</v>
      </c>
      <c r="H39" s="18">
        <f t="shared" si="1"/>
        <v>928.71</v>
      </c>
      <c r="I39" s="18">
        <f t="shared" si="2"/>
        <v>12841.859999999999</v>
      </c>
      <c r="J39" s="31">
        <f t="shared" si="3"/>
        <v>167158.14000000001</v>
      </c>
      <c r="K39" s="18">
        <f t="shared" si="4"/>
        <v>928.71</v>
      </c>
      <c r="L39" s="18">
        <f t="shared" si="5"/>
        <v>886.71</v>
      </c>
    </row>
    <row r="40" spans="2:12" x14ac:dyDescent="0.35">
      <c r="B40" s="29">
        <f>IF(B39="","",IF(B39+1&gt;'Mon prêt'!$C$9,"",B39+1))</f>
        <v>33</v>
      </c>
      <c r="C40" s="30">
        <f>IF($B40="","",EDATE('Mon prêt'!$C$11,B40-1))</f>
        <v>47304</v>
      </c>
      <c r="D40" s="18">
        <f>IF($B40="","",IF(B40='Mon prêt'!$C$9,J39+E40,IF(B40&lt;='Mon prêt'!$C$10,E40,'Mon prêt'!$C$22)))</f>
        <v>886.71</v>
      </c>
      <c r="E40" s="18">
        <f>IF($B40="","",ROUND(J39*'Mon prêt'!$C$8/12,2))</f>
        <v>466.65</v>
      </c>
      <c r="F40" s="18">
        <f t="shared" si="0"/>
        <v>420.06000000000006</v>
      </c>
      <c r="G40" s="18">
        <f>IF($B40="","",ROUND(IF('Mon prêt'!$C$12=Paramètres!$B$36,'Mon prêt'!$C$7,J39)*'Mon prêt'!$C$13/12,2))</f>
        <v>42</v>
      </c>
      <c r="H40" s="18">
        <f t="shared" si="1"/>
        <v>928.71</v>
      </c>
      <c r="I40" s="18">
        <f t="shared" si="2"/>
        <v>13261.919999999998</v>
      </c>
      <c r="J40" s="31">
        <f t="shared" si="3"/>
        <v>166738.07999999999</v>
      </c>
      <c r="K40" s="18">
        <f t="shared" si="4"/>
        <v>928.71</v>
      </c>
      <c r="L40" s="18">
        <f t="shared" si="5"/>
        <v>886.71</v>
      </c>
    </row>
    <row r="41" spans="2:12" x14ac:dyDescent="0.35">
      <c r="B41" s="29">
        <f>IF(B40="","",IF(B40+1&gt;'Mon prêt'!$C$9,"",B40+1))</f>
        <v>34</v>
      </c>
      <c r="C41" s="30">
        <f>IF($B41="","",EDATE('Mon prêt'!$C$11,B41-1))</f>
        <v>47335</v>
      </c>
      <c r="D41" s="18">
        <f>IF($B41="","",IF(B41='Mon prêt'!$C$9,J40+E41,IF(B41&lt;='Mon prêt'!$C$10,E41,'Mon prêt'!$C$22)))</f>
        <v>886.71</v>
      </c>
      <c r="E41" s="18">
        <f>IF($B41="","",ROUND(J40*'Mon prêt'!$C$8/12,2))</f>
        <v>465.48</v>
      </c>
      <c r="F41" s="18">
        <f t="shared" si="0"/>
        <v>421.23</v>
      </c>
      <c r="G41" s="18">
        <f>IF($B41="","",ROUND(IF('Mon prêt'!$C$12=Paramètres!$B$36,'Mon prêt'!$C$7,J40)*'Mon prêt'!$C$13/12,2))</f>
        <v>42</v>
      </c>
      <c r="H41" s="18">
        <f t="shared" si="1"/>
        <v>928.71</v>
      </c>
      <c r="I41" s="18">
        <f t="shared" si="2"/>
        <v>13683.149999999998</v>
      </c>
      <c r="J41" s="31">
        <f t="shared" si="3"/>
        <v>166316.85</v>
      </c>
      <c r="K41" s="18">
        <f t="shared" si="4"/>
        <v>928.71</v>
      </c>
      <c r="L41" s="18">
        <f t="shared" si="5"/>
        <v>886.71</v>
      </c>
    </row>
    <row r="42" spans="2:12" x14ac:dyDescent="0.35">
      <c r="B42" s="29">
        <f>IF(B41="","",IF(B41+1&gt;'Mon prêt'!$C$9,"",B41+1))</f>
        <v>35</v>
      </c>
      <c r="C42" s="30">
        <f>IF($B42="","",EDATE('Mon prêt'!$C$11,B42-1))</f>
        <v>47366</v>
      </c>
      <c r="D42" s="18">
        <f>IF($B42="","",IF(B42='Mon prêt'!$C$9,J41+E42,IF(B42&lt;='Mon prêt'!$C$10,E42,'Mon prêt'!$C$22)))</f>
        <v>886.71</v>
      </c>
      <c r="E42" s="18">
        <f>IF($B42="","",ROUND(J41*'Mon prêt'!$C$8/12,2))</f>
        <v>464.3</v>
      </c>
      <c r="F42" s="18">
        <f t="shared" si="0"/>
        <v>422.41</v>
      </c>
      <c r="G42" s="18">
        <f>IF($B42="","",ROUND(IF('Mon prêt'!$C$12=Paramètres!$B$36,'Mon prêt'!$C$7,J41)*'Mon prêt'!$C$13/12,2))</f>
        <v>42</v>
      </c>
      <c r="H42" s="18">
        <f t="shared" si="1"/>
        <v>928.71</v>
      </c>
      <c r="I42" s="18">
        <f t="shared" si="2"/>
        <v>14105.559999999998</v>
      </c>
      <c r="J42" s="31">
        <f t="shared" si="3"/>
        <v>165894.44</v>
      </c>
      <c r="K42" s="18">
        <f t="shared" si="4"/>
        <v>928.71</v>
      </c>
      <c r="L42" s="18">
        <f t="shared" si="5"/>
        <v>886.71</v>
      </c>
    </row>
    <row r="43" spans="2:12" x14ac:dyDescent="0.35">
      <c r="B43" s="29">
        <f>IF(B42="","",IF(B42+1&gt;'Mon prêt'!$C$9,"",B42+1))</f>
        <v>36</v>
      </c>
      <c r="C43" s="30">
        <f>IF($B43="","",EDATE('Mon prêt'!$C$11,B43-1))</f>
        <v>47396</v>
      </c>
      <c r="D43" s="18">
        <f>IF($B43="","",IF(B43='Mon prêt'!$C$9,J42+E43,IF(B43&lt;='Mon prêt'!$C$10,E43,'Mon prêt'!$C$22)))</f>
        <v>886.71</v>
      </c>
      <c r="E43" s="18">
        <f>IF($B43="","",ROUND(J42*'Mon prêt'!$C$8/12,2))</f>
        <v>463.12</v>
      </c>
      <c r="F43" s="18">
        <f t="shared" si="0"/>
        <v>423.59000000000003</v>
      </c>
      <c r="G43" s="18">
        <f>IF($B43="","",ROUND(IF('Mon prêt'!$C$12=Paramètres!$B$36,'Mon prêt'!$C$7,J42)*'Mon prêt'!$C$13/12,2))</f>
        <v>42</v>
      </c>
      <c r="H43" s="18">
        <f t="shared" si="1"/>
        <v>928.71</v>
      </c>
      <c r="I43" s="18">
        <f t="shared" si="2"/>
        <v>14529.149999999998</v>
      </c>
      <c r="J43" s="31">
        <f t="shared" si="3"/>
        <v>165470.85</v>
      </c>
      <c r="K43" s="18">
        <f t="shared" si="4"/>
        <v>928.71</v>
      </c>
      <c r="L43" s="18">
        <f t="shared" si="5"/>
        <v>886.71</v>
      </c>
    </row>
    <row r="44" spans="2:12" x14ac:dyDescent="0.35">
      <c r="B44" s="29">
        <f>IF(B43="","",IF(B43+1&gt;'Mon prêt'!$C$9,"",B43+1))</f>
        <v>37</v>
      </c>
      <c r="C44" s="30">
        <f>IF($B44="","",EDATE('Mon prêt'!$C$11,B44-1))</f>
        <v>47427</v>
      </c>
      <c r="D44" s="18">
        <f>IF($B44="","",IF(B44='Mon prêt'!$C$9,J43+E44,IF(B44&lt;='Mon prêt'!$C$10,E44,'Mon prêt'!$C$22)))</f>
        <v>886.71</v>
      </c>
      <c r="E44" s="18">
        <f>IF($B44="","",ROUND(J43*'Mon prêt'!$C$8/12,2))</f>
        <v>461.94</v>
      </c>
      <c r="F44" s="18">
        <f t="shared" si="0"/>
        <v>424.77000000000004</v>
      </c>
      <c r="G44" s="18">
        <f>IF($B44="","",ROUND(IF('Mon prêt'!$C$12=Paramètres!$B$36,'Mon prêt'!$C$7,J43)*'Mon prêt'!$C$13/12,2))</f>
        <v>42</v>
      </c>
      <c r="H44" s="18">
        <f t="shared" si="1"/>
        <v>928.71</v>
      </c>
      <c r="I44" s="18">
        <f t="shared" si="2"/>
        <v>14953.919999999998</v>
      </c>
      <c r="J44" s="31">
        <f t="shared" si="3"/>
        <v>165046.07999999999</v>
      </c>
      <c r="K44" s="18">
        <f t="shared" si="4"/>
        <v>928.71</v>
      </c>
      <c r="L44" s="18">
        <f t="shared" si="5"/>
        <v>886.71</v>
      </c>
    </row>
    <row r="45" spans="2:12" x14ac:dyDescent="0.35">
      <c r="B45" s="29">
        <f>IF(B44="","",IF(B44+1&gt;'Mon prêt'!$C$9,"",B44+1))</f>
        <v>38</v>
      </c>
      <c r="C45" s="30">
        <f>IF($B45="","",EDATE('Mon prêt'!$C$11,B45-1))</f>
        <v>47457</v>
      </c>
      <c r="D45" s="18">
        <f>IF($B45="","",IF(B45='Mon prêt'!$C$9,J44+E45,IF(B45&lt;='Mon prêt'!$C$10,E45,'Mon prêt'!$C$22)))</f>
        <v>886.71</v>
      </c>
      <c r="E45" s="18">
        <f>IF($B45="","",ROUND(J44*'Mon prêt'!$C$8/12,2))</f>
        <v>460.75</v>
      </c>
      <c r="F45" s="18">
        <f t="shared" si="0"/>
        <v>425.96000000000004</v>
      </c>
      <c r="G45" s="18">
        <f>IF($B45="","",ROUND(IF('Mon prêt'!$C$12=Paramètres!$B$36,'Mon prêt'!$C$7,J44)*'Mon prêt'!$C$13/12,2))</f>
        <v>42</v>
      </c>
      <c r="H45" s="18">
        <f t="shared" si="1"/>
        <v>928.71</v>
      </c>
      <c r="I45" s="18">
        <f t="shared" si="2"/>
        <v>15379.879999999997</v>
      </c>
      <c r="J45" s="31">
        <f t="shared" si="3"/>
        <v>164620.12</v>
      </c>
      <c r="K45" s="18">
        <f t="shared" si="4"/>
        <v>928.71</v>
      </c>
      <c r="L45" s="18">
        <f t="shared" si="5"/>
        <v>886.71</v>
      </c>
    </row>
    <row r="46" spans="2:12" x14ac:dyDescent="0.35">
      <c r="B46" s="29">
        <f>IF(B45="","",IF(B45+1&gt;'Mon prêt'!$C$9,"",B45+1))</f>
        <v>39</v>
      </c>
      <c r="C46" s="30">
        <f>IF($B46="","",EDATE('Mon prêt'!$C$11,B46-1))</f>
        <v>47488</v>
      </c>
      <c r="D46" s="18">
        <f>IF($B46="","",IF(B46='Mon prêt'!$C$9,J45+E46,IF(B46&lt;='Mon prêt'!$C$10,E46,'Mon prêt'!$C$22)))</f>
        <v>886.71</v>
      </c>
      <c r="E46" s="18">
        <f>IF($B46="","",ROUND(J45*'Mon prêt'!$C$8/12,2))</f>
        <v>459.56</v>
      </c>
      <c r="F46" s="18">
        <f t="shared" si="0"/>
        <v>427.15000000000003</v>
      </c>
      <c r="G46" s="18">
        <f>IF($B46="","",ROUND(IF('Mon prêt'!$C$12=Paramètres!$B$36,'Mon prêt'!$C$7,J45)*'Mon prêt'!$C$13/12,2))</f>
        <v>42</v>
      </c>
      <c r="H46" s="18">
        <f t="shared" si="1"/>
        <v>928.71</v>
      </c>
      <c r="I46" s="18">
        <f t="shared" si="2"/>
        <v>15807.029999999997</v>
      </c>
      <c r="J46" s="31">
        <f t="shared" si="3"/>
        <v>164192.97</v>
      </c>
      <c r="K46" s="18">
        <f t="shared" si="4"/>
        <v>928.71</v>
      </c>
      <c r="L46" s="18">
        <f t="shared" si="5"/>
        <v>886.71</v>
      </c>
    </row>
    <row r="47" spans="2:12" x14ac:dyDescent="0.35">
      <c r="B47" s="29">
        <f>IF(B46="","",IF(B46+1&gt;'Mon prêt'!$C$9,"",B46+1))</f>
        <v>40</v>
      </c>
      <c r="C47" s="30">
        <f>IF($B47="","",EDATE('Mon prêt'!$C$11,B47-1))</f>
        <v>47519</v>
      </c>
      <c r="D47" s="18">
        <f>IF($B47="","",IF(B47='Mon prêt'!$C$9,J46+E47,IF(B47&lt;='Mon prêt'!$C$10,E47,'Mon prêt'!$C$22)))</f>
        <v>886.71</v>
      </c>
      <c r="E47" s="18">
        <f>IF($B47="","",ROUND(J46*'Mon prêt'!$C$8/12,2))</f>
        <v>458.37</v>
      </c>
      <c r="F47" s="18">
        <f t="shared" si="0"/>
        <v>428.34000000000003</v>
      </c>
      <c r="G47" s="18">
        <f>IF($B47="","",ROUND(IF('Mon prêt'!$C$12=Paramètres!$B$36,'Mon prêt'!$C$7,J46)*'Mon prêt'!$C$13/12,2))</f>
        <v>42</v>
      </c>
      <c r="H47" s="18">
        <f t="shared" si="1"/>
        <v>928.71</v>
      </c>
      <c r="I47" s="18">
        <f t="shared" si="2"/>
        <v>16235.369999999997</v>
      </c>
      <c r="J47" s="31">
        <f t="shared" si="3"/>
        <v>163764.63</v>
      </c>
      <c r="K47" s="18">
        <f t="shared" si="4"/>
        <v>928.71</v>
      </c>
      <c r="L47" s="18">
        <f t="shared" si="5"/>
        <v>886.71</v>
      </c>
    </row>
    <row r="48" spans="2:12" x14ac:dyDescent="0.35">
      <c r="B48" s="29">
        <f>IF(B47="","",IF(B47+1&gt;'Mon prêt'!$C$9,"",B47+1))</f>
        <v>41</v>
      </c>
      <c r="C48" s="30">
        <f>IF($B48="","",EDATE('Mon prêt'!$C$11,B48-1))</f>
        <v>47547</v>
      </c>
      <c r="D48" s="18">
        <f>IF($B48="","",IF(B48='Mon prêt'!$C$9,J47+E48,IF(B48&lt;='Mon prêt'!$C$10,E48,'Mon prêt'!$C$22)))</f>
        <v>886.71</v>
      </c>
      <c r="E48" s="18">
        <f>IF($B48="","",ROUND(J47*'Mon prêt'!$C$8/12,2))</f>
        <v>457.18</v>
      </c>
      <c r="F48" s="18">
        <f t="shared" si="0"/>
        <v>429.53000000000003</v>
      </c>
      <c r="G48" s="18">
        <f>IF($B48="","",ROUND(IF('Mon prêt'!$C$12=Paramètres!$B$36,'Mon prêt'!$C$7,J47)*'Mon prêt'!$C$13/12,2))</f>
        <v>42</v>
      </c>
      <c r="H48" s="18">
        <f t="shared" si="1"/>
        <v>928.71</v>
      </c>
      <c r="I48" s="18">
        <f t="shared" si="2"/>
        <v>16664.899999999998</v>
      </c>
      <c r="J48" s="31">
        <f t="shared" si="3"/>
        <v>163335.1</v>
      </c>
      <c r="K48" s="18">
        <f t="shared" si="4"/>
        <v>928.71</v>
      </c>
      <c r="L48" s="18">
        <f t="shared" si="5"/>
        <v>886.71</v>
      </c>
    </row>
    <row r="49" spans="2:12" x14ac:dyDescent="0.35">
      <c r="B49" s="29">
        <f>IF(B48="","",IF(B48+1&gt;'Mon prêt'!$C$9,"",B48+1))</f>
        <v>42</v>
      </c>
      <c r="C49" s="30">
        <f>IF($B49="","",EDATE('Mon prêt'!$C$11,B49-1))</f>
        <v>47578</v>
      </c>
      <c r="D49" s="18">
        <f>IF($B49="","",IF(B49='Mon prêt'!$C$9,J48+E49,IF(B49&lt;='Mon prêt'!$C$10,E49,'Mon prêt'!$C$22)))</f>
        <v>886.71</v>
      </c>
      <c r="E49" s="18">
        <f>IF($B49="","",ROUND(J48*'Mon prêt'!$C$8/12,2))</f>
        <v>455.98</v>
      </c>
      <c r="F49" s="18">
        <f t="shared" si="0"/>
        <v>430.73</v>
      </c>
      <c r="G49" s="18">
        <f>IF($B49="","",ROUND(IF('Mon prêt'!$C$12=Paramètres!$B$36,'Mon prêt'!$C$7,J48)*'Mon prêt'!$C$13/12,2))</f>
        <v>42</v>
      </c>
      <c r="H49" s="18">
        <f t="shared" si="1"/>
        <v>928.71</v>
      </c>
      <c r="I49" s="18">
        <f t="shared" si="2"/>
        <v>17095.629999999997</v>
      </c>
      <c r="J49" s="31">
        <f t="shared" si="3"/>
        <v>162904.37</v>
      </c>
      <c r="K49" s="18">
        <f t="shared" si="4"/>
        <v>928.71</v>
      </c>
      <c r="L49" s="18">
        <f t="shared" si="5"/>
        <v>886.71</v>
      </c>
    </row>
    <row r="50" spans="2:12" x14ac:dyDescent="0.35">
      <c r="B50" s="29">
        <f>IF(B49="","",IF(B49+1&gt;'Mon prêt'!$C$9,"",B49+1))</f>
        <v>43</v>
      </c>
      <c r="C50" s="30">
        <f>IF($B50="","",EDATE('Mon prêt'!$C$11,B50-1))</f>
        <v>47608</v>
      </c>
      <c r="D50" s="18">
        <f>IF($B50="","",IF(B50='Mon prêt'!$C$9,J49+E50,IF(B50&lt;='Mon prêt'!$C$10,E50,'Mon prêt'!$C$22)))</f>
        <v>886.71</v>
      </c>
      <c r="E50" s="18">
        <f>IF($B50="","",ROUND(J49*'Mon prêt'!$C$8/12,2))</f>
        <v>454.77</v>
      </c>
      <c r="F50" s="18">
        <f t="shared" si="0"/>
        <v>431.94000000000005</v>
      </c>
      <c r="G50" s="18">
        <f>IF($B50="","",ROUND(IF('Mon prêt'!$C$12=Paramètres!$B$36,'Mon prêt'!$C$7,J49)*'Mon prêt'!$C$13/12,2))</f>
        <v>42</v>
      </c>
      <c r="H50" s="18">
        <f t="shared" si="1"/>
        <v>928.71</v>
      </c>
      <c r="I50" s="18">
        <f t="shared" si="2"/>
        <v>17527.569999999996</v>
      </c>
      <c r="J50" s="31">
        <f t="shared" si="3"/>
        <v>162472.43</v>
      </c>
      <c r="K50" s="18">
        <f t="shared" si="4"/>
        <v>928.71</v>
      </c>
      <c r="L50" s="18">
        <f t="shared" si="5"/>
        <v>886.71</v>
      </c>
    </row>
    <row r="51" spans="2:12" x14ac:dyDescent="0.35">
      <c r="B51" s="29">
        <f>IF(B50="","",IF(B50+1&gt;'Mon prêt'!$C$9,"",B50+1))</f>
        <v>44</v>
      </c>
      <c r="C51" s="30">
        <f>IF($B51="","",EDATE('Mon prêt'!$C$11,B51-1))</f>
        <v>47639</v>
      </c>
      <c r="D51" s="18">
        <f>IF($B51="","",IF(B51='Mon prêt'!$C$9,J50+E51,IF(B51&lt;='Mon prêt'!$C$10,E51,'Mon prêt'!$C$22)))</f>
        <v>886.71</v>
      </c>
      <c r="E51" s="18">
        <f>IF($B51="","",ROUND(J50*'Mon prêt'!$C$8/12,2))</f>
        <v>453.57</v>
      </c>
      <c r="F51" s="18">
        <f t="shared" si="0"/>
        <v>433.14000000000004</v>
      </c>
      <c r="G51" s="18">
        <f>IF($B51="","",ROUND(IF('Mon prêt'!$C$12=Paramètres!$B$36,'Mon prêt'!$C$7,J50)*'Mon prêt'!$C$13/12,2))</f>
        <v>42</v>
      </c>
      <c r="H51" s="18">
        <f t="shared" si="1"/>
        <v>928.71</v>
      </c>
      <c r="I51" s="18">
        <f t="shared" si="2"/>
        <v>17960.709999999995</v>
      </c>
      <c r="J51" s="31">
        <f t="shared" si="3"/>
        <v>162039.29</v>
      </c>
      <c r="K51" s="18">
        <f t="shared" si="4"/>
        <v>928.71</v>
      </c>
      <c r="L51" s="18">
        <f t="shared" si="5"/>
        <v>886.71</v>
      </c>
    </row>
    <row r="52" spans="2:12" x14ac:dyDescent="0.35">
      <c r="B52" s="29">
        <f>IF(B51="","",IF(B51+1&gt;'Mon prêt'!$C$9,"",B51+1))</f>
        <v>45</v>
      </c>
      <c r="C52" s="30">
        <f>IF($B52="","",EDATE('Mon prêt'!$C$11,B52-1))</f>
        <v>47669</v>
      </c>
      <c r="D52" s="18">
        <f>IF($B52="","",IF(B52='Mon prêt'!$C$9,J51+E52,IF(B52&lt;='Mon prêt'!$C$10,E52,'Mon prêt'!$C$22)))</f>
        <v>886.71</v>
      </c>
      <c r="E52" s="18">
        <f>IF($B52="","",ROUND(J51*'Mon prêt'!$C$8/12,2))</f>
        <v>452.36</v>
      </c>
      <c r="F52" s="18">
        <f t="shared" si="0"/>
        <v>434.35</v>
      </c>
      <c r="G52" s="18">
        <f>IF($B52="","",ROUND(IF('Mon prêt'!$C$12=Paramètres!$B$36,'Mon prêt'!$C$7,J51)*'Mon prêt'!$C$13/12,2))</f>
        <v>42</v>
      </c>
      <c r="H52" s="18">
        <f t="shared" si="1"/>
        <v>928.71</v>
      </c>
      <c r="I52" s="18">
        <f t="shared" si="2"/>
        <v>18395.059999999994</v>
      </c>
      <c r="J52" s="31">
        <f t="shared" si="3"/>
        <v>161604.94</v>
      </c>
      <c r="K52" s="18">
        <f t="shared" si="4"/>
        <v>928.71</v>
      </c>
      <c r="L52" s="18">
        <f t="shared" si="5"/>
        <v>886.71</v>
      </c>
    </row>
    <row r="53" spans="2:12" x14ac:dyDescent="0.35">
      <c r="B53" s="29">
        <f>IF(B52="","",IF(B52+1&gt;'Mon prêt'!$C$9,"",B52+1))</f>
        <v>46</v>
      </c>
      <c r="C53" s="30">
        <f>IF($B53="","",EDATE('Mon prêt'!$C$11,B53-1))</f>
        <v>47700</v>
      </c>
      <c r="D53" s="18">
        <f>IF($B53="","",IF(B53='Mon prêt'!$C$9,J52+E53,IF(B53&lt;='Mon prêt'!$C$10,E53,'Mon prêt'!$C$22)))</f>
        <v>886.71</v>
      </c>
      <c r="E53" s="18">
        <f>IF($B53="","",ROUND(J52*'Mon prêt'!$C$8/12,2))</f>
        <v>451.15</v>
      </c>
      <c r="F53" s="18">
        <f t="shared" si="0"/>
        <v>435.56000000000006</v>
      </c>
      <c r="G53" s="18">
        <f>IF($B53="","",ROUND(IF('Mon prêt'!$C$12=Paramètres!$B$36,'Mon prêt'!$C$7,J52)*'Mon prêt'!$C$13/12,2))</f>
        <v>42</v>
      </c>
      <c r="H53" s="18">
        <f t="shared" si="1"/>
        <v>928.71</v>
      </c>
      <c r="I53" s="18">
        <f t="shared" si="2"/>
        <v>18830.619999999995</v>
      </c>
      <c r="J53" s="31">
        <f t="shared" si="3"/>
        <v>161169.38</v>
      </c>
      <c r="K53" s="18">
        <f t="shared" si="4"/>
        <v>928.71</v>
      </c>
      <c r="L53" s="18">
        <f t="shared" si="5"/>
        <v>886.71</v>
      </c>
    </row>
    <row r="54" spans="2:12" x14ac:dyDescent="0.35">
      <c r="B54" s="29">
        <f>IF(B53="","",IF(B53+1&gt;'Mon prêt'!$C$9,"",B53+1))</f>
        <v>47</v>
      </c>
      <c r="C54" s="30">
        <f>IF($B54="","",EDATE('Mon prêt'!$C$11,B54-1))</f>
        <v>47731</v>
      </c>
      <c r="D54" s="18">
        <f>IF($B54="","",IF(B54='Mon prêt'!$C$9,J53+E54,IF(B54&lt;='Mon prêt'!$C$10,E54,'Mon prêt'!$C$22)))</f>
        <v>886.71</v>
      </c>
      <c r="E54" s="18">
        <f>IF($B54="","",ROUND(J53*'Mon prêt'!$C$8/12,2))</f>
        <v>449.93</v>
      </c>
      <c r="F54" s="18">
        <f t="shared" si="0"/>
        <v>436.78000000000003</v>
      </c>
      <c r="G54" s="18">
        <f>IF($B54="","",ROUND(IF('Mon prêt'!$C$12=Paramètres!$B$36,'Mon prêt'!$C$7,J53)*'Mon prêt'!$C$13/12,2))</f>
        <v>42</v>
      </c>
      <c r="H54" s="18">
        <f t="shared" si="1"/>
        <v>928.71</v>
      </c>
      <c r="I54" s="18">
        <f t="shared" si="2"/>
        <v>19267.399999999994</v>
      </c>
      <c r="J54" s="31">
        <f t="shared" si="3"/>
        <v>160732.6</v>
      </c>
      <c r="K54" s="18">
        <f t="shared" si="4"/>
        <v>928.71</v>
      </c>
      <c r="L54" s="18">
        <f t="shared" si="5"/>
        <v>886.71</v>
      </c>
    </row>
    <row r="55" spans="2:12" x14ac:dyDescent="0.35">
      <c r="B55" s="29">
        <f>IF(B54="","",IF(B54+1&gt;'Mon prêt'!$C$9,"",B54+1))</f>
        <v>48</v>
      </c>
      <c r="C55" s="30">
        <f>IF($B55="","",EDATE('Mon prêt'!$C$11,B55-1))</f>
        <v>47761</v>
      </c>
      <c r="D55" s="18">
        <f>IF($B55="","",IF(B55='Mon prêt'!$C$9,J54+E55,IF(B55&lt;='Mon prêt'!$C$10,E55,'Mon prêt'!$C$22)))</f>
        <v>886.71</v>
      </c>
      <c r="E55" s="18">
        <f>IF($B55="","",ROUND(J54*'Mon prêt'!$C$8/12,2))</f>
        <v>448.71</v>
      </c>
      <c r="F55" s="18">
        <f t="shared" si="0"/>
        <v>438.00000000000006</v>
      </c>
      <c r="G55" s="18">
        <f>IF($B55="","",ROUND(IF('Mon prêt'!$C$12=Paramètres!$B$36,'Mon prêt'!$C$7,J54)*'Mon prêt'!$C$13/12,2))</f>
        <v>42</v>
      </c>
      <c r="H55" s="18">
        <f t="shared" si="1"/>
        <v>928.71</v>
      </c>
      <c r="I55" s="18">
        <f t="shared" si="2"/>
        <v>19705.399999999994</v>
      </c>
      <c r="J55" s="31">
        <f t="shared" si="3"/>
        <v>160294.6</v>
      </c>
      <c r="K55" s="18">
        <f t="shared" si="4"/>
        <v>928.71</v>
      </c>
      <c r="L55" s="18">
        <f t="shared" si="5"/>
        <v>886.71</v>
      </c>
    </row>
    <row r="56" spans="2:12" x14ac:dyDescent="0.35">
      <c r="B56" s="29">
        <f>IF(B55="","",IF(B55+1&gt;'Mon prêt'!$C$9,"",B55+1))</f>
        <v>49</v>
      </c>
      <c r="C56" s="30">
        <f>IF($B56="","",EDATE('Mon prêt'!$C$11,B56-1))</f>
        <v>47792</v>
      </c>
      <c r="D56" s="18">
        <f>IF($B56="","",IF(B56='Mon prêt'!$C$9,J55+E56,IF(B56&lt;='Mon prêt'!$C$10,E56,'Mon prêt'!$C$22)))</f>
        <v>886.71</v>
      </c>
      <c r="E56" s="18">
        <f>IF($B56="","",ROUND(J55*'Mon prêt'!$C$8/12,2))</f>
        <v>447.49</v>
      </c>
      <c r="F56" s="18">
        <f t="shared" si="0"/>
        <v>439.22</v>
      </c>
      <c r="G56" s="18">
        <f>IF($B56="","",ROUND(IF('Mon prêt'!$C$12=Paramètres!$B$36,'Mon prêt'!$C$7,J55)*'Mon prêt'!$C$13/12,2))</f>
        <v>42</v>
      </c>
      <c r="H56" s="18">
        <f t="shared" si="1"/>
        <v>928.71</v>
      </c>
      <c r="I56" s="18">
        <f t="shared" si="2"/>
        <v>20144.619999999995</v>
      </c>
      <c r="J56" s="31">
        <f t="shared" si="3"/>
        <v>159855.38</v>
      </c>
      <c r="K56" s="18">
        <f t="shared" si="4"/>
        <v>928.71</v>
      </c>
      <c r="L56" s="18">
        <f t="shared" si="5"/>
        <v>886.71</v>
      </c>
    </row>
    <row r="57" spans="2:12" x14ac:dyDescent="0.35">
      <c r="B57" s="29">
        <f>IF(B56="","",IF(B56+1&gt;'Mon prêt'!$C$9,"",B56+1))</f>
        <v>50</v>
      </c>
      <c r="C57" s="30">
        <f>IF($B57="","",EDATE('Mon prêt'!$C$11,B57-1))</f>
        <v>47822</v>
      </c>
      <c r="D57" s="18">
        <f>IF($B57="","",IF(B57='Mon prêt'!$C$9,J56+E57,IF(B57&lt;='Mon prêt'!$C$10,E57,'Mon prêt'!$C$22)))</f>
        <v>886.71</v>
      </c>
      <c r="E57" s="18">
        <f>IF($B57="","",ROUND(J56*'Mon prêt'!$C$8/12,2))</f>
        <v>446.26</v>
      </c>
      <c r="F57" s="18">
        <f t="shared" si="0"/>
        <v>440.45000000000005</v>
      </c>
      <c r="G57" s="18">
        <f>IF($B57="","",ROUND(IF('Mon prêt'!$C$12=Paramètres!$B$36,'Mon prêt'!$C$7,J56)*'Mon prêt'!$C$13/12,2))</f>
        <v>42</v>
      </c>
      <c r="H57" s="18">
        <f t="shared" si="1"/>
        <v>928.71</v>
      </c>
      <c r="I57" s="18">
        <f t="shared" si="2"/>
        <v>20585.069999999996</v>
      </c>
      <c r="J57" s="31">
        <f t="shared" si="3"/>
        <v>159414.93</v>
      </c>
      <c r="K57" s="18">
        <f t="shared" si="4"/>
        <v>928.71</v>
      </c>
      <c r="L57" s="18">
        <f t="shared" si="5"/>
        <v>886.71</v>
      </c>
    </row>
    <row r="58" spans="2:12" x14ac:dyDescent="0.35">
      <c r="B58" s="29">
        <f>IF(B57="","",IF(B57+1&gt;'Mon prêt'!$C$9,"",B57+1))</f>
        <v>51</v>
      </c>
      <c r="C58" s="30">
        <f>IF($B58="","",EDATE('Mon prêt'!$C$11,B58-1))</f>
        <v>47853</v>
      </c>
      <c r="D58" s="18">
        <f>IF($B58="","",IF(B58='Mon prêt'!$C$9,J57+E58,IF(B58&lt;='Mon prêt'!$C$10,E58,'Mon prêt'!$C$22)))</f>
        <v>886.71</v>
      </c>
      <c r="E58" s="18">
        <f>IF($B58="","",ROUND(J57*'Mon prêt'!$C$8/12,2))</f>
        <v>445.03</v>
      </c>
      <c r="F58" s="18">
        <f t="shared" si="0"/>
        <v>441.68000000000006</v>
      </c>
      <c r="G58" s="18">
        <f>IF($B58="","",ROUND(IF('Mon prêt'!$C$12=Paramètres!$B$36,'Mon prêt'!$C$7,J57)*'Mon prêt'!$C$13/12,2))</f>
        <v>42</v>
      </c>
      <c r="H58" s="18">
        <f t="shared" si="1"/>
        <v>928.71</v>
      </c>
      <c r="I58" s="18">
        <f t="shared" si="2"/>
        <v>21026.749999999996</v>
      </c>
      <c r="J58" s="31">
        <f t="shared" si="3"/>
        <v>158973.25</v>
      </c>
      <c r="K58" s="18">
        <f t="shared" si="4"/>
        <v>928.71</v>
      </c>
      <c r="L58" s="18">
        <f t="shared" si="5"/>
        <v>886.71</v>
      </c>
    </row>
    <row r="59" spans="2:12" x14ac:dyDescent="0.35">
      <c r="B59" s="29">
        <f>IF(B58="","",IF(B58+1&gt;'Mon prêt'!$C$9,"",B58+1))</f>
        <v>52</v>
      </c>
      <c r="C59" s="30">
        <f>IF($B59="","",EDATE('Mon prêt'!$C$11,B59-1))</f>
        <v>47884</v>
      </c>
      <c r="D59" s="18">
        <f>IF($B59="","",IF(B59='Mon prêt'!$C$9,J58+E59,IF(B59&lt;='Mon prêt'!$C$10,E59,'Mon prêt'!$C$22)))</f>
        <v>886.71</v>
      </c>
      <c r="E59" s="18">
        <f>IF($B59="","",ROUND(J58*'Mon prêt'!$C$8/12,2))</f>
        <v>443.8</v>
      </c>
      <c r="F59" s="18">
        <f t="shared" si="0"/>
        <v>442.91</v>
      </c>
      <c r="G59" s="18">
        <f>IF($B59="","",ROUND(IF('Mon prêt'!$C$12=Paramètres!$B$36,'Mon prêt'!$C$7,J58)*'Mon prêt'!$C$13/12,2))</f>
        <v>42</v>
      </c>
      <c r="H59" s="18">
        <f t="shared" si="1"/>
        <v>928.71</v>
      </c>
      <c r="I59" s="18">
        <f t="shared" si="2"/>
        <v>21469.659999999996</v>
      </c>
      <c r="J59" s="31">
        <f t="shared" si="3"/>
        <v>158530.34</v>
      </c>
      <c r="K59" s="18">
        <f t="shared" si="4"/>
        <v>928.71</v>
      </c>
      <c r="L59" s="18">
        <f t="shared" si="5"/>
        <v>886.71</v>
      </c>
    </row>
    <row r="60" spans="2:12" x14ac:dyDescent="0.35">
      <c r="B60" s="29">
        <f>IF(B59="","",IF(B59+1&gt;'Mon prêt'!$C$9,"",B59+1))</f>
        <v>53</v>
      </c>
      <c r="C60" s="30">
        <f>IF($B60="","",EDATE('Mon prêt'!$C$11,B60-1))</f>
        <v>47912</v>
      </c>
      <c r="D60" s="18">
        <f>IF($B60="","",IF(B60='Mon prêt'!$C$9,J59+E60,IF(B60&lt;='Mon prêt'!$C$10,E60,'Mon prêt'!$C$22)))</f>
        <v>886.71</v>
      </c>
      <c r="E60" s="18">
        <f>IF($B60="","",ROUND(J59*'Mon prêt'!$C$8/12,2))</f>
        <v>442.56</v>
      </c>
      <c r="F60" s="18">
        <f t="shared" si="0"/>
        <v>444.15000000000003</v>
      </c>
      <c r="G60" s="18">
        <f>IF($B60="","",ROUND(IF('Mon prêt'!$C$12=Paramètres!$B$36,'Mon prêt'!$C$7,J59)*'Mon prêt'!$C$13/12,2))</f>
        <v>42</v>
      </c>
      <c r="H60" s="18">
        <f t="shared" si="1"/>
        <v>928.71</v>
      </c>
      <c r="I60" s="18">
        <f t="shared" si="2"/>
        <v>21913.809999999998</v>
      </c>
      <c r="J60" s="31">
        <f t="shared" si="3"/>
        <v>158086.19</v>
      </c>
      <c r="K60" s="18">
        <f t="shared" si="4"/>
        <v>928.71</v>
      </c>
      <c r="L60" s="18">
        <f t="shared" si="5"/>
        <v>886.71</v>
      </c>
    </row>
    <row r="61" spans="2:12" x14ac:dyDescent="0.35">
      <c r="B61" s="29">
        <f>IF(B60="","",IF(B60+1&gt;'Mon prêt'!$C$9,"",B60+1))</f>
        <v>54</v>
      </c>
      <c r="C61" s="30">
        <f>IF($B61="","",EDATE('Mon prêt'!$C$11,B61-1))</f>
        <v>47943</v>
      </c>
      <c r="D61" s="18">
        <f>IF($B61="","",IF(B61='Mon prêt'!$C$9,J60+E61,IF(B61&lt;='Mon prêt'!$C$10,E61,'Mon prêt'!$C$22)))</f>
        <v>886.71</v>
      </c>
      <c r="E61" s="18">
        <f>IF($B61="","",ROUND(J60*'Mon prêt'!$C$8/12,2))</f>
        <v>441.32</v>
      </c>
      <c r="F61" s="18">
        <f t="shared" si="0"/>
        <v>445.39000000000004</v>
      </c>
      <c r="G61" s="18">
        <f>IF($B61="","",ROUND(IF('Mon prêt'!$C$12=Paramètres!$B$36,'Mon prêt'!$C$7,J60)*'Mon prêt'!$C$13/12,2))</f>
        <v>42</v>
      </c>
      <c r="H61" s="18">
        <f t="shared" si="1"/>
        <v>928.71</v>
      </c>
      <c r="I61" s="18">
        <f t="shared" si="2"/>
        <v>22359.199999999997</v>
      </c>
      <c r="J61" s="31">
        <f t="shared" si="3"/>
        <v>157640.79999999999</v>
      </c>
      <c r="K61" s="18">
        <f t="shared" si="4"/>
        <v>928.71</v>
      </c>
      <c r="L61" s="18">
        <f t="shared" si="5"/>
        <v>886.71</v>
      </c>
    </row>
    <row r="62" spans="2:12" x14ac:dyDescent="0.35">
      <c r="B62" s="29">
        <f>IF(B61="","",IF(B61+1&gt;'Mon prêt'!$C$9,"",B61+1))</f>
        <v>55</v>
      </c>
      <c r="C62" s="30">
        <f>IF($B62="","",EDATE('Mon prêt'!$C$11,B62-1))</f>
        <v>47973</v>
      </c>
      <c r="D62" s="18">
        <f>IF($B62="","",IF(B62='Mon prêt'!$C$9,J61+E62,IF(B62&lt;='Mon prêt'!$C$10,E62,'Mon prêt'!$C$22)))</f>
        <v>886.71</v>
      </c>
      <c r="E62" s="18">
        <f>IF($B62="","",ROUND(J61*'Mon prêt'!$C$8/12,2))</f>
        <v>440.08</v>
      </c>
      <c r="F62" s="18">
        <f t="shared" si="0"/>
        <v>446.63000000000005</v>
      </c>
      <c r="G62" s="18">
        <f>IF($B62="","",ROUND(IF('Mon prêt'!$C$12=Paramètres!$B$36,'Mon prêt'!$C$7,J61)*'Mon prêt'!$C$13/12,2))</f>
        <v>42</v>
      </c>
      <c r="H62" s="18">
        <f t="shared" si="1"/>
        <v>928.71</v>
      </c>
      <c r="I62" s="18">
        <f t="shared" si="2"/>
        <v>22805.829999999998</v>
      </c>
      <c r="J62" s="31">
        <f t="shared" si="3"/>
        <v>157194.17000000001</v>
      </c>
      <c r="K62" s="18">
        <f t="shared" si="4"/>
        <v>928.71</v>
      </c>
      <c r="L62" s="18">
        <f t="shared" si="5"/>
        <v>886.71</v>
      </c>
    </row>
    <row r="63" spans="2:12" x14ac:dyDescent="0.35">
      <c r="B63" s="29">
        <f>IF(B62="","",IF(B62+1&gt;'Mon prêt'!$C$9,"",B62+1))</f>
        <v>56</v>
      </c>
      <c r="C63" s="30">
        <f>IF($B63="","",EDATE('Mon prêt'!$C$11,B63-1))</f>
        <v>48004</v>
      </c>
      <c r="D63" s="18">
        <f>IF($B63="","",IF(B63='Mon prêt'!$C$9,J62+E63,IF(B63&lt;='Mon prêt'!$C$10,E63,'Mon prêt'!$C$22)))</f>
        <v>886.71</v>
      </c>
      <c r="E63" s="18">
        <f>IF($B63="","",ROUND(J62*'Mon prêt'!$C$8/12,2))</f>
        <v>438.83</v>
      </c>
      <c r="F63" s="18">
        <f t="shared" si="0"/>
        <v>447.88000000000005</v>
      </c>
      <c r="G63" s="18">
        <f>IF($B63="","",ROUND(IF('Mon prêt'!$C$12=Paramètres!$B$36,'Mon prêt'!$C$7,J62)*'Mon prêt'!$C$13/12,2))</f>
        <v>42</v>
      </c>
      <c r="H63" s="18">
        <f t="shared" si="1"/>
        <v>928.71</v>
      </c>
      <c r="I63" s="18">
        <f t="shared" si="2"/>
        <v>23253.71</v>
      </c>
      <c r="J63" s="31">
        <f t="shared" si="3"/>
        <v>156746.29</v>
      </c>
      <c r="K63" s="18">
        <f t="shared" si="4"/>
        <v>928.71</v>
      </c>
      <c r="L63" s="18">
        <f t="shared" si="5"/>
        <v>886.71</v>
      </c>
    </row>
    <row r="64" spans="2:12" x14ac:dyDescent="0.35">
      <c r="B64" s="29">
        <f>IF(B63="","",IF(B63+1&gt;'Mon prêt'!$C$9,"",B63+1))</f>
        <v>57</v>
      </c>
      <c r="C64" s="30">
        <f>IF($B64="","",EDATE('Mon prêt'!$C$11,B64-1))</f>
        <v>48034</v>
      </c>
      <c r="D64" s="18">
        <f>IF($B64="","",IF(B64='Mon prêt'!$C$9,J63+E64,IF(B64&lt;='Mon prêt'!$C$10,E64,'Mon prêt'!$C$22)))</f>
        <v>886.71</v>
      </c>
      <c r="E64" s="18">
        <f>IF($B64="","",ROUND(J63*'Mon prêt'!$C$8/12,2))</f>
        <v>437.58</v>
      </c>
      <c r="F64" s="18">
        <f t="shared" si="0"/>
        <v>449.13000000000005</v>
      </c>
      <c r="G64" s="18">
        <f>IF($B64="","",ROUND(IF('Mon prêt'!$C$12=Paramètres!$B$36,'Mon prêt'!$C$7,J63)*'Mon prêt'!$C$13/12,2))</f>
        <v>42</v>
      </c>
      <c r="H64" s="18">
        <f t="shared" si="1"/>
        <v>928.71</v>
      </c>
      <c r="I64" s="18">
        <f t="shared" si="2"/>
        <v>23702.84</v>
      </c>
      <c r="J64" s="31">
        <f t="shared" si="3"/>
        <v>156297.16</v>
      </c>
      <c r="K64" s="18">
        <f t="shared" si="4"/>
        <v>928.71</v>
      </c>
      <c r="L64" s="18">
        <f t="shared" si="5"/>
        <v>886.71</v>
      </c>
    </row>
    <row r="65" spans="2:12" x14ac:dyDescent="0.35">
      <c r="B65" s="29">
        <f>IF(B64="","",IF(B64+1&gt;'Mon prêt'!$C$9,"",B64+1))</f>
        <v>58</v>
      </c>
      <c r="C65" s="30">
        <f>IF($B65="","",EDATE('Mon prêt'!$C$11,B65-1))</f>
        <v>48065</v>
      </c>
      <c r="D65" s="18">
        <f>IF($B65="","",IF(B65='Mon prêt'!$C$9,J64+E65,IF(B65&lt;='Mon prêt'!$C$10,E65,'Mon prêt'!$C$22)))</f>
        <v>886.71</v>
      </c>
      <c r="E65" s="18">
        <f>IF($B65="","",ROUND(J64*'Mon prêt'!$C$8/12,2))</f>
        <v>436.33</v>
      </c>
      <c r="F65" s="18">
        <f t="shared" si="0"/>
        <v>450.38000000000005</v>
      </c>
      <c r="G65" s="18">
        <f>IF($B65="","",ROUND(IF('Mon prêt'!$C$12=Paramètres!$B$36,'Mon prêt'!$C$7,J64)*'Mon prêt'!$C$13/12,2))</f>
        <v>42</v>
      </c>
      <c r="H65" s="18">
        <f t="shared" si="1"/>
        <v>928.71</v>
      </c>
      <c r="I65" s="18">
        <f t="shared" si="2"/>
        <v>24153.22</v>
      </c>
      <c r="J65" s="31">
        <f t="shared" si="3"/>
        <v>155846.78</v>
      </c>
      <c r="K65" s="18">
        <f t="shared" si="4"/>
        <v>928.71</v>
      </c>
      <c r="L65" s="18">
        <f t="shared" si="5"/>
        <v>886.71</v>
      </c>
    </row>
    <row r="66" spans="2:12" x14ac:dyDescent="0.35">
      <c r="B66" s="29">
        <f>IF(B65="","",IF(B65+1&gt;'Mon prêt'!$C$9,"",B65+1))</f>
        <v>59</v>
      </c>
      <c r="C66" s="30">
        <f>IF($B66="","",EDATE('Mon prêt'!$C$11,B66-1))</f>
        <v>48096</v>
      </c>
      <c r="D66" s="18">
        <f>IF($B66="","",IF(B66='Mon prêt'!$C$9,J65+E66,IF(B66&lt;='Mon prêt'!$C$10,E66,'Mon prêt'!$C$22)))</f>
        <v>886.71</v>
      </c>
      <c r="E66" s="18">
        <f>IF($B66="","",ROUND(J65*'Mon prêt'!$C$8/12,2))</f>
        <v>435.07</v>
      </c>
      <c r="F66" s="18">
        <f t="shared" si="0"/>
        <v>451.64000000000004</v>
      </c>
      <c r="G66" s="18">
        <f>IF($B66="","",ROUND(IF('Mon prêt'!$C$12=Paramètres!$B$36,'Mon prêt'!$C$7,J65)*'Mon prêt'!$C$13/12,2))</f>
        <v>42</v>
      </c>
      <c r="H66" s="18">
        <f t="shared" si="1"/>
        <v>928.71</v>
      </c>
      <c r="I66" s="18">
        <f t="shared" si="2"/>
        <v>24604.86</v>
      </c>
      <c r="J66" s="31">
        <f t="shared" si="3"/>
        <v>155395.14000000001</v>
      </c>
      <c r="K66" s="18">
        <f t="shared" si="4"/>
        <v>928.71</v>
      </c>
      <c r="L66" s="18">
        <f t="shared" si="5"/>
        <v>886.71</v>
      </c>
    </row>
    <row r="67" spans="2:12" x14ac:dyDescent="0.35">
      <c r="B67" s="29">
        <f>IF(B66="","",IF(B66+1&gt;'Mon prêt'!$C$9,"",B66+1))</f>
        <v>60</v>
      </c>
      <c r="C67" s="30">
        <f>IF($B67="","",EDATE('Mon prêt'!$C$11,B67-1))</f>
        <v>48126</v>
      </c>
      <c r="D67" s="18">
        <f>IF($B67="","",IF(B67='Mon prêt'!$C$9,J66+E67,IF(B67&lt;='Mon prêt'!$C$10,E67,'Mon prêt'!$C$22)))</f>
        <v>886.71</v>
      </c>
      <c r="E67" s="18">
        <f>IF($B67="","",ROUND(J66*'Mon prêt'!$C$8/12,2))</f>
        <v>433.81</v>
      </c>
      <c r="F67" s="18">
        <f t="shared" si="0"/>
        <v>452.90000000000003</v>
      </c>
      <c r="G67" s="18">
        <f>IF($B67="","",ROUND(IF('Mon prêt'!$C$12=Paramètres!$B$36,'Mon prêt'!$C$7,J66)*'Mon prêt'!$C$13/12,2))</f>
        <v>42</v>
      </c>
      <c r="H67" s="18">
        <f t="shared" si="1"/>
        <v>928.71</v>
      </c>
      <c r="I67" s="18">
        <f t="shared" si="2"/>
        <v>25057.760000000002</v>
      </c>
      <c r="J67" s="31">
        <f t="shared" si="3"/>
        <v>154942.24</v>
      </c>
      <c r="K67" s="18">
        <f t="shared" si="4"/>
        <v>928.71</v>
      </c>
      <c r="L67" s="18">
        <f t="shared" si="5"/>
        <v>886.71</v>
      </c>
    </row>
    <row r="68" spans="2:12" x14ac:dyDescent="0.35">
      <c r="B68" s="29">
        <f>IF(B67="","",IF(B67+1&gt;'Mon prêt'!$C$9,"",B67+1))</f>
        <v>61</v>
      </c>
      <c r="C68" s="30">
        <f>IF($B68="","",EDATE('Mon prêt'!$C$11,B68-1))</f>
        <v>48157</v>
      </c>
      <c r="D68" s="18">
        <f>IF($B68="","",IF(B68='Mon prêt'!$C$9,J67+E68,IF(B68&lt;='Mon prêt'!$C$10,E68,'Mon prêt'!$C$22)))</f>
        <v>886.71</v>
      </c>
      <c r="E68" s="18">
        <f>IF($B68="","",ROUND(J67*'Mon prêt'!$C$8/12,2))</f>
        <v>432.55</v>
      </c>
      <c r="F68" s="18">
        <f t="shared" si="0"/>
        <v>454.16</v>
      </c>
      <c r="G68" s="18">
        <f>IF($B68="","",ROUND(IF('Mon prêt'!$C$12=Paramètres!$B$36,'Mon prêt'!$C$7,J67)*'Mon prêt'!$C$13/12,2))</f>
        <v>42</v>
      </c>
      <c r="H68" s="18">
        <f t="shared" si="1"/>
        <v>928.71</v>
      </c>
      <c r="I68" s="18">
        <f t="shared" si="2"/>
        <v>25511.920000000002</v>
      </c>
      <c r="J68" s="31">
        <f t="shared" si="3"/>
        <v>154488.07999999999</v>
      </c>
      <c r="K68" s="18">
        <f t="shared" si="4"/>
        <v>928.71</v>
      </c>
      <c r="L68" s="18">
        <f t="shared" si="5"/>
        <v>886.71</v>
      </c>
    </row>
    <row r="69" spans="2:12" x14ac:dyDescent="0.35">
      <c r="B69" s="29">
        <f>IF(B68="","",IF(B68+1&gt;'Mon prêt'!$C$9,"",B68+1))</f>
        <v>62</v>
      </c>
      <c r="C69" s="30">
        <f>IF($B69="","",EDATE('Mon prêt'!$C$11,B69-1))</f>
        <v>48187</v>
      </c>
      <c r="D69" s="18">
        <f>IF($B69="","",IF(B69='Mon prêt'!$C$9,J68+E69,IF(B69&lt;='Mon prêt'!$C$10,E69,'Mon prêt'!$C$22)))</f>
        <v>886.71</v>
      </c>
      <c r="E69" s="18">
        <f>IF($B69="","",ROUND(J68*'Mon prêt'!$C$8/12,2))</f>
        <v>431.28</v>
      </c>
      <c r="F69" s="18">
        <f t="shared" si="0"/>
        <v>455.43000000000006</v>
      </c>
      <c r="G69" s="18">
        <f>IF($B69="","",ROUND(IF('Mon prêt'!$C$12=Paramètres!$B$36,'Mon prêt'!$C$7,J68)*'Mon prêt'!$C$13/12,2))</f>
        <v>42</v>
      </c>
      <c r="H69" s="18">
        <f t="shared" si="1"/>
        <v>928.71</v>
      </c>
      <c r="I69" s="18">
        <f t="shared" si="2"/>
        <v>25967.350000000002</v>
      </c>
      <c r="J69" s="31">
        <f t="shared" si="3"/>
        <v>154032.65</v>
      </c>
      <c r="K69" s="18">
        <f t="shared" si="4"/>
        <v>928.71</v>
      </c>
      <c r="L69" s="18">
        <f t="shared" si="5"/>
        <v>886.71</v>
      </c>
    </row>
    <row r="70" spans="2:12" x14ac:dyDescent="0.35">
      <c r="B70" s="29">
        <f>IF(B69="","",IF(B69+1&gt;'Mon prêt'!$C$9,"",B69+1))</f>
        <v>63</v>
      </c>
      <c r="C70" s="30">
        <f>IF($B70="","",EDATE('Mon prêt'!$C$11,B70-1))</f>
        <v>48218</v>
      </c>
      <c r="D70" s="18">
        <f>IF($B70="","",IF(B70='Mon prêt'!$C$9,J69+E70,IF(B70&lt;='Mon prêt'!$C$10,E70,'Mon prêt'!$C$22)))</f>
        <v>886.71</v>
      </c>
      <c r="E70" s="18">
        <f>IF($B70="","",ROUND(J69*'Mon prêt'!$C$8/12,2))</f>
        <v>430.01</v>
      </c>
      <c r="F70" s="18">
        <f t="shared" si="0"/>
        <v>456.70000000000005</v>
      </c>
      <c r="G70" s="18">
        <f>IF($B70="","",ROUND(IF('Mon prêt'!$C$12=Paramètres!$B$36,'Mon prêt'!$C$7,J69)*'Mon prêt'!$C$13/12,2))</f>
        <v>42</v>
      </c>
      <c r="H70" s="18">
        <f t="shared" si="1"/>
        <v>928.71</v>
      </c>
      <c r="I70" s="18">
        <f t="shared" si="2"/>
        <v>26424.050000000003</v>
      </c>
      <c r="J70" s="31">
        <f t="shared" si="3"/>
        <v>153575.95000000001</v>
      </c>
      <c r="K70" s="18">
        <f t="shared" si="4"/>
        <v>928.71</v>
      </c>
      <c r="L70" s="18">
        <f t="shared" si="5"/>
        <v>886.71</v>
      </c>
    </row>
    <row r="71" spans="2:12" x14ac:dyDescent="0.35">
      <c r="B71" s="29">
        <f>IF(B70="","",IF(B70+1&gt;'Mon prêt'!$C$9,"",B70+1))</f>
        <v>64</v>
      </c>
      <c r="C71" s="30">
        <f>IF($B71="","",EDATE('Mon prêt'!$C$11,B71-1))</f>
        <v>48249</v>
      </c>
      <c r="D71" s="18">
        <f>IF($B71="","",IF(B71='Mon prêt'!$C$9,J70+E71,IF(B71&lt;='Mon prêt'!$C$10,E71,'Mon prêt'!$C$22)))</f>
        <v>886.71</v>
      </c>
      <c r="E71" s="18">
        <f>IF($B71="","",ROUND(J70*'Mon prêt'!$C$8/12,2))</f>
        <v>428.73</v>
      </c>
      <c r="F71" s="18">
        <f t="shared" si="0"/>
        <v>457.98</v>
      </c>
      <c r="G71" s="18">
        <f>IF($B71="","",ROUND(IF('Mon prêt'!$C$12=Paramètres!$B$36,'Mon prêt'!$C$7,J70)*'Mon prêt'!$C$13/12,2))</f>
        <v>42</v>
      </c>
      <c r="H71" s="18">
        <f t="shared" si="1"/>
        <v>928.71</v>
      </c>
      <c r="I71" s="18">
        <f t="shared" si="2"/>
        <v>26882.030000000002</v>
      </c>
      <c r="J71" s="31">
        <f t="shared" si="3"/>
        <v>153117.97</v>
      </c>
      <c r="K71" s="18">
        <f t="shared" si="4"/>
        <v>928.71</v>
      </c>
      <c r="L71" s="18">
        <f t="shared" si="5"/>
        <v>886.71</v>
      </c>
    </row>
    <row r="72" spans="2:12" x14ac:dyDescent="0.35">
      <c r="B72" s="29">
        <f>IF(B71="","",IF(B71+1&gt;'Mon prêt'!$C$9,"",B71+1))</f>
        <v>65</v>
      </c>
      <c r="C72" s="30">
        <f>IF($B72="","",EDATE('Mon prêt'!$C$11,B72-1))</f>
        <v>48278</v>
      </c>
      <c r="D72" s="18">
        <f>IF($B72="","",IF(B72='Mon prêt'!$C$9,J71+E72,IF(B72&lt;='Mon prêt'!$C$10,E72,'Mon prêt'!$C$22)))</f>
        <v>886.71</v>
      </c>
      <c r="E72" s="18">
        <f>IF($B72="","",ROUND(J71*'Mon prêt'!$C$8/12,2))</f>
        <v>427.45</v>
      </c>
      <c r="F72" s="18">
        <f t="shared" ref="F72:F135" si="6">IF($B72="","",D72-E72)</f>
        <v>459.26000000000005</v>
      </c>
      <c r="G72" s="18">
        <f>IF($B72="","",ROUND(IF('Mon prêt'!$C$12=Paramètres!$B$36,'Mon prêt'!$C$7,J71)*'Mon prêt'!$C$13/12,2))</f>
        <v>42</v>
      </c>
      <c r="H72" s="18">
        <f t="shared" ref="H72:H135" si="7">IF($B72="","",D72+G72)</f>
        <v>928.71</v>
      </c>
      <c r="I72" s="18">
        <f t="shared" ref="I72:I135" si="8">IF($B72="","",I71+F72)</f>
        <v>27341.29</v>
      </c>
      <c r="J72" s="31">
        <f t="shared" ref="J72:J135" si="9">IF($B72="","",ROUND(J71-F72,2))</f>
        <v>152658.71</v>
      </c>
      <c r="K72" s="18">
        <f t="shared" ref="K72:K135" si="10">IF($B72="","",H72)</f>
        <v>928.71</v>
      </c>
      <c r="L72" s="18">
        <f t="shared" ref="L72:L135" si="11">IF($B72="","",D72)</f>
        <v>886.71</v>
      </c>
    </row>
    <row r="73" spans="2:12" x14ac:dyDescent="0.35">
      <c r="B73" s="29">
        <f>IF(B72="","",IF(B72+1&gt;'Mon prêt'!$C$9,"",B72+1))</f>
        <v>66</v>
      </c>
      <c r="C73" s="30">
        <f>IF($B73="","",EDATE('Mon prêt'!$C$11,B73-1))</f>
        <v>48309</v>
      </c>
      <c r="D73" s="18">
        <f>IF($B73="","",IF(B73='Mon prêt'!$C$9,J72+E73,IF(B73&lt;='Mon prêt'!$C$10,E73,'Mon prêt'!$C$22)))</f>
        <v>886.71</v>
      </c>
      <c r="E73" s="18">
        <f>IF($B73="","",ROUND(J72*'Mon prêt'!$C$8/12,2))</f>
        <v>426.17</v>
      </c>
      <c r="F73" s="18">
        <f t="shared" si="6"/>
        <v>460.54</v>
      </c>
      <c r="G73" s="18">
        <f>IF($B73="","",ROUND(IF('Mon prêt'!$C$12=Paramètres!$B$36,'Mon prêt'!$C$7,J72)*'Mon prêt'!$C$13/12,2))</f>
        <v>42</v>
      </c>
      <c r="H73" s="18">
        <f t="shared" si="7"/>
        <v>928.71</v>
      </c>
      <c r="I73" s="18">
        <f t="shared" si="8"/>
        <v>27801.83</v>
      </c>
      <c r="J73" s="31">
        <f t="shared" si="9"/>
        <v>152198.17000000001</v>
      </c>
      <c r="K73" s="18">
        <f t="shared" si="10"/>
        <v>928.71</v>
      </c>
      <c r="L73" s="18">
        <f t="shared" si="11"/>
        <v>886.71</v>
      </c>
    </row>
    <row r="74" spans="2:12" x14ac:dyDescent="0.35">
      <c r="B74" s="29">
        <f>IF(B73="","",IF(B73+1&gt;'Mon prêt'!$C$9,"",B73+1))</f>
        <v>67</v>
      </c>
      <c r="C74" s="30">
        <f>IF($B74="","",EDATE('Mon prêt'!$C$11,B74-1))</f>
        <v>48339</v>
      </c>
      <c r="D74" s="18">
        <f>IF($B74="","",IF(B74='Mon prêt'!$C$9,J73+E74,IF(B74&lt;='Mon prêt'!$C$10,E74,'Mon prêt'!$C$22)))</f>
        <v>886.71</v>
      </c>
      <c r="E74" s="18">
        <f>IF($B74="","",ROUND(J73*'Mon prêt'!$C$8/12,2))</f>
        <v>424.89</v>
      </c>
      <c r="F74" s="18">
        <f t="shared" si="6"/>
        <v>461.82000000000005</v>
      </c>
      <c r="G74" s="18">
        <f>IF($B74="","",ROUND(IF('Mon prêt'!$C$12=Paramètres!$B$36,'Mon prêt'!$C$7,J73)*'Mon prêt'!$C$13/12,2))</f>
        <v>42</v>
      </c>
      <c r="H74" s="18">
        <f t="shared" si="7"/>
        <v>928.71</v>
      </c>
      <c r="I74" s="18">
        <f t="shared" si="8"/>
        <v>28263.65</v>
      </c>
      <c r="J74" s="31">
        <f t="shared" si="9"/>
        <v>151736.35</v>
      </c>
      <c r="K74" s="18">
        <f t="shared" si="10"/>
        <v>928.71</v>
      </c>
      <c r="L74" s="18">
        <f t="shared" si="11"/>
        <v>886.71</v>
      </c>
    </row>
    <row r="75" spans="2:12" x14ac:dyDescent="0.35">
      <c r="B75" s="29">
        <f>IF(B74="","",IF(B74+1&gt;'Mon prêt'!$C$9,"",B74+1))</f>
        <v>68</v>
      </c>
      <c r="C75" s="30">
        <f>IF($B75="","",EDATE('Mon prêt'!$C$11,B75-1))</f>
        <v>48370</v>
      </c>
      <c r="D75" s="18">
        <f>IF($B75="","",IF(B75='Mon prêt'!$C$9,J74+E75,IF(B75&lt;='Mon prêt'!$C$10,E75,'Mon prêt'!$C$22)))</f>
        <v>886.71</v>
      </c>
      <c r="E75" s="18">
        <f>IF($B75="","",ROUND(J74*'Mon prêt'!$C$8/12,2))</f>
        <v>423.6</v>
      </c>
      <c r="F75" s="18">
        <f t="shared" si="6"/>
        <v>463.11</v>
      </c>
      <c r="G75" s="18">
        <f>IF($B75="","",ROUND(IF('Mon prêt'!$C$12=Paramètres!$B$36,'Mon prêt'!$C$7,J74)*'Mon prêt'!$C$13/12,2))</f>
        <v>42</v>
      </c>
      <c r="H75" s="18">
        <f t="shared" si="7"/>
        <v>928.71</v>
      </c>
      <c r="I75" s="18">
        <f t="shared" si="8"/>
        <v>28726.760000000002</v>
      </c>
      <c r="J75" s="31">
        <f t="shared" si="9"/>
        <v>151273.24</v>
      </c>
      <c r="K75" s="18">
        <f t="shared" si="10"/>
        <v>928.71</v>
      </c>
      <c r="L75" s="18">
        <f t="shared" si="11"/>
        <v>886.71</v>
      </c>
    </row>
    <row r="76" spans="2:12" x14ac:dyDescent="0.35">
      <c r="B76" s="29">
        <f>IF(B75="","",IF(B75+1&gt;'Mon prêt'!$C$9,"",B75+1))</f>
        <v>69</v>
      </c>
      <c r="C76" s="30">
        <f>IF($B76="","",EDATE('Mon prêt'!$C$11,B76-1))</f>
        <v>48400</v>
      </c>
      <c r="D76" s="18">
        <f>IF($B76="","",IF(B76='Mon prêt'!$C$9,J75+E76,IF(B76&lt;='Mon prêt'!$C$10,E76,'Mon prêt'!$C$22)))</f>
        <v>886.71</v>
      </c>
      <c r="E76" s="18">
        <f>IF($B76="","",ROUND(J75*'Mon prêt'!$C$8/12,2))</f>
        <v>422.3</v>
      </c>
      <c r="F76" s="18">
        <f t="shared" si="6"/>
        <v>464.41</v>
      </c>
      <c r="G76" s="18">
        <f>IF($B76="","",ROUND(IF('Mon prêt'!$C$12=Paramètres!$B$36,'Mon prêt'!$C$7,J75)*'Mon prêt'!$C$13/12,2))</f>
        <v>42</v>
      </c>
      <c r="H76" s="18">
        <f t="shared" si="7"/>
        <v>928.71</v>
      </c>
      <c r="I76" s="18">
        <f t="shared" si="8"/>
        <v>29191.170000000002</v>
      </c>
      <c r="J76" s="31">
        <f t="shared" si="9"/>
        <v>150808.82999999999</v>
      </c>
      <c r="K76" s="18">
        <f t="shared" si="10"/>
        <v>928.71</v>
      </c>
      <c r="L76" s="18">
        <f t="shared" si="11"/>
        <v>886.71</v>
      </c>
    </row>
    <row r="77" spans="2:12" x14ac:dyDescent="0.35">
      <c r="B77" s="29">
        <f>IF(B76="","",IF(B76+1&gt;'Mon prêt'!$C$9,"",B76+1))</f>
        <v>70</v>
      </c>
      <c r="C77" s="30">
        <f>IF($B77="","",EDATE('Mon prêt'!$C$11,B77-1))</f>
        <v>48431</v>
      </c>
      <c r="D77" s="18">
        <f>IF($B77="","",IF(B77='Mon prêt'!$C$9,J76+E77,IF(B77&lt;='Mon prêt'!$C$10,E77,'Mon prêt'!$C$22)))</f>
        <v>886.71</v>
      </c>
      <c r="E77" s="18">
        <f>IF($B77="","",ROUND(J76*'Mon prêt'!$C$8/12,2))</f>
        <v>421.01</v>
      </c>
      <c r="F77" s="18">
        <f t="shared" si="6"/>
        <v>465.70000000000005</v>
      </c>
      <c r="G77" s="18">
        <f>IF($B77="","",ROUND(IF('Mon prêt'!$C$12=Paramètres!$B$36,'Mon prêt'!$C$7,J76)*'Mon prêt'!$C$13/12,2))</f>
        <v>42</v>
      </c>
      <c r="H77" s="18">
        <f t="shared" si="7"/>
        <v>928.71</v>
      </c>
      <c r="I77" s="18">
        <f t="shared" si="8"/>
        <v>29656.870000000003</v>
      </c>
      <c r="J77" s="31">
        <f t="shared" si="9"/>
        <v>150343.13</v>
      </c>
      <c r="K77" s="18">
        <f t="shared" si="10"/>
        <v>928.71</v>
      </c>
      <c r="L77" s="18">
        <f t="shared" si="11"/>
        <v>886.71</v>
      </c>
    </row>
    <row r="78" spans="2:12" x14ac:dyDescent="0.35">
      <c r="B78" s="29">
        <f>IF(B77="","",IF(B77+1&gt;'Mon prêt'!$C$9,"",B77+1))</f>
        <v>71</v>
      </c>
      <c r="C78" s="30">
        <f>IF($B78="","",EDATE('Mon prêt'!$C$11,B78-1))</f>
        <v>48462</v>
      </c>
      <c r="D78" s="18">
        <f>IF($B78="","",IF(B78='Mon prêt'!$C$9,J77+E78,IF(B78&lt;='Mon prêt'!$C$10,E78,'Mon prêt'!$C$22)))</f>
        <v>886.71</v>
      </c>
      <c r="E78" s="18">
        <f>IF($B78="","",ROUND(J77*'Mon prêt'!$C$8/12,2))</f>
        <v>419.71</v>
      </c>
      <c r="F78" s="18">
        <f t="shared" si="6"/>
        <v>467.00000000000006</v>
      </c>
      <c r="G78" s="18">
        <f>IF($B78="","",ROUND(IF('Mon prêt'!$C$12=Paramètres!$B$36,'Mon prêt'!$C$7,J77)*'Mon prêt'!$C$13/12,2))</f>
        <v>42</v>
      </c>
      <c r="H78" s="18">
        <f t="shared" si="7"/>
        <v>928.71</v>
      </c>
      <c r="I78" s="18">
        <f t="shared" si="8"/>
        <v>30123.870000000003</v>
      </c>
      <c r="J78" s="31">
        <f t="shared" si="9"/>
        <v>149876.13</v>
      </c>
      <c r="K78" s="18">
        <f t="shared" si="10"/>
        <v>928.71</v>
      </c>
      <c r="L78" s="18">
        <f t="shared" si="11"/>
        <v>886.71</v>
      </c>
    </row>
    <row r="79" spans="2:12" x14ac:dyDescent="0.35">
      <c r="B79" s="29">
        <f>IF(B78="","",IF(B78+1&gt;'Mon prêt'!$C$9,"",B78+1))</f>
        <v>72</v>
      </c>
      <c r="C79" s="30">
        <f>IF($B79="","",EDATE('Mon prêt'!$C$11,B79-1))</f>
        <v>48492</v>
      </c>
      <c r="D79" s="18">
        <f>IF($B79="","",IF(B79='Mon prêt'!$C$9,J78+E79,IF(B79&lt;='Mon prêt'!$C$10,E79,'Mon prêt'!$C$22)))</f>
        <v>886.71</v>
      </c>
      <c r="E79" s="18">
        <f>IF($B79="","",ROUND(J78*'Mon prêt'!$C$8/12,2))</f>
        <v>418.4</v>
      </c>
      <c r="F79" s="18">
        <f t="shared" si="6"/>
        <v>468.31000000000006</v>
      </c>
      <c r="G79" s="18">
        <f>IF($B79="","",ROUND(IF('Mon prêt'!$C$12=Paramètres!$B$36,'Mon prêt'!$C$7,J78)*'Mon prêt'!$C$13/12,2))</f>
        <v>42</v>
      </c>
      <c r="H79" s="18">
        <f t="shared" si="7"/>
        <v>928.71</v>
      </c>
      <c r="I79" s="18">
        <f t="shared" si="8"/>
        <v>30592.180000000004</v>
      </c>
      <c r="J79" s="31">
        <f t="shared" si="9"/>
        <v>149407.82</v>
      </c>
      <c r="K79" s="18">
        <f t="shared" si="10"/>
        <v>928.71</v>
      </c>
      <c r="L79" s="18">
        <f t="shared" si="11"/>
        <v>886.71</v>
      </c>
    </row>
    <row r="80" spans="2:12" x14ac:dyDescent="0.35">
      <c r="B80" s="29">
        <f>IF(B79="","",IF(B79+1&gt;'Mon prêt'!$C$9,"",B79+1))</f>
        <v>73</v>
      </c>
      <c r="C80" s="30">
        <f>IF($B80="","",EDATE('Mon prêt'!$C$11,B80-1))</f>
        <v>48523</v>
      </c>
      <c r="D80" s="18">
        <f>IF($B80="","",IF(B80='Mon prêt'!$C$9,J79+E80,IF(B80&lt;='Mon prêt'!$C$10,E80,'Mon prêt'!$C$22)))</f>
        <v>886.71</v>
      </c>
      <c r="E80" s="18">
        <f>IF($B80="","",ROUND(J79*'Mon prêt'!$C$8/12,2))</f>
        <v>417.1</v>
      </c>
      <c r="F80" s="18">
        <f t="shared" si="6"/>
        <v>469.61</v>
      </c>
      <c r="G80" s="18">
        <f>IF($B80="","",ROUND(IF('Mon prêt'!$C$12=Paramètres!$B$36,'Mon prêt'!$C$7,J79)*'Mon prêt'!$C$13/12,2))</f>
        <v>42</v>
      </c>
      <c r="H80" s="18">
        <f t="shared" si="7"/>
        <v>928.71</v>
      </c>
      <c r="I80" s="18">
        <f t="shared" si="8"/>
        <v>31061.790000000005</v>
      </c>
      <c r="J80" s="31">
        <f t="shared" si="9"/>
        <v>148938.21</v>
      </c>
      <c r="K80" s="18">
        <f t="shared" si="10"/>
        <v>928.71</v>
      </c>
      <c r="L80" s="18">
        <f t="shared" si="11"/>
        <v>886.71</v>
      </c>
    </row>
    <row r="81" spans="2:12" x14ac:dyDescent="0.35">
      <c r="B81" s="29">
        <f>IF(B80="","",IF(B80+1&gt;'Mon prêt'!$C$9,"",B80+1))</f>
        <v>74</v>
      </c>
      <c r="C81" s="30">
        <f>IF($B81="","",EDATE('Mon prêt'!$C$11,B81-1))</f>
        <v>48553</v>
      </c>
      <c r="D81" s="18">
        <f>IF($B81="","",IF(B81='Mon prêt'!$C$9,J80+E81,IF(B81&lt;='Mon prêt'!$C$10,E81,'Mon prêt'!$C$22)))</f>
        <v>886.71</v>
      </c>
      <c r="E81" s="18">
        <f>IF($B81="","",ROUND(J80*'Mon prêt'!$C$8/12,2))</f>
        <v>415.79</v>
      </c>
      <c r="F81" s="18">
        <f t="shared" si="6"/>
        <v>470.92</v>
      </c>
      <c r="G81" s="18">
        <f>IF($B81="","",ROUND(IF('Mon prêt'!$C$12=Paramètres!$B$36,'Mon prêt'!$C$7,J80)*'Mon prêt'!$C$13/12,2))</f>
        <v>42</v>
      </c>
      <c r="H81" s="18">
        <f t="shared" si="7"/>
        <v>928.71</v>
      </c>
      <c r="I81" s="18">
        <f t="shared" si="8"/>
        <v>31532.710000000003</v>
      </c>
      <c r="J81" s="31">
        <f t="shared" si="9"/>
        <v>148467.29</v>
      </c>
      <c r="K81" s="18">
        <f t="shared" si="10"/>
        <v>928.71</v>
      </c>
      <c r="L81" s="18">
        <f t="shared" si="11"/>
        <v>886.71</v>
      </c>
    </row>
    <row r="82" spans="2:12" x14ac:dyDescent="0.35">
      <c r="B82" s="29">
        <f>IF(B81="","",IF(B81+1&gt;'Mon prêt'!$C$9,"",B81+1))</f>
        <v>75</v>
      </c>
      <c r="C82" s="30">
        <f>IF($B82="","",EDATE('Mon prêt'!$C$11,B82-1))</f>
        <v>48584</v>
      </c>
      <c r="D82" s="18">
        <f>IF($B82="","",IF(B82='Mon prêt'!$C$9,J81+E82,IF(B82&lt;='Mon prêt'!$C$10,E82,'Mon prêt'!$C$22)))</f>
        <v>886.71</v>
      </c>
      <c r="E82" s="18">
        <f>IF($B82="","",ROUND(J81*'Mon prêt'!$C$8/12,2))</f>
        <v>414.47</v>
      </c>
      <c r="F82" s="18">
        <f t="shared" si="6"/>
        <v>472.24</v>
      </c>
      <c r="G82" s="18">
        <f>IF($B82="","",ROUND(IF('Mon prêt'!$C$12=Paramètres!$B$36,'Mon prêt'!$C$7,J81)*'Mon prêt'!$C$13/12,2))</f>
        <v>42</v>
      </c>
      <c r="H82" s="18">
        <f t="shared" si="7"/>
        <v>928.71</v>
      </c>
      <c r="I82" s="18">
        <f t="shared" si="8"/>
        <v>32004.950000000004</v>
      </c>
      <c r="J82" s="31">
        <f t="shared" si="9"/>
        <v>147995.04999999999</v>
      </c>
      <c r="K82" s="18">
        <f t="shared" si="10"/>
        <v>928.71</v>
      </c>
      <c r="L82" s="18">
        <f t="shared" si="11"/>
        <v>886.71</v>
      </c>
    </row>
    <row r="83" spans="2:12" x14ac:dyDescent="0.35">
      <c r="B83" s="29">
        <f>IF(B82="","",IF(B82+1&gt;'Mon prêt'!$C$9,"",B82+1))</f>
        <v>76</v>
      </c>
      <c r="C83" s="30">
        <f>IF($B83="","",EDATE('Mon prêt'!$C$11,B83-1))</f>
        <v>48615</v>
      </c>
      <c r="D83" s="18">
        <f>IF($B83="","",IF(B83='Mon prêt'!$C$9,J82+E83,IF(B83&lt;='Mon prêt'!$C$10,E83,'Mon prêt'!$C$22)))</f>
        <v>886.71</v>
      </c>
      <c r="E83" s="18">
        <f>IF($B83="","",ROUND(J82*'Mon prêt'!$C$8/12,2))</f>
        <v>413.15</v>
      </c>
      <c r="F83" s="18">
        <f t="shared" si="6"/>
        <v>473.56000000000006</v>
      </c>
      <c r="G83" s="18">
        <f>IF($B83="","",ROUND(IF('Mon prêt'!$C$12=Paramètres!$B$36,'Mon prêt'!$C$7,J82)*'Mon prêt'!$C$13/12,2))</f>
        <v>42</v>
      </c>
      <c r="H83" s="18">
        <f t="shared" si="7"/>
        <v>928.71</v>
      </c>
      <c r="I83" s="18">
        <f t="shared" si="8"/>
        <v>32478.510000000006</v>
      </c>
      <c r="J83" s="31">
        <f t="shared" si="9"/>
        <v>147521.49</v>
      </c>
      <c r="K83" s="18">
        <f t="shared" si="10"/>
        <v>928.71</v>
      </c>
      <c r="L83" s="18">
        <f t="shared" si="11"/>
        <v>886.71</v>
      </c>
    </row>
    <row r="84" spans="2:12" x14ac:dyDescent="0.35">
      <c r="B84" s="29">
        <f>IF(B83="","",IF(B83+1&gt;'Mon prêt'!$C$9,"",B83+1))</f>
        <v>77</v>
      </c>
      <c r="C84" s="30">
        <f>IF($B84="","",EDATE('Mon prêt'!$C$11,B84-1))</f>
        <v>48643</v>
      </c>
      <c r="D84" s="18">
        <f>IF($B84="","",IF(B84='Mon prêt'!$C$9,J83+E84,IF(B84&lt;='Mon prêt'!$C$10,E84,'Mon prêt'!$C$22)))</f>
        <v>886.71</v>
      </c>
      <c r="E84" s="18">
        <f>IF($B84="","",ROUND(J83*'Mon prêt'!$C$8/12,2))</f>
        <v>411.83</v>
      </c>
      <c r="F84" s="18">
        <f t="shared" si="6"/>
        <v>474.88000000000005</v>
      </c>
      <c r="G84" s="18">
        <f>IF($B84="","",ROUND(IF('Mon prêt'!$C$12=Paramètres!$B$36,'Mon prêt'!$C$7,J83)*'Mon prêt'!$C$13/12,2))</f>
        <v>42</v>
      </c>
      <c r="H84" s="18">
        <f t="shared" si="7"/>
        <v>928.71</v>
      </c>
      <c r="I84" s="18">
        <f t="shared" si="8"/>
        <v>32953.390000000007</v>
      </c>
      <c r="J84" s="31">
        <f t="shared" si="9"/>
        <v>147046.60999999999</v>
      </c>
      <c r="K84" s="18">
        <f t="shared" si="10"/>
        <v>928.71</v>
      </c>
      <c r="L84" s="18">
        <f t="shared" si="11"/>
        <v>886.71</v>
      </c>
    </row>
    <row r="85" spans="2:12" x14ac:dyDescent="0.35">
      <c r="B85" s="29">
        <f>IF(B84="","",IF(B84+1&gt;'Mon prêt'!$C$9,"",B84+1))</f>
        <v>78</v>
      </c>
      <c r="C85" s="30">
        <f>IF($B85="","",EDATE('Mon prêt'!$C$11,B85-1))</f>
        <v>48674</v>
      </c>
      <c r="D85" s="18">
        <f>IF($B85="","",IF(B85='Mon prêt'!$C$9,J84+E85,IF(B85&lt;='Mon prêt'!$C$10,E85,'Mon prêt'!$C$22)))</f>
        <v>886.71</v>
      </c>
      <c r="E85" s="18">
        <f>IF($B85="","",ROUND(J84*'Mon prêt'!$C$8/12,2))</f>
        <v>410.51</v>
      </c>
      <c r="F85" s="18">
        <f t="shared" si="6"/>
        <v>476.20000000000005</v>
      </c>
      <c r="G85" s="18">
        <f>IF($B85="","",ROUND(IF('Mon prêt'!$C$12=Paramètres!$B$36,'Mon prêt'!$C$7,J84)*'Mon prêt'!$C$13/12,2))</f>
        <v>42</v>
      </c>
      <c r="H85" s="18">
        <f t="shared" si="7"/>
        <v>928.71</v>
      </c>
      <c r="I85" s="18">
        <f t="shared" si="8"/>
        <v>33429.590000000004</v>
      </c>
      <c r="J85" s="31">
        <f t="shared" si="9"/>
        <v>146570.41</v>
      </c>
      <c r="K85" s="18">
        <f t="shared" si="10"/>
        <v>928.71</v>
      </c>
      <c r="L85" s="18">
        <f t="shared" si="11"/>
        <v>886.71</v>
      </c>
    </row>
    <row r="86" spans="2:12" x14ac:dyDescent="0.35">
      <c r="B86" s="29">
        <f>IF(B85="","",IF(B85+1&gt;'Mon prêt'!$C$9,"",B85+1))</f>
        <v>79</v>
      </c>
      <c r="C86" s="30">
        <f>IF($B86="","",EDATE('Mon prêt'!$C$11,B86-1))</f>
        <v>48704</v>
      </c>
      <c r="D86" s="18">
        <f>IF($B86="","",IF(B86='Mon prêt'!$C$9,J85+E86,IF(B86&lt;='Mon prêt'!$C$10,E86,'Mon prêt'!$C$22)))</f>
        <v>886.71</v>
      </c>
      <c r="E86" s="18">
        <f>IF($B86="","",ROUND(J85*'Mon prêt'!$C$8/12,2))</f>
        <v>409.18</v>
      </c>
      <c r="F86" s="18">
        <f t="shared" si="6"/>
        <v>477.53000000000003</v>
      </c>
      <c r="G86" s="18">
        <f>IF($B86="","",ROUND(IF('Mon prêt'!$C$12=Paramètres!$B$36,'Mon prêt'!$C$7,J85)*'Mon prêt'!$C$13/12,2))</f>
        <v>42</v>
      </c>
      <c r="H86" s="18">
        <f t="shared" si="7"/>
        <v>928.71</v>
      </c>
      <c r="I86" s="18">
        <f t="shared" si="8"/>
        <v>33907.120000000003</v>
      </c>
      <c r="J86" s="31">
        <f t="shared" si="9"/>
        <v>146092.88</v>
      </c>
      <c r="K86" s="18">
        <f t="shared" si="10"/>
        <v>928.71</v>
      </c>
      <c r="L86" s="18">
        <f t="shared" si="11"/>
        <v>886.71</v>
      </c>
    </row>
    <row r="87" spans="2:12" x14ac:dyDescent="0.35">
      <c r="B87" s="29">
        <f>IF(B86="","",IF(B86+1&gt;'Mon prêt'!$C$9,"",B86+1))</f>
        <v>80</v>
      </c>
      <c r="C87" s="30">
        <f>IF($B87="","",EDATE('Mon prêt'!$C$11,B87-1))</f>
        <v>48735</v>
      </c>
      <c r="D87" s="18">
        <f>IF($B87="","",IF(B87='Mon prêt'!$C$9,J86+E87,IF(B87&lt;='Mon prêt'!$C$10,E87,'Mon prêt'!$C$22)))</f>
        <v>886.71</v>
      </c>
      <c r="E87" s="18">
        <f>IF($B87="","",ROUND(J86*'Mon prêt'!$C$8/12,2))</f>
        <v>407.84</v>
      </c>
      <c r="F87" s="18">
        <f t="shared" si="6"/>
        <v>478.87000000000006</v>
      </c>
      <c r="G87" s="18">
        <f>IF($B87="","",ROUND(IF('Mon prêt'!$C$12=Paramètres!$B$36,'Mon prêt'!$C$7,J86)*'Mon prêt'!$C$13/12,2))</f>
        <v>42</v>
      </c>
      <c r="H87" s="18">
        <f t="shared" si="7"/>
        <v>928.71</v>
      </c>
      <c r="I87" s="18">
        <f t="shared" si="8"/>
        <v>34385.990000000005</v>
      </c>
      <c r="J87" s="31">
        <f t="shared" si="9"/>
        <v>145614.01</v>
      </c>
      <c r="K87" s="18">
        <f t="shared" si="10"/>
        <v>928.71</v>
      </c>
      <c r="L87" s="18">
        <f t="shared" si="11"/>
        <v>886.71</v>
      </c>
    </row>
    <row r="88" spans="2:12" x14ac:dyDescent="0.35">
      <c r="B88" s="29">
        <f>IF(B87="","",IF(B87+1&gt;'Mon prêt'!$C$9,"",B87+1))</f>
        <v>81</v>
      </c>
      <c r="C88" s="30">
        <f>IF($B88="","",EDATE('Mon prêt'!$C$11,B88-1))</f>
        <v>48765</v>
      </c>
      <c r="D88" s="18">
        <f>IF($B88="","",IF(B88='Mon prêt'!$C$9,J87+E88,IF(B88&lt;='Mon prêt'!$C$10,E88,'Mon prêt'!$C$22)))</f>
        <v>886.71</v>
      </c>
      <c r="E88" s="18">
        <f>IF($B88="","",ROUND(J87*'Mon prêt'!$C$8/12,2))</f>
        <v>406.51</v>
      </c>
      <c r="F88" s="18">
        <f t="shared" si="6"/>
        <v>480.20000000000005</v>
      </c>
      <c r="G88" s="18">
        <f>IF($B88="","",ROUND(IF('Mon prêt'!$C$12=Paramètres!$B$36,'Mon prêt'!$C$7,J87)*'Mon prêt'!$C$13/12,2))</f>
        <v>42</v>
      </c>
      <c r="H88" s="18">
        <f t="shared" si="7"/>
        <v>928.71</v>
      </c>
      <c r="I88" s="18">
        <f t="shared" si="8"/>
        <v>34866.19</v>
      </c>
      <c r="J88" s="31">
        <f t="shared" si="9"/>
        <v>145133.81</v>
      </c>
      <c r="K88" s="18">
        <f t="shared" si="10"/>
        <v>928.71</v>
      </c>
      <c r="L88" s="18">
        <f t="shared" si="11"/>
        <v>886.71</v>
      </c>
    </row>
    <row r="89" spans="2:12" x14ac:dyDescent="0.35">
      <c r="B89" s="29">
        <f>IF(B88="","",IF(B88+1&gt;'Mon prêt'!$C$9,"",B88+1))</f>
        <v>82</v>
      </c>
      <c r="C89" s="30">
        <f>IF($B89="","",EDATE('Mon prêt'!$C$11,B89-1))</f>
        <v>48796</v>
      </c>
      <c r="D89" s="18">
        <f>IF($B89="","",IF(B89='Mon prêt'!$C$9,J88+E89,IF(B89&lt;='Mon prêt'!$C$10,E89,'Mon prêt'!$C$22)))</f>
        <v>886.71</v>
      </c>
      <c r="E89" s="18">
        <f>IF($B89="","",ROUND(J88*'Mon prêt'!$C$8/12,2))</f>
        <v>405.17</v>
      </c>
      <c r="F89" s="18">
        <f t="shared" si="6"/>
        <v>481.54</v>
      </c>
      <c r="G89" s="18">
        <f>IF($B89="","",ROUND(IF('Mon prêt'!$C$12=Paramètres!$B$36,'Mon prêt'!$C$7,J88)*'Mon prêt'!$C$13/12,2))</f>
        <v>42</v>
      </c>
      <c r="H89" s="18">
        <f t="shared" si="7"/>
        <v>928.71</v>
      </c>
      <c r="I89" s="18">
        <f t="shared" si="8"/>
        <v>35347.730000000003</v>
      </c>
      <c r="J89" s="31">
        <f t="shared" si="9"/>
        <v>144652.26999999999</v>
      </c>
      <c r="K89" s="18">
        <f t="shared" si="10"/>
        <v>928.71</v>
      </c>
      <c r="L89" s="18">
        <f t="shared" si="11"/>
        <v>886.71</v>
      </c>
    </row>
    <row r="90" spans="2:12" x14ac:dyDescent="0.35">
      <c r="B90" s="29">
        <f>IF(B89="","",IF(B89+1&gt;'Mon prêt'!$C$9,"",B89+1))</f>
        <v>83</v>
      </c>
      <c r="C90" s="30">
        <f>IF($B90="","",EDATE('Mon prêt'!$C$11,B90-1))</f>
        <v>48827</v>
      </c>
      <c r="D90" s="18">
        <f>IF($B90="","",IF(B90='Mon prêt'!$C$9,J89+E90,IF(B90&lt;='Mon prêt'!$C$10,E90,'Mon prêt'!$C$22)))</f>
        <v>886.71</v>
      </c>
      <c r="E90" s="18">
        <f>IF($B90="","",ROUND(J89*'Mon prêt'!$C$8/12,2))</f>
        <v>403.82</v>
      </c>
      <c r="F90" s="18">
        <f t="shared" si="6"/>
        <v>482.89000000000004</v>
      </c>
      <c r="G90" s="18">
        <f>IF($B90="","",ROUND(IF('Mon prêt'!$C$12=Paramètres!$B$36,'Mon prêt'!$C$7,J89)*'Mon prêt'!$C$13/12,2))</f>
        <v>42</v>
      </c>
      <c r="H90" s="18">
        <f t="shared" si="7"/>
        <v>928.71</v>
      </c>
      <c r="I90" s="18">
        <f t="shared" si="8"/>
        <v>35830.620000000003</v>
      </c>
      <c r="J90" s="31">
        <f t="shared" si="9"/>
        <v>144169.38</v>
      </c>
      <c r="K90" s="18">
        <f t="shared" si="10"/>
        <v>928.71</v>
      </c>
      <c r="L90" s="18">
        <f t="shared" si="11"/>
        <v>886.71</v>
      </c>
    </row>
    <row r="91" spans="2:12" x14ac:dyDescent="0.35">
      <c r="B91" s="29">
        <f>IF(B90="","",IF(B90+1&gt;'Mon prêt'!$C$9,"",B90+1))</f>
        <v>84</v>
      </c>
      <c r="C91" s="30">
        <f>IF($B91="","",EDATE('Mon prêt'!$C$11,B91-1))</f>
        <v>48857</v>
      </c>
      <c r="D91" s="18">
        <f>IF($B91="","",IF(B91='Mon prêt'!$C$9,J90+E91,IF(B91&lt;='Mon prêt'!$C$10,E91,'Mon prêt'!$C$22)))</f>
        <v>886.71</v>
      </c>
      <c r="E91" s="18">
        <f>IF($B91="","",ROUND(J90*'Mon prêt'!$C$8/12,2))</f>
        <v>402.47</v>
      </c>
      <c r="F91" s="18">
        <f t="shared" si="6"/>
        <v>484.24</v>
      </c>
      <c r="G91" s="18">
        <f>IF($B91="","",ROUND(IF('Mon prêt'!$C$12=Paramètres!$B$36,'Mon prêt'!$C$7,J90)*'Mon prêt'!$C$13/12,2))</f>
        <v>42</v>
      </c>
      <c r="H91" s="18">
        <f t="shared" si="7"/>
        <v>928.71</v>
      </c>
      <c r="I91" s="18">
        <f t="shared" si="8"/>
        <v>36314.86</v>
      </c>
      <c r="J91" s="31">
        <f t="shared" si="9"/>
        <v>143685.14000000001</v>
      </c>
      <c r="K91" s="18">
        <f t="shared" si="10"/>
        <v>928.71</v>
      </c>
      <c r="L91" s="18">
        <f t="shared" si="11"/>
        <v>886.71</v>
      </c>
    </row>
    <row r="92" spans="2:12" x14ac:dyDescent="0.35">
      <c r="B92" s="29">
        <f>IF(B91="","",IF(B91+1&gt;'Mon prêt'!$C$9,"",B91+1))</f>
        <v>85</v>
      </c>
      <c r="C92" s="30">
        <f>IF($B92="","",EDATE('Mon prêt'!$C$11,B92-1))</f>
        <v>48888</v>
      </c>
      <c r="D92" s="18">
        <f>IF($B92="","",IF(B92='Mon prêt'!$C$9,J91+E92,IF(B92&lt;='Mon prêt'!$C$10,E92,'Mon prêt'!$C$22)))</f>
        <v>886.71</v>
      </c>
      <c r="E92" s="18">
        <f>IF($B92="","",ROUND(J91*'Mon prêt'!$C$8/12,2))</f>
        <v>401.12</v>
      </c>
      <c r="F92" s="18">
        <f t="shared" si="6"/>
        <v>485.59000000000003</v>
      </c>
      <c r="G92" s="18">
        <f>IF($B92="","",ROUND(IF('Mon prêt'!$C$12=Paramètres!$B$36,'Mon prêt'!$C$7,J91)*'Mon prêt'!$C$13/12,2))</f>
        <v>42</v>
      </c>
      <c r="H92" s="18">
        <f t="shared" si="7"/>
        <v>928.71</v>
      </c>
      <c r="I92" s="18">
        <f t="shared" si="8"/>
        <v>36800.449999999997</v>
      </c>
      <c r="J92" s="31">
        <f t="shared" si="9"/>
        <v>143199.54999999999</v>
      </c>
      <c r="K92" s="18">
        <f t="shared" si="10"/>
        <v>928.71</v>
      </c>
      <c r="L92" s="18">
        <f t="shared" si="11"/>
        <v>886.71</v>
      </c>
    </row>
    <row r="93" spans="2:12" x14ac:dyDescent="0.35">
      <c r="B93" s="29">
        <f>IF(B92="","",IF(B92+1&gt;'Mon prêt'!$C$9,"",B92+1))</f>
        <v>86</v>
      </c>
      <c r="C93" s="30">
        <f>IF($B93="","",EDATE('Mon prêt'!$C$11,B93-1))</f>
        <v>48918</v>
      </c>
      <c r="D93" s="18">
        <f>IF($B93="","",IF(B93='Mon prêt'!$C$9,J92+E93,IF(B93&lt;='Mon prêt'!$C$10,E93,'Mon prêt'!$C$22)))</f>
        <v>886.71</v>
      </c>
      <c r="E93" s="18">
        <f>IF($B93="","",ROUND(J92*'Mon prêt'!$C$8/12,2))</f>
        <v>399.77</v>
      </c>
      <c r="F93" s="18">
        <f t="shared" si="6"/>
        <v>486.94000000000005</v>
      </c>
      <c r="G93" s="18">
        <f>IF($B93="","",ROUND(IF('Mon prêt'!$C$12=Paramètres!$B$36,'Mon prêt'!$C$7,J92)*'Mon prêt'!$C$13/12,2))</f>
        <v>42</v>
      </c>
      <c r="H93" s="18">
        <f t="shared" si="7"/>
        <v>928.71</v>
      </c>
      <c r="I93" s="18">
        <f t="shared" si="8"/>
        <v>37287.39</v>
      </c>
      <c r="J93" s="31">
        <f t="shared" si="9"/>
        <v>142712.60999999999</v>
      </c>
      <c r="K93" s="18">
        <f t="shared" si="10"/>
        <v>928.71</v>
      </c>
      <c r="L93" s="18">
        <f t="shared" si="11"/>
        <v>886.71</v>
      </c>
    </row>
    <row r="94" spans="2:12" x14ac:dyDescent="0.35">
      <c r="B94" s="29">
        <f>IF(B93="","",IF(B93+1&gt;'Mon prêt'!$C$9,"",B93+1))</f>
        <v>87</v>
      </c>
      <c r="C94" s="30">
        <f>IF($B94="","",EDATE('Mon prêt'!$C$11,B94-1))</f>
        <v>48949</v>
      </c>
      <c r="D94" s="18">
        <f>IF($B94="","",IF(B94='Mon prêt'!$C$9,J93+E94,IF(B94&lt;='Mon prêt'!$C$10,E94,'Mon prêt'!$C$22)))</f>
        <v>886.71</v>
      </c>
      <c r="E94" s="18">
        <f>IF($B94="","",ROUND(J93*'Mon prêt'!$C$8/12,2))</f>
        <v>398.41</v>
      </c>
      <c r="F94" s="18">
        <f t="shared" si="6"/>
        <v>488.3</v>
      </c>
      <c r="G94" s="18">
        <f>IF($B94="","",ROUND(IF('Mon prêt'!$C$12=Paramètres!$B$36,'Mon prêt'!$C$7,J93)*'Mon prêt'!$C$13/12,2))</f>
        <v>42</v>
      </c>
      <c r="H94" s="18">
        <f t="shared" si="7"/>
        <v>928.71</v>
      </c>
      <c r="I94" s="18">
        <f t="shared" si="8"/>
        <v>37775.69</v>
      </c>
      <c r="J94" s="31">
        <f t="shared" si="9"/>
        <v>142224.31</v>
      </c>
      <c r="K94" s="18">
        <f t="shared" si="10"/>
        <v>928.71</v>
      </c>
      <c r="L94" s="18">
        <f t="shared" si="11"/>
        <v>886.71</v>
      </c>
    </row>
    <row r="95" spans="2:12" x14ac:dyDescent="0.35">
      <c r="B95" s="29">
        <f>IF(B94="","",IF(B94+1&gt;'Mon prêt'!$C$9,"",B94+1))</f>
        <v>88</v>
      </c>
      <c r="C95" s="30">
        <f>IF($B95="","",EDATE('Mon prêt'!$C$11,B95-1))</f>
        <v>48980</v>
      </c>
      <c r="D95" s="18">
        <f>IF($B95="","",IF(B95='Mon prêt'!$C$9,J94+E95,IF(B95&lt;='Mon prêt'!$C$10,E95,'Mon prêt'!$C$22)))</f>
        <v>886.71</v>
      </c>
      <c r="E95" s="18">
        <f>IF($B95="","",ROUND(J94*'Mon prêt'!$C$8/12,2))</f>
        <v>397.04</v>
      </c>
      <c r="F95" s="18">
        <f t="shared" si="6"/>
        <v>489.67</v>
      </c>
      <c r="G95" s="18">
        <f>IF($B95="","",ROUND(IF('Mon prêt'!$C$12=Paramètres!$B$36,'Mon prêt'!$C$7,J94)*'Mon prêt'!$C$13/12,2))</f>
        <v>42</v>
      </c>
      <c r="H95" s="18">
        <f t="shared" si="7"/>
        <v>928.71</v>
      </c>
      <c r="I95" s="18">
        <f t="shared" si="8"/>
        <v>38265.360000000001</v>
      </c>
      <c r="J95" s="31">
        <f t="shared" si="9"/>
        <v>141734.64000000001</v>
      </c>
      <c r="K95" s="18">
        <f t="shared" si="10"/>
        <v>928.71</v>
      </c>
      <c r="L95" s="18">
        <f t="shared" si="11"/>
        <v>886.71</v>
      </c>
    </row>
    <row r="96" spans="2:12" x14ac:dyDescent="0.35">
      <c r="B96" s="29">
        <f>IF(B95="","",IF(B95+1&gt;'Mon prêt'!$C$9,"",B95+1))</f>
        <v>89</v>
      </c>
      <c r="C96" s="30">
        <f>IF($B96="","",EDATE('Mon prêt'!$C$11,B96-1))</f>
        <v>49008</v>
      </c>
      <c r="D96" s="18">
        <f>IF($B96="","",IF(B96='Mon prêt'!$C$9,J95+E96,IF(B96&lt;='Mon prêt'!$C$10,E96,'Mon prêt'!$C$22)))</f>
        <v>886.71</v>
      </c>
      <c r="E96" s="18">
        <f>IF($B96="","",ROUND(J95*'Mon prêt'!$C$8/12,2))</f>
        <v>395.68</v>
      </c>
      <c r="F96" s="18">
        <f t="shared" si="6"/>
        <v>491.03000000000003</v>
      </c>
      <c r="G96" s="18">
        <f>IF($B96="","",ROUND(IF('Mon prêt'!$C$12=Paramètres!$B$36,'Mon prêt'!$C$7,J95)*'Mon prêt'!$C$13/12,2))</f>
        <v>42</v>
      </c>
      <c r="H96" s="18">
        <f t="shared" si="7"/>
        <v>928.71</v>
      </c>
      <c r="I96" s="18">
        <f t="shared" si="8"/>
        <v>38756.39</v>
      </c>
      <c r="J96" s="31">
        <f t="shared" si="9"/>
        <v>141243.60999999999</v>
      </c>
      <c r="K96" s="18">
        <f t="shared" si="10"/>
        <v>928.71</v>
      </c>
      <c r="L96" s="18">
        <f t="shared" si="11"/>
        <v>886.71</v>
      </c>
    </row>
    <row r="97" spans="2:12" x14ac:dyDescent="0.35">
      <c r="B97" s="29">
        <f>IF(B96="","",IF(B96+1&gt;'Mon prêt'!$C$9,"",B96+1))</f>
        <v>90</v>
      </c>
      <c r="C97" s="30">
        <f>IF($B97="","",EDATE('Mon prêt'!$C$11,B97-1))</f>
        <v>49039</v>
      </c>
      <c r="D97" s="18">
        <f>IF($B97="","",IF(B97='Mon prêt'!$C$9,J96+E97,IF(B97&lt;='Mon prêt'!$C$10,E97,'Mon prêt'!$C$22)))</f>
        <v>886.71</v>
      </c>
      <c r="E97" s="18">
        <f>IF($B97="","",ROUND(J96*'Mon prêt'!$C$8/12,2))</f>
        <v>394.31</v>
      </c>
      <c r="F97" s="18">
        <f t="shared" si="6"/>
        <v>492.40000000000003</v>
      </c>
      <c r="G97" s="18">
        <f>IF($B97="","",ROUND(IF('Mon prêt'!$C$12=Paramètres!$B$36,'Mon prêt'!$C$7,J96)*'Mon prêt'!$C$13/12,2))</f>
        <v>42</v>
      </c>
      <c r="H97" s="18">
        <f t="shared" si="7"/>
        <v>928.71</v>
      </c>
      <c r="I97" s="18">
        <f t="shared" si="8"/>
        <v>39248.79</v>
      </c>
      <c r="J97" s="31">
        <f t="shared" si="9"/>
        <v>140751.21</v>
      </c>
      <c r="K97" s="18">
        <f t="shared" si="10"/>
        <v>928.71</v>
      </c>
      <c r="L97" s="18">
        <f t="shared" si="11"/>
        <v>886.71</v>
      </c>
    </row>
    <row r="98" spans="2:12" x14ac:dyDescent="0.35">
      <c r="B98" s="29">
        <f>IF(B97="","",IF(B97+1&gt;'Mon prêt'!$C$9,"",B97+1))</f>
        <v>91</v>
      </c>
      <c r="C98" s="30">
        <f>IF($B98="","",EDATE('Mon prêt'!$C$11,B98-1))</f>
        <v>49069</v>
      </c>
      <c r="D98" s="18">
        <f>IF($B98="","",IF(B98='Mon prêt'!$C$9,J97+E98,IF(B98&lt;='Mon prêt'!$C$10,E98,'Mon prêt'!$C$22)))</f>
        <v>886.71</v>
      </c>
      <c r="E98" s="18">
        <f>IF($B98="","",ROUND(J97*'Mon prêt'!$C$8/12,2))</f>
        <v>392.93</v>
      </c>
      <c r="F98" s="18">
        <f t="shared" si="6"/>
        <v>493.78000000000003</v>
      </c>
      <c r="G98" s="18">
        <f>IF($B98="","",ROUND(IF('Mon prêt'!$C$12=Paramètres!$B$36,'Mon prêt'!$C$7,J97)*'Mon prêt'!$C$13/12,2))</f>
        <v>42</v>
      </c>
      <c r="H98" s="18">
        <f t="shared" si="7"/>
        <v>928.71</v>
      </c>
      <c r="I98" s="18">
        <f t="shared" si="8"/>
        <v>39742.57</v>
      </c>
      <c r="J98" s="31">
        <f t="shared" si="9"/>
        <v>140257.43</v>
      </c>
      <c r="K98" s="18">
        <f t="shared" si="10"/>
        <v>928.71</v>
      </c>
      <c r="L98" s="18">
        <f t="shared" si="11"/>
        <v>886.71</v>
      </c>
    </row>
    <row r="99" spans="2:12" x14ac:dyDescent="0.35">
      <c r="B99" s="29">
        <f>IF(B98="","",IF(B98+1&gt;'Mon prêt'!$C$9,"",B98+1))</f>
        <v>92</v>
      </c>
      <c r="C99" s="30">
        <f>IF($B99="","",EDATE('Mon prêt'!$C$11,B99-1))</f>
        <v>49100</v>
      </c>
      <c r="D99" s="18">
        <f>IF($B99="","",IF(B99='Mon prêt'!$C$9,J98+E99,IF(B99&lt;='Mon prêt'!$C$10,E99,'Mon prêt'!$C$22)))</f>
        <v>886.71</v>
      </c>
      <c r="E99" s="18">
        <f>IF($B99="","",ROUND(J98*'Mon prêt'!$C$8/12,2))</f>
        <v>391.55</v>
      </c>
      <c r="F99" s="18">
        <f t="shared" si="6"/>
        <v>495.16</v>
      </c>
      <c r="G99" s="18">
        <f>IF($B99="","",ROUND(IF('Mon prêt'!$C$12=Paramètres!$B$36,'Mon prêt'!$C$7,J98)*'Mon prêt'!$C$13/12,2))</f>
        <v>42</v>
      </c>
      <c r="H99" s="18">
        <f t="shared" si="7"/>
        <v>928.71</v>
      </c>
      <c r="I99" s="18">
        <f t="shared" si="8"/>
        <v>40237.730000000003</v>
      </c>
      <c r="J99" s="31">
        <f t="shared" si="9"/>
        <v>139762.26999999999</v>
      </c>
      <c r="K99" s="18">
        <f t="shared" si="10"/>
        <v>928.71</v>
      </c>
      <c r="L99" s="18">
        <f t="shared" si="11"/>
        <v>886.71</v>
      </c>
    </row>
    <row r="100" spans="2:12" x14ac:dyDescent="0.35">
      <c r="B100" s="29">
        <f>IF(B99="","",IF(B99+1&gt;'Mon prêt'!$C$9,"",B99+1))</f>
        <v>93</v>
      </c>
      <c r="C100" s="30">
        <f>IF($B100="","",EDATE('Mon prêt'!$C$11,B100-1))</f>
        <v>49130</v>
      </c>
      <c r="D100" s="18">
        <f>IF($B100="","",IF(B100='Mon prêt'!$C$9,J99+E100,IF(B100&lt;='Mon prêt'!$C$10,E100,'Mon prêt'!$C$22)))</f>
        <v>886.71</v>
      </c>
      <c r="E100" s="18">
        <f>IF($B100="","",ROUND(J99*'Mon prêt'!$C$8/12,2))</f>
        <v>390.17</v>
      </c>
      <c r="F100" s="18">
        <f t="shared" si="6"/>
        <v>496.54</v>
      </c>
      <c r="G100" s="18">
        <f>IF($B100="","",ROUND(IF('Mon prêt'!$C$12=Paramètres!$B$36,'Mon prêt'!$C$7,J99)*'Mon prêt'!$C$13/12,2))</f>
        <v>42</v>
      </c>
      <c r="H100" s="18">
        <f t="shared" si="7"/>
        <v>928.71</v>
      </c>
      <c r="I100" s="18">
        <f t="shared" si="8"/>
        <v>40734.270000000004</v>
      </c>
      <c r="J100" s="31">
        <f t="shared" si="9"/>
        <v>139265.73000000001</v>
      </c>
      <c r="K100" s="18">
        <f t="shared" si="10"/>
        <v>928.71</v>
      </c>
      <c r="L100" s="18">
        <f t="shared" si="11"/>
        <v>886.71</v>
      </c>
    </row>
    <row r="101" spans="2:12" x14ac:dyDescent="0.35">
      <c r="B101" s="29">
        <f>IF(B100="","",IF(B100+1&gt;'Mon prêt'!$C$9,"",B100+1))</f>
        <v>94</v>
      </c>
      <c r="C101" s="30">
        <f>IF($B101="","",EDATE('Mon prêt'!$C$11,B101-1))</f>
        <v>49161</v>
      </c>
      <c r="D101" s="18">
        <f>IF($B101="","",IF(B101='Mon prêt'!$C$9,J100+E101,IF(B101&lt;='Mon prêt'!$C$10,E101,'Mon prêt'!$C$22)))</f>
        <v>886.71</v>
      </c>
      <c r="E101" s="18">
        <f>IF($B101="","",ROUND(J100*'Mon prêt'!$C$8/12,2))</f>
        <v>388.78</v>
      </c>
      <c r="F101" s="18">
        <f t="shared" si="6"/>
        <v>497.93000000000006</v>
      </c>
      <c r="G101" s="18">
        <f>IF($B101="","",ROUND(IF('Mon prêt'!$C$12=Paramètres!$B$36,'Mon prêt'!$C$7,J100)*'Mon prêt'!$C$13/12,2))</f>
        <v>42</v>
      </c>
      <c r="H101" s="18">
        <f t="shared" si="7"/>
        <v>928.71</v>
      </c>
      <c r="I101" s="18">
        <f t="shared" si="8"/>
        <v>41232.200000000004</v>
      </c>
      <c r="J101" s="31">
        <f t="shared" si="9"/>
        <v>138767.79999999999</v>
      </c>
      <c r="K101" s="18">
        <f t="shared" si="10"/>
        <v>928.71</v>
      </c>
      <c r="L101" s="18">
        <f t="shared" si="11"/>
        <v>886.71</v>
      </c>
    </row>
    <row r="102" spans="2:12" x14ac:dyDescent="0.35">
      <c r="B102" s="29">
        <f>IF(B101="","",IF(B101+1&gt;'Mon prêt'!$C$9,"",B101+1))</f>
        <v>95</v>
      </c>
      <c r="C102" s="30">
        <f>IF($B102="","",EDATE('Mon prêt'!$C$11,B102-1))</f>
        <v>49192</v>
      </c>
      <c r="D102" s="18">
        <f>IF($B102="","",IF(B102='Mon prêt'!$C$9,J101+E102,IF(B102&lt;='Mon prêt'!$C$10,E102,'Mon prêt'!$C$22)))</f>
        <v>886.71</v>
      </c>
      <c r="E102" s="18">
        <f>IF($B102="","",ROUND(J101*'Mon prêt'!$C$8/12,2))</f>
        <v>387.39</v>
      </c>
      <c r="F102" s="18">
        <f t="shared" si="6"/>
        <v>499.32000000000005</v>
      </c>
      <c r="G102" s="18">
        <f>IF($B102="","",ROUND(IF('Mon prêt'!$C$12=Paramètres!$B$36,'Mon prêt'!$C$7,J101)*'Mon prêt'!$C$13/12,2))</f>
        <v>42</v>
      </c>
      <c r="H102" s="18">
        <f t="shared" si="7"/>
        <v>928.71</v>
      </c>
      <c r="I102" s="18">
        <f t="shared" si="8"/>
        <v>41731.520000000004</v>
      </c>
      <c r="J102" s="31">
        <f t="shared" si="9"/>
        <v>138268.48000000001</v>
      </c>
      <c r="K102" s="18">
        <f t="shared" si="10"/>
        <v>928.71</v>
      </c>
      <c r="L102" s="18">
        <f t="shared" si="11"/>
        <v>886.71</v>
      </c>
    </row>
    <row r="103" spans="2:12" x14ac:dyDescent="0.35">
      <c r="B103" s="29">
        <f>IF(B102="","",IF(B102+1&gt;'Mon prêt'!$C$9,"",B102+1))</f>
        <v>96</v>
      </c>
      <c r="C103" s="30">
        <f>IF($B103="","",EDATE('Mon prêt'!$C$11,B103-1))</f>
        <v>49222</v>
      </c>
      <c r="D103" s="18">
        <f>IF($B103="","",IF(B103='Mon prêt'!$C$9,J102+E103,IF(B103&lt;='Mon prêt'!$C$10,E103,'Mon prêt'!$C$22)))</f>
        <v>886.71</v>
      </c>
      <c r="E103" s="18">
        <f>IF($B103="","",ROUND(J102*'Mon prêt'!$C$8/12,2))</f>
        <v>386</v>
      </c>
      <c r="F103" s="18">
        <f t="shared" si="6"/>
        <v>500.71000000000004</v>
      </c>
      <c r="G103" s="18">
        <f>IF($B103="","",ROUND(IF('Mon prêt'!$C$12=Paramètres!$B$36,'Mon prêt'!$C$7,J102)*'Mon prêt'!$C$13/12,2))</f>
        <v>42</v>
      </c>
      <c r="H103" s="18">
        <f t="shared" si="7"/>
        <v>928.71</v>
      </c>
      <c r="I103" s="18">
        <f t="shared" si="8"/>
        <v>42232.23</v>
      </c>
      <c r="J103" s="31">
        <f t="shared" si="9"/>
        <v>137767.76999999999</v>
      </c>
      <c r="K103" s="18">
        <f t="shared" si="10"/>
        <v>928.71</v>
      </c>
      <c r="L103" s="18">
        <f t="shared" si="11"/>
        <v>886.71</v>
      </c>
    </row>
    <row r="104" spans="2:12" x14ac:dyDescent="0.35">
      <c r="B104" s="29">
        <f>IF(B103="","",IF(B103+1&gt;'Mon prêt'!$C$9,"",B103+1))</f>
        <v>97</v>
      </c>
      <c r="C104" s="30">
        <f>IF($B104="","",EDATE('Mon prêt'!$C$11,B104-1))</f>
        <v>49253</v>
      </c>
      <c r="D104" s="18">
        <f>IF($B104="","",IF(B104='Mon prêt'!$C$9,J103+E104,IF(B104&lt;='Mon prêt'!$C$10,E104,'Mon prêt'!$C$22)))</f>
        <v>886.71</v>
      </c>
      <c r="E104" s="18">
        <f>IF($B104="","",ROUND(J103*'Mon prêt'!$C$8/12,2))</f>
        <v>384.6</v>
      </c>
      <c r="F104" s="18">
        <f t="shared" si="6"/>
        <v>502.11</v>
      </c>
      <c r="G104" s="18">
        <f>IF($B104="","",ROUND(IF('Mon prêt'!$C$12=Paramètres!$B$36,'Mon prêt'!$C$7,J103)*'Mon prêt'!$C$13/12,2))</f>
        <v>42</v>
      </c>
      <c r="H104" s="18">
        <f t="shared" si="7"/>
        <v>928.71</v>
      </c>
      <c r="I104" s="18">
        <f t="shared" si="8"/>
        <v>42734.340000000004</v>
      </c>
      <c r="J104" s="31">
        <f t="shared" si="9"/>
        <v>137265.66</v>
      </c>
      <c r="K104" s="18">
        <f t="shared" si="10"/>
        <v>928.71</v>
      </c>
      <c r="L104" s="18">
        <f t="shared" si="11"/>
        <v>886.71</v>
      </c>
    </row>
    <row r="105" spans="2:12" x14ac:dyDescent="0.35">
      <c r="B105" s="29">
        <f>IF(B104="","",IF(B104+1&gt;'Mon prêt'!$C$9,"",B104+1))</f>
        <v>98</v>
      </c>
      <c r="C105" s="30">
        <f>IF($B105="","",EDATE('Mon prêt'!$C$11,B105-1))</f>
        <v>49283</v>
      </c>
      <c r="D105" s="18">
        <f>IF($B105="","",IF(B105='Mon prêt'!$C$9,J104+E105,IF(B105&lt;='Mon prêt'!$C$10,E105,'Mon prêt'!$C$22)))</f>
        <v>886.71</v>
      </c>
      <c r="E105" s="18">
        <f>IF($B105="","",ROUND(J104*'Mon prêt'!$C$8/12,2))</f>
        <v>383.2</v>
      </c>
      <c r="F105" s="18">
        <f t="shared" si="6"/>
        <v>503.51000000000005</v>
      </c>
      <c r="G105" s="18">
        <f>IF($B105="","",ROUND(IF('Mon prêt'!$C$12=Paramètres!$B$36,'Mon prêt'!$C$7,J104)*'Mon prêt'!$C$13/12,2))</f>
        <v>42</v>
      </c>
      <c r="H105" s="18">
        <f t="shared" si="7"/>
        <v>928.71</v>
      </c>
      <c r="I105" s="18">
        <f t="shared" si="8"/>
        <v>43237.850000000006</v>
      </c>
      <c r="J105" s="31">
        <f t="shared" si="9"/>
        <v>136762.15</v>
      </c>
      <c r="K105" s="18">
        <f t="shared" si="10"/>
        <v>928.71</v>
      </c>
      <c r="L105" s="18">
        <f t="shared" si="11"/>
        <v>886.71</v>
      </c>
    </row>
    <row r="106" spans="2:12" x14ac:dyDescent="0.35">
      <c r="B106" s="29">
        <f>IF(B105="","",IF(B105+1&gt;'Mon prêt'!$C$9,"",B105+1))</f>
        <v>99</v>
      </c>
      <c r="C106" s="30">
        <f>IF($B106="","",EDATE('Mon prêt'!$C$11,B106-1))</f>
        <v>49314</v>
      </c>
      <c r="D106" s="18">
        <f>IF($B106="","",IF(B106='Mon prêt'!$C$9,J105+E106,IF(B106&lt;='Mon prêt'!$C$10,E106,'Mon prêt'!$C$22)))</f>
        <v>886.71</v>
      </c>
      <c r="E106" s="18">
        <f>IF($B106="","",ROUND(J105*'Mon prêt'!$C$8/12,2))</f>
        <v>381.79</v>
      </c>
      <c r="F106" s="18">
        <f t="shared" si="6"/>
        <v>504.92</v>
      </c>
      <c r="G106" s="18">
        <f>IF($B106="","",ROUND(IF('Mon prêt'!$C$12=Paramètres!$B$36,'Mon prêt'!$C$7,J105)*'Mon prêt'!$C$13/12,2))</f>
        <v>42</v>
      </c>
      <c r="H106" s="18">
        <f t="shared" si="7"/>
        <v>928.71</v>
      </c>
      <c r="I106" s="18">
        <f t="shared" si="8"/>
        <v>43742.770000000004</v>
      </c>
      <c r="J106" s="31">
        <f t="shared" si="9"/>
        <v>136257.23000000001</v>
      </c>
      <c r="K106" s="18">
        <f t="shared" si="10"/>
        <v>928.71</v>
      </c>
      <c r="L106" s="18">
        <f t="shared" si="11"/>
        <v>886.71</v>
      </c>
    </row>
    <row r="107" spans="2:12" x14ac:dyDescent="0.35">
      <c r="B107" s="29">
        <f>IF(B106="","",IF(B106+1&gt;'Mon prêt'!$C$9,"",B106+1))</f>
        <v>100</v>
      </c>
      <c r="C107" s="30">
        <f>IF($B107="","",EDATE('Mon prêt'!$C$11,B107-1))</f>
        <v>49345</v>
      </c>
      <c r="D107" s="18">
        <f>IF($B107="","",IF(B107='Mon prêt'!$C$9,J106+E107,IF(B107&lt;='Mon prêt'!$C$10,E107,'Mon prêt'!$C$22)))</f>
        <v>886.71</v>
      </c>
      <c r="E107" s="18">
        <f>IF($B107="","",ROUND(J106*'Mon prêt'!$C$8/12,2))</f>
        <v>380.38</v>
      </c>
      <c r="F107" s="18">
        <f t="shared" si="6"/>
        <v>506.33000000000004</v>
      </c>
      <c r="G107" s="18">
        <f>IF($B107="","",ROUND(IF('Mon prêt'!$C$12=Paramètres!$B$36,'Mon prêt'!$C$7,J106)*'Mon prêt'!$C$13/12,2))</f>
        <v>42</v>
      </c>
      <c r="H107" s="18">
        <f t="shared" si="7"/>
        <v>928.71</v>
      </c>
      <c r="I107" s="18">
        <f t="shared" si="8"/>
        <v>44249.100000000006</v>
      </c>
      <c r="J107" s="31">
        <f t="shared" si="9"/>
        <v>135750.9</v>
      </c>
      <c r="K107" s="18">
        <f t="shared" si="10"/>
        <v>928.71</v>
      </c>
      <c r="L107" s="18">
        <f t="shared" si="11"/>
        <v>886.71</v>
      </c>
    </row>
    <row r="108" spans="2:12" x14ac:dyDescent="0.35">
      <c r="B108" s="29">
        <f>IF(B107="","",IF(B107+1&gt;'Mon prêt'!$C$9,"",B107+1))</f>
        <v>101</v>
      </c>
      <c r="C108" s="30">
        <f>IF($B108="","",EDATE('Mon prêt'!$C$11,B108-1))</f>
        <v>49373</v>
      </c>
      <c r="D108" s="18">
        <f>IF($B108="","",IF(B108='Mon prêt'!$C$9,J107+E108,IF(B108&lt;='Mon prêt'!$C$10,E108,'Mon prêt'!$C$22)))</f>
        <v>886.71</v>
      </c>
      <c r="E108" s="18">
        <f>IF($B108="","",ROUND(J107*'Mon prêt'!$C$8/12,2))</f>
        <v>378.97</v>
      </c>
      <c r="F108" s="18">
        <f t="shared" si="6"/>
        <v>507.74</v>
      </c>
      <c r="G108" s="18">
        <f>IF($B108="","",ROUND(IF('Mon prêt'!$C$12=Paramètres!$B$36,'Mon prêt'!$C$7,J107)*'Mon prêt'!$C$13/12,2))</f>
        <v>42</v>
      </c>
      <c r="H108" s="18">
        <f t="shared" si="7"/>
        <v>928.71</v>
      </c>
      <c r="I108" s="18">
        <f t="shared" si="8"/>
        <v>44756.840000000004</v>
      </c>
      <c r="J108" s="31">
        <f t="shared" si="9"/>
        <v>135243.16</v>
      </c>
      <c r="K108" s="18">
        <f t="shared" si="10"/>
        <v>928.71</v>
      </c>
      <c r="L108" s="18">
        <f t="shared" si="11"/>
        <v>886.71</v>
      </c>
    </row>
    <row r="109" spans="2:12" x14ac:dyDescent="0.35">
      <c r="B109" s="29">
        <f>IF(B108="","",IF(B108+1&gt;'Mon prêt'!$C$9,"",B108+1))</f>
        <v>102</v>
      </c>
      <c r="C109" s="30">
        <f>IF($B109="","",EDATE('Mon prêt'!$C$11,B109-1))</f>
        <v>49404</v>
      </c>
      <c r="D109" s="18">
        <f>IF($B109="","",IF(B109='Mon prêt'!$C$9,J108+E109,IF(B109&lt;='Mon prêt'!$C$10,E109,'Mon prêt'!$C$22)))</f>
        <v>886.71</v>
      </c>
      <c r="E109" s="18">
        <f>IF($B109="","",ROUND(J108*'Mon prêt'!$C$8/12,2))</f>
        <v>377.55</v>
      </c>
      <c r="F109" s="18">
        <f t="shared" si="6"/>
        <v>509.16</v>
      </c>
      <c r="G109" s="18">
        <f>IF($B109="","",ROUND(IF('Mon prêt'!$C$12=Paramètres!$B$36,'Mon prêt'!$C$7,J108)*'Mon prêt'!$C$13/12,2))</f>
        <v>42</v>
      </c>
      <c r="H109" s="18">
        <f t="shared" si="7"/>
        <v>928.71</v>
      </c>
      <c r="I109" s="18">
        <f t="shared" si="8"/>
        <v>45266.000000000007</v>
      </c>
      <c r="J109" s="31">
        <f t="shared" si="9"/>
        <v>134734</v>
      </c>
      <c r="K109" s="18">
        <f t="shared" si="10"/>
        <v>928.71</v>
      </c>
      <c r="L109" s="18">
        <f t="shared" si="11"/>
        <v>886.71</v>
      </c>
    </row>
    <row r="110" spans="2:12" x14ac:dyDescent="0.35">
      <c r="B110" s="29">
        <f>IF(B109="","",IF(B109+1&gt;'Mon prêt'!$C$9,"",B109+1))</f>
        <v>103</v>
      </c>
      <c r="C110" s="30">
        <f>IF($B110="","",EDATE('Mon prêt'!$C$11,B110-1))</f>
        <v>49434</v>
      </c>
      <c r="D110" s="18">
        <f>IF($B110="","",IF(B110='Mon prêt'!$C$9,J109+E110,IF(B110&lt;='Mon prêt'!$C$10,E110,'Mon prêt'!$C$22)))</f>
        <v>886.71</v>
      </c>
      <c r="E110" s="18">
        <f>IF($B110="","",ROUND(J109*'Mon prêt'!$C$8/12,2))</f>
        <v>376.13</v>
      </c>
      <c r="F110" s="18">
        <f t="shared" si="6"/>
        <v>510.58000000000004</v>
      </c>
      <c r="G110" s="18">
        <f>IF($B110="","",ROUND(IF('Mon prêt'!$C$12=Paramètres!$B$36,'Mon prêt'!$C$7,J109)*'Mon prêt'!$C$13/12,2))</f>
        <v>42</v>
      </c>
      <c r="H110" s="18">
        <f t="shared" si="7"/>
        <v>928.71</v>
      </c>
      <c r="I110" s="18">
        <f t="shared" si="8"/>
        <v>45776.580000000009</v>
      </c>
      <c r="J110" s="31">
        <f t="shared" si="9"/>
        <v>134223.42000000001</v>
      </c>
      <c r="K110" s="18">
        <f t="shared" si="10"/>
        <v>928.71</v>
      </c>
      <c r="L110" s="18">
        <f t="shared" si="11"/>
        <v>886.71</v>
      </c>
    </row>
    <row r="111" spans="2:12" x14ac:dyDescent="0.35">
      <c r="B111" s="29">
        <f>IF(B110="","",IF(B110+1&gt;'Mon prêt'!$C$9,"",B110+1))</f>
        <v>104</v>
      </c>
      <c r="C111" s="30">
        <f>IF($B111="","",EDATE('Mon prêt'!$C$11,B111-1))</f>
        <v>49465</v>
      </c>
      <c r="D111" s="18">
        <f>IF($B111="","",IF(B111='Mon prêt'!$C$9,J110+E111,IF(B111&lt;='Mon prêt'!$C$10,E111,'Mon prêt'!$C$22)))</f>
        <v>886.71</v>
      </c>
      <c r="E111" s="18">
        <f>IF($B111="","",ROUND(J110*'Mon prêt'!$C$8/12,2))</f>
        <v>374.71</v>
      </c>
      <c r="F111" s="18">
        <f t="shared" si="6"/>
        <v>512</v>
      </c>
      <c r="G111" s="18">
        <f>IF($B111="","",ROUND(IF('Mon prêt'!$C$12=Paramètres!$B$36,'Mon prêt'!$C$7,J110)*'Mon prêt'!$C$13/12,2))</f>
        <v>42</v>
      </c>
      <c r="H111" s="18">
        <f t="shared" si="7"/>
        <v>928.71</v>
      </c>
      <c r="I111" s="18">
        <f t="shared" si="8"/>
        <v>46288.580000000009</v>
      </c>
      <c r="J111" s="31">
        <f t="shared" si="9"/>
        <v>133711.42000000001</v>
      </c>
      <c r="K111" s="18">
        <f t="shared" si="10"/>
        <v>928.71</v>
      </c>
      <c r="L111" s="18">
        <f t="shared" si="11"/>
        <v>886.71</v>
      </c>
    </row>
    <row r="112" spans="2:12" x14ac:dyDescent="0.35">
      <c r="B112" s="29">
        <f>IF(B111="","",IF(B111+1&gt;'Mon prêt'!$C$9,"",B111+1))</f>
        <v>105</v>
      </c>
      <c r="C112" s="30">
        <f>IF($B112="","",EDATE('Mon prêt'!$C$11,B112-1))</f>
        <v>49495</v>
      </c>
      <c r="D112" s="18">
        <f>IF($B112="","",IF(B112='Mon prêt'!$C$9,J111+E112,IF(B112&lt;='Mon prêt'!$C$10,E112,'Mon prêt'!$C$22)))</f>
        <v>886.71</v>
      </c>
      <c r="E112" s="18">
        <f>IF($B112="","",ROUND(J111*'Mon prêt'!$C$8/12,2))</f>
        <v>373.28</v>
      </c>
      <c r="F112" s="18">
        <f t="shared" si="6"/>
        <v>513.43000000000006</v>
      </c>
      <c r="G112" s="18">
        <f>IF($B112="","",ROUND(IF('Mon prêt'!$C$12=Paramètres!$B$36,'Mon prêt'!$C$7,J111)*'Mon prêt'!$C$13/12,2))</f>
        <v>42</v>
      </c>
      <c r="H112" s="18">
        <f t="shared" si="7"/>
        <v>928.71</v>
      </c>
      <c r="I112" s="18">
        <f t="shared" si="8"/>
        <v>46802.010000000009</v>
      </c>
      <c r="J112" s="31">
        <f t="shared" si="9"/>
        <v>133197.99</v>
      </c>
      <c r="K112" s="18">
        <f t="shared" si="10"/>
        <v>928.71</v>
      </c>
      <c r="L112" s="18">
        <f t="shared" si="11"/>
        <v>886.71</v>
      </c>
    </row>
    <row r="113" spans="2:12" x14ac:dyDescent="0.35">
      <c r="B113" s="29">
        <f>IF(B112="","",IF(B112+1&gt;'Mon prêt'!$C$9,"",B112+1))</f>
        <v>106</v>
      </c>
      <c r="C113" s="30">
        <f>IF($B113="","",EDATE('Mon prêt'!$C$11,B113-1))</f>
        <v>49526</v>
      </c>
      <c r="D113" s="18">
        <f>IF($B113="","",IF(B113='Mon prêt'!$C$9,J112+E113,IF(B113&lt;='Mon prêt'!$C$10,E113,'Mon prêt'!$C$22)))</f>
        <v>886.71</v>
      </c>
      <c r="E113" s="18">
        <f>IF($B113="","",ROUND(J112*'Mon prêt'!$C$8/12,2))</f>
        <v>371.84</v>
      </c>
      <c r="F113" s="18">
        <f t="shared" si="6"/>
        <v>514.87000000000012</v>
      </c>
      <c r="G113" s="18">
        <f>IF($B113="","",ROUND(IF('Mon prêt'!$C$12=Paramètres!$B$36,'Mon prêt'!$C$7,J112)*'Mon prêt'!$C$13/12,2))</f>
        <v>42</v>
      </c>
      <c r="H113" s="18">
        <f t="shared" si="7"/>
        <v>928.71</v>
      </c>
      <c r="I113" s="18">
        <f t="shared" si="8"/>
        <v>47316.880000000012</v>
      </c>
      <c r="J113" s="31">
        <f t="shared" si="9"/>
        <v>132683.12</v>
      </c>
      <c r="K113" s="18">
        <f t="shared" si="10"/>
        <v>928.71</v>
      </c>
      <c r="L113" s="18">
        <f t="shared" si="11"/>
        <v>886.71</v>
      </c>
    </row>
    <row r="114" spans="2:12" x14ac:dyDescent="0.35">
      <c r="B114" s="29">
        <f>IF(B113="","",IF(B113+1&gt;'Mon prêt'!$C$9,"",B113+1))</f>
        <v>107</v>
      </c>
      <c r="C114" s="30">
        <f>IF($B114="","",EDATE('Mon prêt'!$C$11,B114-1))</f>
        <v>49557</v>
      </c>
      <c r="D114" s="18">
        <f>IF($B114="","",IF(B114='Mon prêt'!$C$9,J113+E114,IF(B114&lt;='Mon prêt'!$C$10,E114,'Mon prêt'!$C$22)))</f>
        <v>886.71</v>
      </c>
      <c r="E114" s="18">
        <f>IF($B114="","",ROUND(J113*'Mon prêt'!$C$8/12,2))</f>
        <v>370.41</v>
      </c>
      <c r="F114" s="18">
        <f t="shared" si="6"/>
        <v>516.29999999999995</v>
      </c>
      <c r="G114" s="18">
        <f>IF($B114="","",ROUND(IF('Mon prêt'!$C$12=Paramètres!$B$36,'Mon prêt'!$C$7,J113)*'Mon prêt'!$C$13/12,2))</f>
        <v>42</v>
      </c>
      <c r="H114" s="18">
        <f t="shared" si="7"/>
        <v>928.71</v>
      </c>
      <c r="I114" s="18">
        <f t="shared" si="8"/>
        <v>47833.180000000015</v>
      </c>
      <c r="J114" s="31">
        <f t="shared" si="9"/>
        <v>132166.82</v>
      </c>
      <c r="K114" s="18">
        <f t="shared" si="10"/>
        <v>928.71</v>
      </c>
      <c r="L114" s="18">
        <f t="shared" si="11"/>
        <v>886.71</v>
      </c>
    </row>
    <row r="115" spans="2:12" x14ac:dyDescent="0.35">
      <c r="B115" s="29">
        <f>IF(B114="","",IF(B114+1&gt;'Mon prêt'!$C$9,"",B114+1))</f>
        <v>108</v>
      </c>
      <c r="C115" s="30">
        <f>IF($B115="","",EDATE('Mon prêt'!$C$11,B115-1))</f>
        <v>49587</v>
      </c>
      <c r="D115" s="18">
        <f>IF($B115="","",IF(B115='Mon prêt'!$C$9,J114+E115,IF(B115&lt;='Mon prêt'!$C$10,E115,'Mon prêt'!$C$22)))</f>
        <v>886.71</v>
      </c>
      <c r="E115" s="18">
        <f>IF($B115="","",ROUND(J114*'Mon prêt'!$C$8/12,2))</f>
        <v>368.97</v>
      </c>
      <c r="F115" s="18">
        <f t="shared" si="6"/>
        <v>517.74</v>
      </c>
      <c r="G115" s="18">
        <f>IF($B115="","",ROUND(IF('Mon prêt'!$C$12=Paramètres!$B$36,'Mon prêt'!$C$7,J114)*'Mon prêt'!$C$13/12,2))</f>
        <v>42</v>
      </c>
      <c r="H115" s="18">
        <f t="shared" si="7"/>
        <v>928.71</v>
      </c>
      <c r="I115" s="18">
        <f t="shared" si="8"/>
        <v>48350.920000000013</v>
      </c>
      <c r="J115" s="31">
        <f t="shared" si="9"/>
        <v>131649.07999999999</v>
      </c>
      <c r="K115" s="18">
        <f t="shared" si="10"/>
        <v>928.71</v>
      </c>
      <c r="L115" s="18">
        <f t="shared" si="11"/>
        <v>886.71</v>
      </c>
    </row>
    <row r="116" spans="2:12" x14ac:dyDescent="0.35">
      <c r="B116" s="29">
        <f>IF(B115="","",IF(B115+1&gt;'Mon prêt'!$C$9,"",B115+1))</f>
        <v>109</v>
      </c>
      <c r="C116" s="30">
        <f>IF($B116="","",EDATE('Mon prêt'!$C$11,B116-1))</f>
        <v>49618</v>
      </c>
      <c r="D116" s="18">
        <f>IF($B116="","",IF(B116='Mon prêt'!$C$9,J115+E116,IF(B116&lt;='Mon prêt'!$C$10,E116,'Mon prêt'!$C$22)))</f>
        <v>886.71</v>
      </c>
      <c r="E116" s="18">
        <f>IF($B116="","",ROUND(J115*'Mon prêt'!$C$8/12,2))</f>
        <v>367.52</v>
      </c>
      <c r="F116" s="18">
        <f t="shared" si="6"/>
        <v>519.19000000000005</v>
      </c>
      <c r="G116" s="18">
        <f>IF($B116="","",ROUND(IF('Mon prêt'!$C$12=Paramètres!$B$36,'Mon prêt'!$C$7,J115)*'Mon prêt'!$C$13/12,2))</f>
        <v>42</v>
      </c>
      <c r="H116" s="18">
        <f t="shared" si="7"/>
        <v>928.71</v>
      </c>
      <c r="I116" s="18">
        <f t="shared" si="8"/>
        <v>48870.110000000015</v>
      </c>
      <c r="J116" s="31">
        <f t="shared" si="9"/>
        <v>131129.89000000001</v>
      </c>
      <c r="K116" s="18">
        <f t="shared" si="10"/>
        <v>928.71</v>
      </c>
      <c r="L116" s="18">
        <f t="shared" si="11"/>
        <v>886.71</v>
      </c>
    </row>
    <row r="117" spans="2:12" x14ac:dyDescent="0.35">
      <c r="B117" s="29">
        <f>IF(B116="","",IF(B116+1&gt;'Mon prêt'!$C$9,"",B116+1))</f>
        <v>110</v>
      </c>
      <c r="C117" s="30">
        <f>IF($B117="","",EDATE('Mon prêt'!$C$11,B117-1))</f>
        <v>49648</v>
      </c>
      <c r="D117" s="18">
        <f>IF($B117="","",IF(B117='Mon prêt'!$C$9,J116+E117,IF(B117&lt;='Mon prêt'!$C$10,E117,'Mon prêt'!$C$22)))</f>
        <v>886.71</v>
      </c>
      <c r="E117" s="18">
        <f>IF($B117="","",ROUND(J116*'Mon prêt'!$C$8/12,2))</f>
        <v>366.07</v>
      </c>
      <c r="F117" s="18">
        <f t="shared" si="6"/>
        <v>520.6400000000001</v>
      </c>
      <c r="G117" s="18">
        <f>IF($B117="","",ROUND(IF('Mon prêt'!$C$12=Paramètres!$B$36,'Mon prêt'!$C$7,J116)*'Mon prêt'!$C$13/12,2))</f>
        <v>42</v>
      </c>
      <c r="H117" s="18">
        <f t="shared" si="7"/>
        <v>928.71</v>
      </c>
      <c r="I117" s="18">
        <f t="shared" si="8"/>
        <v>49390.750000000015</v>
      </c>
      <c r="J117" s="31">
        <f t="shared" si="9"/>
        <v>130609.25</v>
      </c>
      <c r="K117" s="18">
        <f t="shared" si="10"/>
        <v>928.71</v>
      </c>
      <c r="L117" s="18">
        <f t="shared" si="11"/>
        <v>886.71</v>
      </c>
    </row>
    <row r="118" spans="2:12" x14ac:dyDescent="0.35">
      <c r="B118" s="29">
        <f>IF(B117="","",IF(B117+1&gt;'Mon prêt'!$C$9,"",B117+1))</f>
        <v>111</v>
      </c>
      <c r="C118" s="30">
        <f>IF($B118="","",EDATE('Mon prêt'!$C$11,B118-1))</f>
        <v>49679</v>
      </c>
      <c r="D118" s="18">
        <f>IF($B118="","",IF(B118='Mon prêt'!$C$9,J117+E118,IF(B118&lt;='Mon prêt'!$C$10,E118,'Mon prêt'!$C$22)))</f>
        <v>886.71</v>
      </c>
      <c r="E118" s="18">
        <f>IF($B118="","",ROUND(J117*'Mon prêt'!$C$8/12,2))</f>
        <v>364.62</v>
      </c>
      <c r="F118" s="18">
        <f t="shared" si="6"/>
        <v>522.09</v>
      </c>
      <c r="G118" s="18">
        <f>IF($B118="","",ROUND(IF('Mon prêt'!$C$12=Paramètres!$B$36,'Mon prêt'!$C$7,J117)*'Mon prêt'!$C$13/12,2))</f>
        <v>42</v>
      </c>
      <c r="H118" s="18">
        <f t="shared" si="7"/>
        <v>928.71</v>
      </c>
      <c r="I118" s="18">
        <f t="shared" si="8"/>
        <v>49912.840000000011</v>
      </c>
      <c r="J118" s="31">
        <f t="shared" si="9"/>
        <v>130087.16</v>
      </c>
      <c r="K118" s="18">
        <f t="shared" si="10"/>
        <v>928.71</v>
      </c>
      <c r="L118" s="18">
        <f t="shared" si="11"/>
        <v>886.71</v>
      </c>
    </row>
    <row r="119" spans="2:12" x14ac:dyDescent="0.35">
      <c r="B119" s="29">
        <f>IF(B118="","",IF(B118+1&gt;'Mon prêt'!$C$9,"",B118+1))</f>
        <v>112</v>
      </c>
      <c r="C119" s="30">
        <f>IF($B119="","",EDATE('Mon prêt'!$C$11,B119-1))</f>
        <v>49710</v>
      </c>
      <c r="D119" s="18">
        <f>IF($B119="","",IF(B119='Mon prêt'!$C$9,J118+E119,IF(B119&lt;='Mon prêt'!$C$10,E119,'Mon prêt'!$C$22)))</f>
        <v>886.71</v>
      </c>
      <c r="E119" s="18">
        <f>IF($B119="","",ROUND(J118*'Mon prêt'!$C$8/12,2))</f>
        <v>363.16</v>
      </c>
      <c r="F119" s="18">
        <f t="shared" si="6"/>
        <v>523.54999999999995</v>
      </c>
      <c r="G119" s="18">
        <f>IF($B119="","",ROUND(IF('Mon prêt'!$C$12=Paramètres!$B$36,'Mon prêt'!$C$7,J118)*'Mon prêt'!$C$13/12,2))</f>
        <v>42</v>
      </c>
      <c r="H119" s="18">
        <f t="shared" si="7"/>
        <v>928.71</v>
      </c>
      <c r="I119" s="18">
        <f t="shared" si="8"/>
        <v>50436.390000000014</v>
      </c>
      <c r="J119" s="31">
        <f t="shared" si="9"/>
        <v>129563.61</v>
      </c>
      <c r="K119" s="18">
        <f t="shared" si="10"/>
        <v>928.71</v>
      </c>
      <c r="L119" s="18">
        <f t="shared" si="11"/>
        <v>886.71</v>
      </c>
    </row>
    <row r="120" spans="2:12" x14ac:dyDescent="0.35">
      <c r="B120" s="29">
        <f>IF(B119="","",IF(B119+1&gt;'Mon prêt'!$C$9,"",B119+1))</f>
        <v>113</v>
      </c>
      <c r="C120" s="30">
        <f>IF($B120="","",EDATE('Mon prêt'!$C$11,B120-1))</f>
        <v>49739</v>
      </c>
      <c r="D120" s="18">
        <f>IF($B120="","",IF(B120='Mon prêt'!$C$9,J119+E120,IF(B120&lt;='Mon prêt'!$C$10,E120,'Mon prêt'!$C$22)))</f>
        <v>886.71</v>
      </c>
      <c r="E120" s="18">
        <f>IF($B120="","",ROUND(J119*'Mon prêt'!$C$8/12,2))</f>
        <v>361.7</v>
      </c>
      <c r="F120" s="18">
        <f t="shared" si="6"/>
        <v>525.01</v>
      </c>
      <c r="G120" s="18">
        <f>IF($B120="","",ROUND(IF('Mon prêt'!$C$12=Paramètres!$B$36,'Mon prêt'!$C$7,J119)*'Mon prêt'!$C$13/12,2))</f>
        <v>42</v>
      </c>
      <c r="H120" s="18">
        <f t="shared" si="7"/>
        <v>928.71</v>
      </c>
      <c r="I120" s="18">
        <f t="shared" si="8"/>
        <v>50961.400000000016</v>
      </c>
      <c r="J120" s="31">
        <f t="shared" si="9"/>
        <v>129038.6</v>
      </c>
      <c r="K120" s="18">
        <f t="shared" si="10"/>
        <v>928.71</v>
      </c>
      <c r="L120" s="18">
        <f t="shared" si="11"/>
        <v>886.71</v>
      </c>
    </row>
    <row r="121" spans="2:12" x14ac:dyDescent="0.35">
      <c r="B121" s="29">
        <f>IF(B120="","",IF(B120+1&gt;'Mon prêt'!$C$9,"",B120+1))</f>
        <v>114</v>
      </c>
      <c r="C121" s="30">
        <f>IF($B121="","",EDATE('Mon prêt'!$C$11,B121-1))</f>
        <v>49770</v>
      </c>
      <c r="D121" s="18">
        <f>IF($B121="","",IF(B121='Mon prêt'!$C$9,J120+E121,IF(B121&lt;='Mon prêt'!$C$10,E121,'Mon prêt'!$C$22)))</f>
        <v>886.71</v>
      </c>
      <c r="E121" s="18">
        <f>IF($B121="","",ROUND(J120*'Mon prêt'!$C$8/12,2))</f>
        <v>360.23</v>
      </c>
      <c r="F121" s="18">
        <f t="shared" si="6"/>
        <v>526.48</v>
      </c>
      <c r="G121" s="18">
        <f>IF($B121="","",ROUND(IF('Mon prêt'!$C$12=Paramètres!$B$36,'Mon prêt'!$C$7,J120)*'Mon prêt'!$C$13/12,2))</f>
        <v>42</v>
      </c>
      <c r="H121" s="18">
        <f t="shared" si="7"/>
        <v>928.71</v>
      </c>
      <c r="I121" s="18">
        <f t="shared" si="8"/>
        <v>51487.880000000019</v>
      </c>
      <c r="J121" s="31">
        <f t="shared" si="9"/>
        <v>128512.12</v>
      </c>
      <c r="K121" s="18">
        <f t="shared" si="10"/>
        <v>928.71</v>
      </c>
      <c r="L121" s="18">
        <f t="shared" si="11"/>
        <v>886.71</v>
      </c>
    </row>
    <row r="122" spans="2:12" x14ac:dyDescent="0.35">
      <c r="B122" s="29">
        <f>IF(B121="","",IF(B121+1&gt;'Mon prêt'!$C$9,"",B121+1))</f>
        <v>115</v>
      </c>
      <c r="C122" s="30">
        <f>IF($B122="","",EDATE('Mon prêt'!$C$11,B122-1))</f>
        <v>49800</v>
      </c>
      <c r="D122" s="18">
        <f>IF($B122="","",IF(B122='Mon prêt'!$C$9,J121+E122,IF(B122&lt;='Mon prêt'!$C$10,E122,'Mon prêt'!$C$22)))</f>
        <v>886.71</v>
      </c>
      <c r="E122" s="18">
        <f>IF($B122="","",ROUND(J121*'Mon prêt'!$C$8/12,2))</f>
        <v>358.76</v>
      </c>
      <c r="F122" s="18">
        <f t="shared" si="6"/>
        <v>527.95000000000005</v>
      </c>
      <c r="G122" s="18">
        <f>IF($B122="","",ROUND(IF('Mon prêt'!$C$12=Paramètres!$B$36,'Mon prêt'!$C$7,J121)*'Mon prêt'!$C$13/12,2))</f>
        <v>42</v>
      </c>
      <c r="H122" s="18">
        <f t="shared" si="7"/>
        <v>928.71</v>
      </c>
      <c r="I122" s="18">
        <f t="shared" si="8"/>
        <v>52015.830000000016</v>
      </c>
      <c r="J122" s="31">
        <f t="shared" si="9"/>
        <v>127984.17</v>
      </c>
      <c r="K122" s="18">
        <f t="shared" si="10"/>
        <v>928.71</v>
      </c>
      <c r="L122" s="18">
        <f t="shared" si="11"/>
        <v>886.71</v>
      </c>
    </row>
    <row r="123" spans="2:12" x14ac:dyDescent="0.35">
      <c r="B123" s="29">
        <f>IF(B122="","",IF(B122+1&gt;'Mon prêt'!$C$9,"",B122+1))</f>
        <v>116</v>
      </c>
      <c r="C123" s="30">
        <f>IF($B123="","",EDATE('Mon prêt'!$C$11,B123-1))</f>
        <v>49831</v>
      </c>
      <c r="D123" s="18">
        <f>IF($B123="","",IF(B123='Mon prêt'!$C$9,J122+E123,IF(B123&lt;='Mon prêt'!$C$10,E123,'Mon prêt'!$C$22)))</f>
        <v>886.71</v>
      </c>
      <c r="E123" s="18">
        <f>IF($B123="","",ROUND(J122*'Mon prêt'!$C$8/12,2))</f>
        <v>357.29</v>
      </c>
      <c r="F123" s="18">
        <f t="shared" si="6"/>
        <v>529.42000000000007</v>
      </c>
      <c r="G123" s="18">
        <f>IF($B123="","",ROUND(IF('Mon prêt'!$C$12=Paramètres!$B$36,'Mon prêt'!$C$7,J122)*'Mon prêt'!$C$13/12,2))</f>
        <v>42</v>
      </c>
      <c r="H123" s="18">
        <f t="shared" si="7"/>
        <v>928.71</v>
      </c>
      <c r="I123" s="18">
        <f t="shared" si="8"/>
        <v>52545.250000000015</v>
      </c>
      <c r="J123" s="31">
        <f t="shared" si="9"/>
        <v>127454.75</v>
      </c>
      <c r="K123" s="18">
        <f t="shared" si="10"/>
        <v>928.71</v>
      </c>
      <c r="L123" s="18">
        <f t="shared" si="11"/>
        <v>886.71</v>
      </c>
    </row>
    <row r="124" spans="2:12" x14ac:dyDescent="0.35">
      <c r="B124" s="29">
        <f>IF(B123="","",IF(B123+1&gt;'Mon prêt'!$C$9,"",B123+1))</f>
        <v>117</v>
      </c>
      <c r="C124" s="30">
        <f>IF($B124="","",EDATE('Mon prêt'!$C$11,B124-1))</f>
        <v>49861</v>
      </c>
      <c r="D124" s="18">
        <f>IF($B124="","",IF(B124='Mon prêt'!$C$9,J123+E124,IF(B124&lt;='Mon prêt'!$C$10,E124,'Mon prêt'!$C$22)))</f>
        <v>886.71</v>
      </c>
      <c r="E124" s="18">
        <f>IF($B124="","",ROUND(J123*'Mon prêt'!$C$8/12,2))</f>
        <v>355.81</v>
      </c>
      <c r="F124" s="18">
        <f t="shared" si="6"/>
        <v>530.90000000000009</v>
      </c>
      <c r="G124" s="18">
        <f>IF($B124="","",ROUND(IF('Mon prêt'!$C$12=Paramètres!$B$36,'Mon prêt'!$C$7,J123)*'Mon prêt'!$C$13/12,2))</f>
        <v>42</v>
      </c>
      <c r="H124" s="18">
        <f t="shared" si="7"/>
        <v>928.71</v>
      </c>
      <c r="I124" s="18">
        <f t="shared" si="8"/>
        <v>53076.150000000016</v>
      </c>
      <c r="J124" s="31">
        <f t="shared" si="9"/>
        <v>126923.85</v>
      </c>
      <c r="K124" s="18">
        <f t="shared" si="10"/>
        <v>928.71</v>
      </c>
      <c r="L124" s="18">
        <f t="shared" si="11"/>
        <v>886.71</v>
      </c>
    </row>
    <row r="125" spans="2:12" x14ac:dyDescent="0.35">
      <c r="B125" s="29">
        <f>IF(B124="","",IF(B124+1&gt;'Mon prêt'!$C$9,"",B124+1))</f>
        <v>118</v>
      </c>
      <c r="C125" s="30">
        <f>IF($B125="","",EDATE('Mon prêt'!$C$11,B125-1))</f>
        <v>49892</v>
      </c>
      <c r="D125" s="18">
        <f>IF($B125="","",IF(B125='Mon prêt'!$C$9,J124+E125,IF(B125&lt;='Mon prêt'!$C$10,E125,'Mon prêt'!$C$22)))</f>
        <v>886.71</v>
      </c>
      <c r="E125" s="18">
        <f>IF($B125="","",ROUND(J124*'Mon prêt'!$C$8/12,2))</f>
        <v>354.33</v>
      </c>
      <c r="F125" s="18">
        <f t="shared" si="6"/>
        <v>532.38000000000011</v>
      </c>
      <c r="G125" s="18">
        <f>IF($B125="","",ROUND(IF('Mon prêt'!$C$12=Paramètres!$B$36,'Mon prêt'!$C$7,J124)*'Mon prêt'!$C$13/12,2))</f>
        <v>42</v>
      </c>
      <c r="H125" s="18">
        <f t="shared" si="7"/>
        <v>928.71</v>
      </c>
      <c r="I125" s="18">
        <f t="shared" si="8"/>
        <v>53608.530000000013</v>
      </c>
      <c r="J125" s="31">
        <f t="shared" si="9"/>
        <v>126391.47</v>
      </c>
      <c r="K125" s="18">
        <f t="shared" si="10"/>
        <v>928.71</v>
      </c>
      <c r="L125" s="18">
        <f t="shared" si="11"/>
        <v>886.71</v>
      </c>
    </row>
    <row r="126" spans="2:12" x14ac:dyDescent="0.35">
      <c r="B126" s="29">
        <f>IF(B125="","",IF(B125+1&gt;'Mon prêt'!$C$9,"",B125+1))</f>
        <v>119</v>
      </c>
      <c r="C126" s="30">
        <f>IF($B126="","",EDATE('Mon prêt'!$C$11,B126-1))</f>
        <v>49923</v>
      </c>
      <c r="D126" s="18">
        <f>IF($B126="","",IF(B126='Mon prêt'!$C$9,J125+E126,IF(B126&lt;='Mon prêt'!$C$10,E126,'Mon prêt'!$C$22)))</f>
        <v>886.71</v>
      </c>
      <c r="E126" s="18">
        <f>IF($B126="","",ROUND(J125*'Mon prêt'!$C$8/12,2))</f>
        <v>352.84</v>
      </c>
      <c r="F126" s="18">
        <f t="shared" si="6"/>
        <v>533.87000000000012</v>
      </c>
      <c r="G126" s="18">
        <f>IF($B126="","",ROUND(IF('Mon prêt'!$C$12=Paramètres!$B$36,'Mon prêt'!$C$7,J125)*'Mon prêt'!$C$13/12,2))</f>
        <v>42</v>
      </c>
      <c r="H126" s="18">
        <f t="shared" si="7"/>
        <v>928.71</v>
      </c>
      <c r="I126" s="18">
        <f t="shared" si="8"/>
        <v>54142.400000000016</v>
      </c>
      <c r="J126" s="31">
        <f t="shared" si="9"/>
        <v>125857.60000000001</v>
      </c>
      <c r="K126" s="18">
        <f t="shared" si="10"/>
        <v>928.71</v>
      </c>
      <c r="L126" s="18">
        <f t="shared" si="11"/>
        <v>886.71</v>
      </c>
    </row>
    <row r="127" spans="2:12" x14ac:dyDescent="0.35">
      <c r="B127" s="29">
        <f>IF(B126="","",IF(B126+1&gt;'Mon prêt'!$C$9,"",B126+1))</f>
        <v>120</v>
      </c>
      <c r="C127" s="30">
        <f>IF($B127="","",EDATE('Mon prêt'!$C$11,B127-1))</f>
        <v>49953</v>
      </c>
      <c r="D127" s="18">
        <f>IF($B127="","",IF(B127='Mon prêt'!$C$9,J126+E127,IF(B127&lt;='Mon prêt'!$C$10,E127,'Mon prêt'!$C$22)))</f>
        <v>886.71</v>
      </c>
      <c r="E127" s="18">
        <f>IF($B127="","",ROUND(J126*'Mon prêt'!$C$8/12,2))</f>
        <v>351.35</v>
      </c>
      <c r="F127" s="18">
        <f t="shared" si="6"/>
        <v>535.36</v>
      </c>
      <c r="G127" s="18">
        <f>IF($B127="","",ROUND(IF('Mon prêt'!$C$12=Paramètres!$B$36,'Mon prêt'!$C$7,J126)*'Mon prêt'!$C$13/12,2))</f>
        <v>42</v>
      </c>
      <c r="H127" s="18">
        <f t="shared" si="7"/>
        <v>928.71</v>
      </c>
      <c r="I127" s="18">
        <f t="shared" si="8"/>
        <v>54677.760000000017</v>
      </c>
      <c r="J127" s="31">
        <f t="shared" si="9"/>
        <v>125322.24000000001</v>
      </c>
      <c r="K127" s="18">
        <f t="shared" si="10"/>
        <v>928.71</v>
      </c>
      <c r="L127" s="18">
        <f t="shared" si="11"/>
        <v>886.71</v>
      </c>
    </row>
    <row r="128" spans="2:12" x14ac:dyDescent="0.35">
      <c r="B128" s="29">
        <f>IF(B127="","",IF(B127+1&gt;'Mon prêt'!$C$9,"",B127+1))</f>
        <v>121</v>
      </c>
      <c r="C128" s="30">
        <f>IF($B128="","",EDATE('Mon prêt'!$C$11,B128-1))</f>
        <v>49984</v>
      </c>
      <c r="D128" s="18">
        <f>IF($B128="","",IF(B128='Mon prêt'!$C$9,J127+E128,IF(B128&lt;='Mon prêt'!$C$10,E128,'Mon prêt'!$C$22)))</f>
        <v>886.71</v>
      </c>
      <c r="E128" s="18">
        <f>IF($B128="","",ROUND(J127*'Mon prêt'!$C$8/12,2))</f>
        <v>349.86</v>
      </c>
      <c r="F128" s="18">
        <f t="shared" si="6"/>
        <v>536.85</v>
      </c>
      <c r="G128" s="18">
        <f>IF($B128="","",ROUND(IF('Mon prêt'!$C$12=Paramètres!$B$36,'Mon prêt'!$C$7,J127)*'Mon prêt'!$C$13/12,2))</f>
        <v>42</v>
      </c>
      <c r="H128" s="18">
        <f t="shared" si="7"/>
        <v>928.71</v>
      </c>
      <c r="I128" s="18">
        <f t="shared" si="8"/>
        <v>55214.610000000015</v>
      </c>
      <c r="J128" s="31">
        <f t="shared" si="9"/>
        <v>124785.39</v>
      </c>
      <c r="K128" s="18">
        <f t="shared" si="10"/>
        <v>928.71</v>
      </c>
      <c r="L128" s="18">
        <f t="shared" si="11"/>
        <v>886.71</v>
      </c>
    </row>
    <row r="129" spans="2:12" x14ac:dyDescent="0.35">
      <c r="B129" s="29">
        <f>IF(B128="","",IF(B128+1&gt;'Mon prêt'!$C$9,"",B128+1))</f>
        <v>122</v>
      </c>
      <c r="C129" s="30">
        <f>IF($B129="","",EDATE('Mon prêt'!$C$11,B129-1))</f>
        <v>50014</v>
      </c>
      <c r="D129" s="18">
        <f>IF($B129="","",IF(B129='Mon prêt'!$C$9,J128+E129,IF(B129&lt;='Mon prêt'!$C$10,E129,'Mon prêt'!$C$22)))</f>
        <v>886.71</v>
      </c>
      <c r="E129" s="18">
        <f>IF($B129="","",ROUND(J128*'Mon prêt'!$C$8/12,2))</f>
        <v>348.36</v>
      </c>
      <c r="F129" s="18">
        <f t="shared" si="6"/>
        <v>538.35</v>
      </c>
      <c r="G129" s="18">
        <f>IF($B129="","",ROUND(IF('Mon prêt'!$C$12=Paramètres!$B$36,'Mon prêt'!$C$7,J128)*'Mon prêt'!$C$13/12,2))</f>
        <v>42</v>
      </c>
      <c r="H129" s="18">
        <f t="shared" si="7"/>
        <v>928.71</v>
      </c>
      <c r="I129" s="18">
        <f t="shared" si="8"/>
        <v>55752.960000000014</v>
      </c>
      <c r="J129" s="31">
        <f t="shared" si="9"/>
        <v>124247.03999999999</v>
      </c>
      <c r="K129" s="18">
        <f t="shared" si="10"/>
        <v>928.71</v>
      </c>
      <c r="L129" s="18">
        <f t="shared" si="11"/>
        <v>886.71</v>
      </c>
    </row>
    <row r="130" spans="2:12" x14ac:dyDescent="0.35">
      <c r="B130" s="29">
        <f>IF(B129="","",IF(B129+1&gt;'Mon prêt'!$C$9,"",B129+1))</f>
        <v>123</v>
      </c>
      <c r="C130" s="30">
        <f>IF($B130="","",EDATE('Mon prêt'!$C$11,B130-1))</f>
        <v>50045</v>
      </c>
      <c r="D130" s="18">
        <f>IF($B130="","",IF(B130='Mon prêt'!$C$9,J129+E130,IF(B130&lt;='Mon prêt'!$C$10,E130,'Mon prêt'!$C$22)))</f>
        <v>886.71</v>
      </c>
      <c r="E130" s="18">
        <f>IF($B130="","",ROUND(J129*'Mon prêt'!$C$8/12,2))</f>
        <v>346.86</v>
      </c>
      <c r="F130" s="18">
        <f t="shared" si="6"/>
        <v>539.85</v>
      </c>
      <c r="G130" s="18">
        <f>IF($B130="","",ROUND(IF('Mon prêt'!$C$12=Paramètres!$B$36,'Mon prêt'!$C$7,J129)*'Mon prêt'!$C$13/12,2))</f>
        <v>42</v>
      </c>
      <c r="H130" s="18">
        <f t="shared" si="7"/>
        <v>928.71</v>
      </c>
      <c r="I130" s="18">
        <f t="shared" si="8"/>
        <v>56292.810000000012</v>
      </c>
      <c r="J130" s="31">
        <f t="shared" si="9"/>
        <v>123707.19</v>
      </c>
      <c r="K130" s="18">
        <f t="shared" si="10"/>
        <v>928.71</v>
      </c>
      <c r="L130" s="18">
        <f t="shared" si="11"/>
        <v>886.71</v>
      </c>
    </row>
    <row r="131" spans="2:12" x14ac:dyDescent="0.35">
      <c r="B131" s="29">
        <f>IF(B130="","",IF(B130+1&gt;'Mon prêt'!$C$9,"",B130+1))</f>
        <v>124</v>
      </c>
      <c r="C131" s="30">
        <f>IF($B131="","",EDATE('Mon prêt'!$C$11,B131-1))</f>
        <v>50076</v>
      </c>
      <c r="D131" s="18">
        <f>IF($B131="","",IF(B131='Mon prêt'!$C$9,J130+E131,IF(B131&lt;='Mon prêt'!$C$10,E131,'Mon prêt'!$C$22)))</f>
        <v>886.71</v>
      </c>
      <c r="E131" s="18">
        <f>IF($B131="","",ROUND(J130*'Mon prêt'!$C$8/12,2))</f>
        <v>345.35</v>
      </c>
      <c r="F131" s="18">
        <f t="shared" si="6"/>
        <v>541.36</v>
      </c>
      <c r="G131" s="18">
        <f>IF($B131="","",ROUND(IF('Mon prêt'!$C$12=Paramètres!$B$36,'Mon prêt'!$C$7,J130)*'Mon prêt'!$C$13/12,2))</f>
        <v>42</v>
      </c>
      <c r="H131" s="18">
        <f t="shared" si="7"/>
        <v>928.71</v>
      </c>
      <c r="I131" s="18">
        <f t="shared" si="8"/>
        <v>56834.170000000013</v>
      </c>
      <c r="J131" s="31">
        <f t="shared" si="9"/>
        <v>123165.83</v>
      </c>
      <c r="K131" s="18">
        <f t="shared" si="10"/>
        <v>928.71</v>
      </c>
      <c r="L131" s="18">
        <f t="shared" si="11"/>
        <v>886.71</v>
      </c>
    </row>
    <row r="132" spans="2:12" x14ac:dyDescent="0.35">
      <c r="B132" s="29">
        <f>IF(B131="","",IF(B131+1&gt;'Mon prêt'!$C$9,"",B131+1))</f>
        <v>125</v>
      </c>
      <c r="C132" s="30">
        <f>IF($B132="","",EDATE('Mon prêt'!$C$11,B132-1))</f>
        <v>50104</v>
      </c>
      <c r="D132" s="18">
        <f>IF($B132="","",IF(B132='Mon prêt'!$C$9,J131+E132,IF(B132&lt;='Mon prêt'!$C$10,E132,'Mon prêt'!$C$22)))</f>
        <v>886.71</v>
      </c>
      <c r="E132" s="18">
        <f>IF($B132="","",ROUND(J131*'Mon prêt'!$C$8/12,2))</f>
        <v>343.84</v>
      </c>
      <c r="F132" s="18">
        <f t="shared" si="6"/>
        <v>542.87000000000012</v>
      </c>
      <c r="G132" s="18">
        <f>IF($B132="","",ROUND(IF('Mon prêt'!$C$12=Paramètres!$B$36,'Mon prêt'!$C$7,J131)*'Mon prêt'!$C$13/12,2))</f>
        <v>42</v>
      </c>
      <c r="H132" s="18">
        <f t="shared" si="7"/>
        <v>928.71</v>
      </c>
      <c r="I132" s="18">
        <f t="shared" si="8"/>
        <v>57377.040000000015</v>
      </c>
      <c r="J132" s="31">
        <f t="shared" si="9"/>
        <v>122622.96</v>
      </c>
      <c r="K132" s="18">
        <f t="shared" si="10"/>
        <v>928.71</v>
      </c>
      <c r="L132" s="18">
        <f t="shared" si="11"/>
        <v>886.71</v>
      </c>
    </row>
    <row r="133" spans="2:12" x14ac:dyDescent="0.35">
      <c r="B133" s="29">
        <f>IF(B132="","",IF(B132+1&gt;'Mon prêt'!$C$9,"",B132+1))</f>
        <v>126</v>
      </c>
      <c r="C133" s="30">
        <f>IF($B133="","",EDATE('Mon prêt'!$C$11,B133-1))</f>
        <v>50135</v>
      </c>
      <c r="D133" s="18">
        <f>IF($B133="","",IF(B133='Mon prêt'!$C$9,J132+E133,IF(B133&lt;='Mon prêt'!$C$10,E133,'Mon prêt'!$C$22)))</f>
        <v>886.71</v>
      </c>
      <c r="E133" s="18">
        <f>IF($B133="","",ROUND(J132*'Mon prêt'!$C$8/12,2))</f>
        <v>342.32</v>
      </c>
      <c r="F133" s="18">
        <f t="shared" si="6"/>
        <v>544.3900000000001</v>
      </c>
      <c r="G133" s="18">
        <f>IF($B133="","",ROUND(IF('Mon prêt'!$C$12=Paramètres!$B$36,'Mon prêt'!$C$7,J132)*'Mon prêt'!$C$13/12,2))</f>
        <v>42</v>
      </c>
      <c r="H133" s="18">
        <f t="shared" si="7"/>
        <v>928.71</v>
      </c>
      <c r="I133" s="18">
        <f t="shared" si="8"/>
        <v>57921.430000000015</v>
      </c>
      <c r="J133" s="31">
        <f t="shared" si="9"/>
        <v>122078.57</v>
      </c>
      <c r="K133" s="18">
        <f t="shared" si="10"/>
        <v>928.71</v>
      </c>
      <c r="L133" s="18">
        <f t="shared" si="11"/>
        <v>886.71</v>
      </c>
    </row>
    <row r="134" spans="2:12" x14ac:dyDescent="0.35">
      <c r="B134" s="29">
        <f>IF(B133="","",IF(B133+1&gt;'Mon prêt'!$C$9,"",B133+1))</f>
        <v>127</v>
      </c>
      <c r="C134" s="30">
        <f>IF($B134="","",EDATE('Mon prêt'!$C$11,B134-1))</f>
        <v>50165</v>
      </c>
      <c r="D134" s="18">
        <f>IF($B134="","",IF(B134='Mon prêt'!$C$9,J133+E134,IF(B134&lt;='Mon prêt'!$C$10,E134,'Mon prêt'!$C$22)))</f>
        <v>886.71</v>
      </c>
      <c r="E134" s="18">
        <f>IF($B134="","",ROUND(J133*'Mon prêt'!$C$8/12,2))</f>
        <v>340.8</v>
      </c>
      <c r="F134" s="18">
        <f t="shared" si="6"/>
        <v>545.91000000000008</v>
      </c>
      <c r="G134" s="18">
        <f>IF($B134="","",ROUND(IF('Mon prêt'!$C$12=Paramètres!$B$36,'Mon prêt'!$C$7,J133)*'Mon prêt'!$C$13/12,2))</f>
        <v>42</v>
      </c>
      <c r="H134" s="18">
        <f t="shared" si="7"/>
        <v>928.71</v>
      </c>
      <c r="I134" s="18">
        <f t="shared" si="8"/>
        <v>58467.340000000018</v>
      </c>
      <c r="J134" s="31">
        <f t="shared" si="9"/>
        <v>121532.66</v>
      </c>
      <c r="K134" s="18">
        <f t="shared" si="10"/>
        <v>928.71</v>
      </c>
      <c r="L134" s="18">
        <f t="shared" si="11"/>
        <v>886.71</v>
      </c>
    </row>
    <row r="135" spans="2:12" x14ac:dyDescent="0.35">
      <c r="B135" s="29">
        <f>IF(B134="","",IF(B134+1&gt;'Mon prêt'!$C$9,"",B134+1))</f>
        <v>128</v>
      </c>
      <c r="C135" s="30">
        <f>IF($B135="","",EDATE('Mon prêt'!$C$11,B135-1))</f>
        <v>50196</v>
      </c>
      <c r="D135" s="18">
        <f>IF($B135="","",IF(B135='Mon prêt'!$C$9,J134+E135,IF(B135&lt;='Mon prêt'!$C$10,E135,'Mon prêt'!$C$22)))</f>
        <v>886.71</v>
      </c>
      <c r="E135" s="18">
        <f>IF($B135="","",ROUND(J134*'Mon prêt'!$C$8/12,2))</f>
        <v>339.28</v>
      </c>
      <c r="F135" s="18">
        <f t="shared" si="6"/>
        <v>547.43000000000006</v>
      </c>
      <c r="G135" s="18">
        <f>IF($B135="","",ROUND(IF('Mon prêt'!$C$12=Paramètres!$B$36,'Mon prêt'!$C$7,J134)*'Mon prêt'!$C$13/12,2))</f>
        <v>42</v>
      </c>
      <c r="H135" s="18">
        <f t="shared" si="7"/>
        <v>928.71</v>
      </c>
      <c r="I135" s="18">
        <f t="shared" si="8"/>
        <v>59014.770000000019</v>
      </c>
      <c r="J135" s="31">
        <f t="shared" si="9"/>
        <v>120985.23</v>
      </c>
      <c r="K135" s="18">
        <f t="shared" si="10"/>
        <v>928.71</v>
      </c>
      <c r="L135" s="18">
        <f t="shared" si="11"/>
        <v>886.71</v>
      </c>
    </row>
    <row r="136" spans="2:12" x14ac:dyDescent="0.35">
      <c r="B136" s="29">
        <f>IF(B135="","",IF(B135+1&gt;'Mon prêt'!$C$9,"",B135+1))</f>
        <v>129</v>
      </c>
      <c r="C136" s="30">
        <f>IF($B136="","",EDATE('Mon prêt'!$C$11,B136-1))</f>
        <v>50226</v>
      </c>
      <c r="D136" s="18">
        <f>IF($B136="","",IF(B136='Mon prêt'!$C$9,J135+E136,IF(B136&lt;='Mon prêt'!$C$10,E136,'Mon prêt'!$C$22)))</f>
        <v>886.71</v>
      </c>
      <c r="E136" s="18">
        <f>IF($B136="","",ROUND(J135*'Mon prêt'!$C$8/12,2))</f>
        <v>337.75</v>
      </c>
      <c r="F136" s="18">
        <f t="shared" ref="F136:F199" si="12">IF($B136="","",D136-E136)</f>
        <v>548.96</v>
      </c>
      <c r="G136" s="18">
        <f>IF($B136="","",ROUND(IF('Mon prêt'!$C$12=Paramètres!$B$36,'Mon prêt'!$C$7,J135)*'Mon prêt'!$C$13/12,2))</f>
        <v>42</v>
      </c>
      <c r="H136" s="18">
        <f t="shared" ref="H136:H199" si="13">IF($B136="","",D136+G136)</f>
        <v>928.71</v>
      </c>
      <c r="I136" s="18">
        <f t="shared" ref="I136:I199" si="14">IF($B136="","",I135+F136)</f>
        <v>59563.730000000018</v>
      </c>
      <c r="J136" s="31">
        <f t="shared" ref="J136:J199" si="15">IF($B136="","",ROUND(J135-F136,2))</f>
        <v>120436.27</v>
      </c>
      <c r="K136" s="18">
        <f t="shared" ref="K136:K199" si="16">IF($B136="","",H136)</f>
        <v>928.71</v>
      </c>
      <c r="L136" s="18">
        <f t="shared" ref="L136:L199" si="17">IF($B136="","",D136)</f>
        <v>886.71</v>
      </c>
    </row>
    <row r="137" spans="2:12" x14ac:dyDescent="0.35">
      <c r="B137" s="29">
        <f>IF(B136="","",IF(B136+1&gt;'Mon prêt'!$C$9,"",B136+1))</f>
        <v>130</v>
      </c>
      <c r="C137" s="30">
        <f>IF($B137="","",EDATE('Mon prêt'!$C$11,B137-1))</f>
        <v>50257</v>
      </c>
      <c r="D137" s="18">
        <f>IF($B137="","",IF(B137='Mon prêt'!$C$9,J136+E137,IF(B137&lt;='Mon prêt'!$C$10,E137,'Mon prêt'!$C$22)))</f>
        <v>886.71</v>
      </c>
      <c r="E137" s="18">
        <f>IF($B137="","",ROUND(J136*'Mon prêt'!$C$8/12,2))</f>
        <v>336.22</v>
      </c>
      <c r="F137" s="18">
        <f t="shared" si="12"/>
        <v>550.49</v>
      </c>
      <c r="G137" s="18">
        <f>IF($B137="","",ROUND(IF('Mon prêt'!$C$12=Paramètres!$B$36,'Mon prêt'!$C$7,J136)*'Mon prêt'!$C$13/12,2))</f>
        <v>42</v>
      </c>
      <c r="H137" s="18">
        <f t="shared" si="13"/>
        <v>928.71</v>
      </c>
      <c r="I137" s="18">
        <f t="shared" si="14"/>
        <v>60114.220000000016</v>
      </c>
      <c r="J137" s="31">
        <f t="shared" si="15"/>
        <v>119885.78</v>
      </c>
      <c r="K137" s="18">
        <f t="shared" si="16"/>
        <v>928.71</v>
      </c>
      <c r="L137" s="18">
        <f t="shared" si="17"/>
        <v>886.71</v>
      </c>
    </row>
    <row r="138" spans="2:12" x14ac:dyDescent="0.35">
      <c r="B138" s="29">
        <f>IF(B137="","",IF(B137+1&gt;'Mon prêt'!$C$9,"",B137+1))</f>
        <v>131</v>
      </c>
      <c r="C138" s="30">
        <f>IF($B138="","",EDATE('Mon prêt'!$C$11,B138-1))</f>
        <v>50288</v>
      </c>
      <c r="D138" s="18">
        <f>IF($B138="","",IF(B138='Mon prêt'!$C$9,J137+E138,IF(B138&lt;='Mon prêt'!$C$10,E138,'Mon prêt'!$C$22)))</f>
        <v>886.71</v>
      </c>
      <c r="E138" s="18">
        <f>IF($B138="","",ROUND(J137*'Mon prêt'!$C$8/12,2))</f>
        <v>334.68</v>
      </c>
      <c r="F138" s="18">
        <f t="shared" si="12"/>
        <v>552.03</v>
      </c>
      <c r="G138" s="18">
        <f>IF($B138="","",ROUND(IF('Mon prêt'!$C$12=Paramètres!$B$36,'Mon prêt'!$C$7,J137)*'Mon prêt'!$C$13/12,2))</f>
        <v>42</v>
      </c>
      <c r="H138" s="18">
        <f t="shared" si="13"/>
        <v>928.71</v>
      </c>
      <c r="I138" s="18">
        <f t="shared" si="14"/>
        <v>60666.250000000015</v>
      </c>
      <c r="J138" s="31">
        <f t="shared" si="15"/>
        <v>119333.75</v>
      </c>
      <c r="K138" s="18">
        <f t="shared" si="16"/>
        <v>928.71</v>
      </c>
      <c r="L138" s="18">
        <f t="shared" si="17"/>
        <v>886.71</v>
      </c>
    </row>
    <row r="139" spans="2:12" x14ac:dyDescent="0.35">
      <c r="B139" s="29">
        <f>IF(B138="","",IF(B138+1&gt;'Mon prêt'!$C$9,"",B138+1))</f>
        <v>132</v>
      </c>
      <c r="C139" s="30">
        <f>IF($B139="","",EDATE('Mon prêt'!$C$11,B139-1))</f>
        <v>50318</v>
      </c>
      <c r="D139" s="18">
        <f>IF($B139="","",IF(B139='Mon prêt'!$C$9,J138+E139,IF(B139&lt;='Mon prêt'!$C$10,E139,'Mon prêt'!$C$22)))</f>
        <v>886.71</v>
      </c>
      <c r="E139" s="18">
        <f>IF($B139="","",ROUND(J138*'Mon prêt'!$C$8/12,2))</f>
        <v>333.14</v>
      </c>
      <c r="F139" s="18">
        <f t="shared" si="12"/>
        <v>553.57000000000005</v>
      </c>
      <c r="G139" s="18">
        <f>IF($B139="","",ROUND(IF('Mon prêt'!$C$12=Paramètres!$B$36,'Mon prêt'!$C$7,J138)*'Mon prêt'!$C$13/12,2))</f>
        <v>42</v>
      </c>
      <c r="H139" s="18">
        <f t="shared" si="13"/>
        <v>928.71</v>
      </c>
      <c r="I139" s="18">
        <f t="shared" si="14"/>
        <v>61219.820000000014</v>
      </c>
      <c r="J139" s="31">
        <f t="shared" si="15"/>
        <v>118780.18</v>
      </c>
      <c r="K139" s="18">
        <f t="shared" si="16"/>
        <v>928.71</v>
      </c>
      <c r="L139" s="18">
        <f t="shared" si="17"/>
        <v>886.71</v>
      </c>
    </row>
    <row r="140" spans="2:12" x14ac:dyDescent="0.35">
      <c r="B140" s="29">
        <f>IF(B139="","",IF(B139+1&gt;'Mon prêt'!$C$9,"",B139+1))</f>
        <v>133</v>
      </c>
      <c r="C140" s="30">
        <f>IF($B140="","",EDATE('Mon prêt'!$C$11,B140-1))</f>
        <v>50349</v>
      </c>
      <c r="D140" s="18">
        <f>IF($B140="","",IF(B140='Mon prêt'!$C$9,J139+E140,IF(B140&lt;='Mon prêt'!$C$10,E140,'Mon prêt'!$C$22)))</f>
        <v>886.71</v>
      </c>
      <c r="E140" s="18">
        <f>IF($B140="","",ROUND(J139*'Mon prêt'!$C$8/12,2))</f>
        <v>331.59</v>
      </c>
      <c r="F140" s="18">
        <f t="shared" si="12"/>
        <v>555.12000000000012</v>
      </c>
      <c r="G140" s="18">
        <f>IF($B140="","",ROUND(IF('Mon prêt'!$C$12=Paramètres!$B$36,'Mon prêt'!$C$7,J139)*'Mon prêt'!$C$13/12,2))</f>
        <v>42</v>
      </c>
      <c r="H140" s="18">
        <f t="shared" si="13"/>
        <v>928.71</v>
      </c>
      <c r="I140" s="18">
        <f t="shared" si="14"/>
        <v>61774.940000000017</v>
      </c>
      <c r="J140" s="31">
        <f t="shared" si="15"/>
        <v>118225.06</v>
      </c>
      <c r="K140" s="18">
        <f t="shared" si="16"/>
        <v>928.71</v>
      </c>
      <c r="L140" s="18">
        <f t="shared" si="17"/>
        <v>886.71</v>
      </c>
    </row>
    <row r="141" spans="2:12" x14ac:dyDescent="0.35">
      <c r="B141" s="29">
        <f>IF(B140="","",IF(B140+1&gt;'Mon prêt'!$C$9,"",B140+1))</f>
        <v>134</v>
      </c>
      <c r="C141" s="30">
        <f>IF($B141="","",EDATE('Mon prêt'!$C$11,B141-1))</f>
        <v>50379</v>
      </c>
      <c r="D141" s="18">
        <f>IF($B141="","",IF(B141='Mon prêt'!$C$9,J140+E141,IF(B141&lt;='Mon prêt'!$C$10,E141,'Mon prêt'!$C$22)))</f>
        <v>886.71</v>
      </c>
      <c r="E141" s="18">
        <f>IF($B141="","",ROUND(J140*'Mon prêt'!$C$8/12,2))</f>
        <v>330.04</v>
      </c>
      <c r="F141" s="18">
        <f t="shared" si="12"/>
        <v>556.67000000000007</v>
      </c>
      <c r="G141" s="18">
        <f>IF($B141="","",ROUND(IF('Mon prêt'!$C$12=Paramètres!$B$36,'Mon prêt'!$C$7,J140)*'Mon prêt'!$C$13/12,2))</f>
        <v>42</v>
      </c>
      <c r="H141" s="18">
        <f t="shared" si="13"/>
        <v>928.71</v>
      </c>
      <c r="I141" s="18">
        <f t="shared" si="14"/>
        <v>62331.610000000015</v>
      </c>
      <c r="J141" s="31">
        <f t="shared" si="15"/>
        <v>117668.39</v>
      </c>
      <c r="K141" s="18">
        <f t="shared" si="16"/>
        <v>928.71</v>
      </c>
      <c r="L141" s="18">
        <f t="shared" si="17"/>
        <v>886.71</v>
      </c>
    </row>
    <row r="142" spans="2:12" x14ac:dyDescent="0.35">
      <c r="B142" s="29">
        <f>IF(B141="","",IF(B141+1&gt;'Mon prêt'!$C$9,"",B141+1))</f>
        <v>135</v>
      </c>
      <c r="C142" s="30">
        <f>IF($B142="","",EDATE('Mon prêt'!$C$11,B142-1))</f>
        <v>50410</v>
      </c>
      <c r="D142" s="18">
        <f>IF($B142="","",IF(B142='Mon prêt'!$C$9,J141+E142,IF(B142&lt;='Mon prêt'!$C$10,E142,'Mon prêt'!$C$22)))</f>
        <v>886.71</v>
      </c>
      <c r="E142" s="18">
        <f>IF($B142="","",ROUND(J141*'Mon prêt'!$C$8/12,2))</f>
        <v>328.49</v>
      </c>
      <c r="F142" s="18">
        <f t="shared" si="12"/>
        <v>558.22</v>
      </c>
      <c r="G142" s="18">
        <f>IF($B142="","",ROUND(IF('Mon prêt'!$C$12=Paramètres!$B$36,'Mon prêt'!$C$7,J141)*'Mon prêt'!$C$13/12,2))</f>
        <v>42</v>
      </c>
      <c r="H142" s="18">
        <f t="shared" si="13"/>
        <v>928.71</v>
      </c>
      <c r="I142" s="18">
        <f t="shared" si="14"/>
        <v>62889.830000000016</v>
      </c>
      <c r="J142" s="31">
        <f t="shared" si="15"/>
        <v>117110.17</v>
      </c>
      <c r="K142" s="18">
        <f t="shared" si="16"/>
        <v>928.71</v>
      </c>
      <c r="L142" s="18">
        <f t="shared" si="17"/>
        <v>886.71</v>
      </c>
    </row>
    <row r="143" spans="2:12" x14ac:dyDescent="0.35">
      <c r="B143" s="29">
        <f>IF(B142="","",IF(B142+1&gt;'Mon prêt'!$C$9,"",B142+1))</f>
        <v>136</v>
      </c>
      <c r="C143" s="30">
        <f>IF($B143="","",EDATE('Mon prêt'!$C$11,B143-1))</f>
        <v>50441</v>
      </c>
      <c r="D143" s="18">
        <f>IF($B143="","",IF(B143='Mon prêt'!$C$9,J142+E143,IF(B143&lt;='Mon prêt'!$C$10,E143,'Mon prêt'!$C$22)))</f>
        <v>886.71</v>
      </c>
      <c r="E143" s="18">
        <f>IF($B143="","",ROUND(J142*'Mon prêt'!$C$8/12,2))</f>
        <v>326.93</v>
      </c>
      <c r="F143" s="18">
        <f t="shared" si="12"/>
        <v>559.78</v>
      </c>
      <c r="G143" s="18">
        <f>IF($B143="","",ROUND(IF('Mon prêt'!$C$12=Paramètres!$B$36,'Mon prêt'!$C$7,J142)*'Mon prêt'!$C$13/12,2))</f>
        <v>42</v>
      </c>
      <c r="H143" s="18">
        <f t="shared" si="13"/>
        <v>928.71</v>
      </c>
      <c r="I143" s="18">
        <f t="shared" si="14"/>
        <v>63449.610000000015</v>
      </c>
      <c r="J143" s="31">
        <f t="shared" si="15"/>
        <v>116550.39</v>
      </c>
      <c r="K143" s="18">
        <f t="shared" si="16"/>
        <v>928.71</v>
      </c>
      <c r="L143" s="18">
        <f t="shared" si="17"/>
        <v>886.71</v>
      </c>
    </row>
    <row r="144" spans="2:12" x14ac:dyDescent="0.35">
      <c r="B144" s="29">
        <f>IF(B143="","",IF(B143+1&gt;'Mon prêt'!$C$9,"",B143+1))</f>
        <v>137</v>
      </c>
      <c r="C144" s="30">
        <f>IF($B144="","",EDATE('Mon prêt'!$C$11,B144-1))</f>
        <v>50469</v>
      </c>
      <c r="D144" s="18">
        <f>IF($B144="","",IF(B144='Mon prêt'!$C$9,J143+E144,IF(B144&lt;='Mon prêt'!$C$10,E144,'Mon prêt'!$C$22)))</f>
        <v>886.71</v>
      </c>
      <c r="E144" s="18">
        <f>IF($B144="","",ROUND(J143*'Mon prêt'!$C$8/12,2))</f>
        <v>325.37</v>
      </c>
      <c r="F144" s="18">
        <f t="shared" si="12"/>
        <v>561.34</v>
      </c>
      <c r="G144" s="18">
        <f>IF($B144="","",ROUND(IF('Mon prêt'!$C$12=Paramètres!$B$36,'Mon prêt'!$C$7,J143)*'Mon prêt'!$C$13/12,2))</f>
        <v>42</v>
      </c>
      <c r="H144" s="18">
        <f t="shared" si="13"/>
        <v>928.71</v>
      </c>
      <c r="I144" s="18">
        <f t="shared" si="14"/>
        <v>64010.950000000012</v>
      </c>
      <c r="J144" s="31">
        <f t="shared" si="15"/>
        <v>115989.05</v>
      </c>
      <c r="K144" s="18">
        <f t="shared" si="16"/>
        <v>928.71</v>
      </c>
      <c r="L144" s="18">
        <f t="shared" si="17"/>
        <v>886.71</v>
      </c>
    </row>
    <row r="145" spans="2:12" x14ac:dyDescent="0.35">
      <c r="B145" s="29">
        <f>IF(B144="","",IF(B144+1&gt;'Mon prêt'!$C$9,"",B144+1))</f>
        <v>138</v>
      </c>
      <c r="C145" s="30">
        <f>IF($B145="","",EDATE('Mon prêt'!$C$11,B145-1))</f>
        <v>50500</v>
      </c>
      <c r="D145" s="18">
        <f>IF($B145="","",IF(B145='Mon prêt'!$C$9,J144+E145,IF(B145&lt;='Mon prêt'!$C$10,E145,'Mon prêt'!$C$22)))</f>
        <v>886.71</v>
      </c>
      <c r="E145" s="18">
        <f>IF($B145="","",ROUND(J144*'Mon prêt'!$C$8/12,2))</f>
        <v>323.8</v>
      </c>
      <c r="F145" s="18">
        <f t="shared" si="12"/>
        <v>562.91000000000008</v>
      </c>
      <c r="G145" s="18">
        <f>IF($B145="","",ROUND(IF('Mon prêt'!$C$12=Paramètres!$B$36,'Mon prêt'!$C$7,J144)*'Mon prêt'!$C$13/12,2))</f>
        <v>42</v>
      </c>
      <c r="H145" s="18">
        <f t="shared" si="13"/>
        <v>928.71</v>
      </c>
      <c r="I145" s="18">
        <f t="shared" si="14"/>
        <v>64573.860000000015</v>
      </c>
      <c r="J145" s="31">
        <f t="shared" si="15"/>
        <v>115426.14</v>
      </c>
      <c r="K145" s="18">
        <f t="shared" si="16"/>
        <v>928.71</v>
      </c>
      <c r="L145" s="18">
        <f t="shared" si="17"/>
        <v>886.71</v>
      </c>
    </row>
    <row r="146" spans="2:12" x14ac:dyDescent="0.35">
      <c r="B146" s="29">
        <f>IF(B145="","",IF(B145+1&gt;'Mon prêt'!$C$9,"",B145+1))</f>
        <v>139</v>
      </c>
      <c r="C146" s="30">
        <f>IF($B146="","",EDATE('Mon prêt'!$C$11,B146-1))</f>
        <v>50530</v>
      </c>
      <c r="D146" s="18">
        <f>IF($B146="","",IF(B146='Mon prêt'!$C$9,J145+E146,IF(B146&lt;='Mon prêt'!$C$10,E146,'Mon prêt'!$C$22)))</f>
        <v>886.71</v>
      </c>
      <c r="E146" s="18">
        <f>IF($B146="","",ROUND(J145*'Mon prêt'!$C$8/12,2))</f>
        <v>322.23</v>
      </c>
      <c r="F146" s="18">
        <f t="shared" si="12"/>
        <v>564.48</v>
      </c>
      <c r="G146" s="18">
        <f>IF($B146="","",ROUND(IF('Mon prêt'!$C$12=Paramètres!$B$36,'Mon prêt'!$C$7,J145)*'Mon prêt'!$C$13/12,2))</f>
        <v>42</v>
      </c>
      <c r="H146" s="18">
        <f t="shared" si="13"/>
        <v>928.71</v>
      </c>
      <c r="I146" s="18">
        <f t="shared" si="14"/>
        <v>65138.340000000018</v>
      </c>
      <c r="J146" s="31">
        <f t="shared" si="15"/>
        <v>114861.66</v>
      </c>
      <c r="K146" s="18">
        <f t="shared" si="16"/>
        <v>928.71</v>
      </c>
      <c r="L146" s="18">
        <f t="shared" si="17"/>
        <v>886.71</v>
      </c>
    </row>
    <row r="147" spans="2:12" x14ac:dyDescent="0.35">
      <c r="B147" s="29">
        <f>IF(B146="","",IF(B146+1&gt;'Mon prêt'!$C$9,"",B146+1))</f>
        <v>140</v>
      </c>
      <c r="C147" s="30">
        <f>IF($B147="","",EDATE('Mon prêt'!$C$11,B147-1))</f>
        <v>50561</v>
      </c>
      <c r="D147" s="18">
        <f>IF($B147="","",IF(B147='Mon prêt'!$C$9,J146+E147,IF(B147&lt;='Mon prêt'!$C$10,E147,'Mon prêt'!$C$22)))</f>
        <v>886.71</v>
      </c>
      <c r="E147" s="18">
        <f>IF($B147="","",ROUND(J146*'Mon prêt'!$C$8/12,2))</f>
        <v>320.66000000000003</v>
      </c>
      <c r="F147" s="18">
        <f t="shared" si="12"/>
        <v>566.04999999999995</v>
      </c>
      <c r="G147" s="18">
        <f>IF($B147="","",ROUND(IF('Mon prêt'!$C$12=Paramètres!$B$36,'Mon prêt'!$C$7,J146)*'Mon prêt'!$C$13/12,2))</f>
        <v>42</v>
      </c>
      <c r="H147" s="18">
        <f t="shared" si="13"/>
        <v>928.71</v>
      </c>
      <c r="I147" s="18">
        <f t="shared" si="14"/>
        <v>65704.390000000014</v>
      </c>
      <c r="J147" s="31">
        <f t="shared" si="15"/>
        <v>114295.61</v>
      </c>
      <c r="K147" s="18">
        <f t="shared" si="16"/>
        <v>928.71</v>
      </c>
      <c r="L147" s="18">
        <f t="shared" si="17"/>
        <v>886.71</v>
      </c>
    </row>
    <row r="148" spans="2:12" x14ac:dyDescent="0.35">
      <c r="B148" s="29">
        <f>IF(B147="","",IF(B147+1&gt;'Mon prêt'!$C$9,"",B147+1))</f>
        <v>141</v>
      </c>
      <c r="C148" s="30">
        <f>IF($B148="","",EDATE('Mon prêt'!$C$11,B148-1))</f>
        <v>50591</v>
      </c>
      <c r="D148" s="18">
        <f>IF($B148="","",IF(B148='Mon prêt'!$C$9,J147+E148,IF(B148&lt;='Mon prêt'!$C$10,E148,'Mon prêt'!$C$22)))</f>
        <v>886.71</v>
      </c>
      <c r="E148" s="18">
        <f>IF($B148="","",ROUND(J147*'Mon prêt'!$C$8/12,2))</f>
        <v>319.08</v>
      </c>
      <c r="F148" s="18">
        <f t="shared" si="12"/>
        <v>567.63000000000011</v>
      </c>
      <c r="G148" s="18">
        <f>IF($B148="","",ROUND(IF('Mon prêt'!$C$12=Paramètres!$B$36,'Mon prêt'!$C$7,J147)*'Mon prêt'!$C$13/12,2))</f>
        <v>42</v>
      </c>
      <c r="H148" s="18">
        <f t="shared" si="13"/>
        <v>928.71</v>
      </c>
      <c r="I148" s="18">
        <f t="shared" si="14"/>
        <v>66272.020000000019</v>
      </c>
      <c r="J148" s="31">
        <f t="shared" si="15"/>
        <v>113727.98</v>
      </c>
      <c r="K148" s="18">
        <f t="shared" si="16"/>
        <v>928.71</v>
      </c>
      <c r="L148" s="18">
        <f t="shared" si="17"/>
        <v>886.71</v>
      </c>
    </row>
    <row r="149" spans="2:12" x14ac:dyDescent="0.35">
      <c r="B149" s="29">
        <f>IF(B148="","",IF(B148+1&gt;'Mon prêt'!$C$9,"",B148+1))</f>
        <v>142</v>
      </c>
      <c r="C149" s="30">
        <f>IF($B149="","",EDATE('Mon prêt'!$C$11,B149-1))</f>
        <v>50622</v>
      </c>
      <c r="D149" s="18">
        <f>IF($B149="","",IF(B149='Mon prêt'!$C$9,J148+E149,IF(B149&lt;='Mon prêt'!$C$10,E149,'Mon prêt'!$C$22)))</f>
        <v>886.71</v>
      </c>
      <c r="E149" s="18">
        <f>IF($B149="","",ROUND(J148*'Mon prêt'!$C$8/12,2))</f>
        <v>317.49</v>
      </c>
      <c r="F149" s="18">
        <f t="shared" si="12"/>
        <v>569.22</v>
      </c>
      <c r="G149" s="18">
        <f>IF($B149="","",ROUND(IF('Mon prêt'!$C$12=Paramètres!$B$36,'Mon prêt'!$C$7,J148)*'Mon prêt'!$C$13/12,2))</f>
        <v>42</v>
      </c>
      <c r="H149" s="18">
        <f t="shared" si="13"/>
        <v>928.71</v>
      </c>
      <c r="I149" s="18">
        <f t="shared" si="14"/>
        <v>66841.24000000002</v>
      </c>
      <c r="J149" s="31">
        <f t="shared" si="15"/>
        <v>113158.76</v>
      </c>
      <c r="K149" s="18">
        <f t="shared" si="16"/>
        <v>928.71</v>
      </c>
      <c r="L149" s="18">
        <f t="shared" si="17"/>
        <v>886.71</v>
      </c>
    </row>
    <row r="150" spans="2:12" x14ac:dyDescent="0.35">
      <c r="B150" s="29">
        <f>IF(B149="","",IF(B149+1&gt;'Mon prêt'!$C$9,"",B149+1))</f>
        <v>143</v>
      </c>
      <c r="C150" s="30">
        <f>IF($B150="","",EDATE('Mon prêt'!$C$11,B150-1))</f>
        <v>50653</v>
      </c>
      <c r="D150" s="18">
        <f>IF($B150="","",IF(B150='Mon prêt'!$C$9,J149+E150,IF(B150&lt;='Mon prêt'!$C$10,E150,'Mon prêt'!$C$22)))</f>
        <v>886.71</v>
      </c>
      <c r="E150" s="18">
        <f>IF($B150="","",ROUND(J149*'Mon prêt'!$C$8/12,2))</f>
        <v>315.89999999999998</v>
      </c>
      <c r="F150" s="18">
        <f t="shared" si="12"/>
        <v>570.81000000000006</v>
      </c>
      <c r="G150" s="18">
        <f>IF($B150="","",ROUND(IF('Mon prêt'!$C$12=Paramètres!$B$36,'Mon prêt'!$C$7,J149)*'Mon prêt'!$C$13/12,2))</f>
        <v>42</v>
      </c>
      <c r="H150" s="18">
        <f t="shared" si="13"/>
        <v>928.71</v>
      </c>
      <c r="I150" s="18">
        <f t="shared" si="14"/>
        <v>67412.050000000017</v>
      </c>
      <c r="J150" s="31">
        <f t="shared" si="15"/>
        <v>112587.95</v>
      </c>
      <c r="K150" s="18">
        <f t="shared" si="16"/>
        <v>928.71</v>
      </c>
      <c r="L150" s="18">
        <f t="shared" si="17"/>
        <v>886.71</v>
      </c>
    </row>
    <row r="151" spans="2:12" x14ac:dyDescent="0.35">
      <c r="B151" s="29">
        <f>IF(B150="","",IF(B150+1&gt;'Mon prêt'!$C$9,"",B150+1))</f>
        <v>144</v>
      </c>
      <c r="C151" s="30">
        <f>IF($B151="","",EDATE('Mon prêt'!$C$11,B151-1))</f>
        <v>50683</v>
      </c>
      <c r="D151" s="18">
        <f>IF($B151="","",IF(B151='Mon prêt'!$C$9,J150+E151,IF(B151&lt;='Mon prêt'!$C$10,E151,'Mon prêt'!$C$22)))</f>
        <v>886.71</v>
      </c>
      <c r="E151" s="18">
        <f>IF($B151="","",ROUND(J150*'Mon prêt'!$C$8/12,2))</f>
        <v>314.31</v>
      </c>
      <c r="F151" s="18">
        <f t="shared" si="12"/>
        <v>572.40000000000009</v>
      </c>
      <c r="G151" s="18">
        <f>IF($B151="","",ROUND(IF('Mon prêt'!$C$12=Paramètres!$B$36,'Mon prêt'!$C$7,J150)*'Mon prêt'!$C$13/12,2))</f>
        <v>42</v>
      </c>
      <c r="H151" s="18">
        <f t="shared" si="13"/>
        <v>928.71</v>
      </c>
      <c r="I151" s="18">
        <f t="shared" si="14"/>
        <v>67984.450000000012</v>
      </c>
      <c r="J151" s="31">
        <f t="shared" si="15"/>
        <v>112015.55</v>
      </c>
      <c r="K151" s="18">
        <f t="shared" si="16"/>
        <v>928.71</v>
      </c>
      <c r="L151" s="18">
        <f t="shared" si="17"/>
        <v>886.71</v>
      </c>
    </row>
    <row r="152" spans="2:12" x14ac:dyDescent="0.35">
      <c r="B152" s="29">
        <f>IF(B151="","",IF(B151+1&gt;'Mon prêt'!$C$9,"",B151+1))</f>
        <v>145</v>
      </c>
      <c r="C152" s="30">
        <f>IF($B152="","",EDATE('Mon prêt'!$C$11,B152-1))</f>
        <v>50714</v>
      </c>
      <c r="D152" s="18">
        <f>IF($B152="","",IF(B152='Mon prêt'!$C$9,J151+E152,IF(B152&lt;='Mon prêt'!$C$10,E152,'Mon prêt'!$C$22)))</f>
        <v>886.71</v>
      </c>
      <c r="E152" s="18">
        <f>IF($B152="","",ROUND(J151*'Mon prêt'!$C$8/12,2))</f>
        <v>312.70999999999998</v>
      </c>
      <c r="F152" s="18">
        <f t="shared" si="12"/>
        <v>574</v>
      </c>
      <c r="G152" s="18">
        <f>IF($B152="","",ROUND(IF('Mon prêt'!$C$12=Paramètres!$B$36,'Mon prêt'!$C$7,J151)*'Mon prêt'!$C$13/12,2))</f>
        <v>42</v>
      </c>
      <c r="H152" s="18">
        <f t="shared" si="13"/>
        <v>928.71</v>
      </c>
      <c r="I152" s="18">
        <f t="shared" si="14"/>
        <v>68558.450000000012</v>
      </c>
      <c r="J152" s="31">
        <f t="shared" si="15"/>
        <v>111441.55</v>
      </c>
      <c r="K152" s="18">
        <f t="shared" si="16"/>
        <v>928.71</v>
      </c>
      <c r="L152" s="18">
        <f t="shared" si="17"/>
        <v>886.71</v>
      </c>
    </row>
    <row r="153" spans="2:12" x14ac:dyDescent="0.35">
      <c r="B153" s="29">
        <f>IF(B152="","",IF(B152+1&gt;'Mon prêt'!$C$9,"",B152+1))</f>
        <v>146</v>
      </c>
      <c r="C153" s="30">
        <f>IF($B153="","",EDATE('Mon prêt'!$C$11,B153-1))</f>
        <v>50744</v>
      </c>
      <c r="D153" s="18">
        <f>IF($B153="","",IF(B153='Mon prêt'!$C$9,J152+E153,IF(B153&lt;='Mon prêt'!$C$10,E153,'Mon prêt'!$C$22)))</f>
        <v>886.71</v>
      </c>
      <c r="E153" s="18">
        <f>IF($B153="","",ROUND(J152*'Mon prêt'!$C$8/12,2))</f>
        <v>311.11</v>
      </c>
      <c r="F153" s="18">
        <f t="shared" si="12"/>
        <v>575.6</v>
      </c>
      <c r="G153" s="18">
        <f>IF($B153="","",ROUND(IF('Mon prêt'!$C$12=Paramètres!$B$36,'Mon prêt'!$C$7,J152)*'Mon prêt'!$C$13/12,2))</f>
        <v>42</v>
      </c>
      <c r="H153" s="18">
        <f t="shared" si="13"/>
        <v>928.71</v>
      </c>
      <c r="I153" s="18">
        <f t="shared" si="14"/>
        <v>69134.050000000017</v>
      </c>
      <c r="J153" s="31">
        <f t="shared" si="15"/>
        <v>110865.95</v>
      </c>
      <c r="K153" s="18">
        <f t="shared" si="16"/>
        <v>928.71</v>
      </c>
      <c r="L153" s="18">
        <f t="shared" si="17"/>
        <v>886.71</v>
      </c>
    </row>
    <row r="154" spans="2:12" x14ac:dyDescent="0.35">
      <c r="B154" s="29">
        <f>IF(B153="","",IF(B153+1&gt;'Mon prêt'!$C$9,"",B153+1))</f>
        <v>147</v>
      </c>
      <c r="C154" s="30">
        <f>IF($B154="","",EDATE('Mon prêt'!$C$11,B154-1))</f>
        <v>50775</v>
      </c>
      <c r="D154" s="18">
        <f>IF($B154="","",IF(B154='Mon prêt'!$C$9,J153+E154,IF(B154&lt;='Mon prêt'!$C$10,E154,'Mon prêt'!$C$22)))</f>
        <v>886.71</v>
      </c>
      <c r="E154" s="18">
        <f>IF($B154="","",ROUND(J153*'Mon prêt'!$C$8/12,2))</f>
        <v>309.5</v>
      </c>
      <c r="F154" s="18">
        <f t="shared" si="12"/>
        <v>577.21</v>
      </c>
      <c r="G154" s="18">
        <f>IF($B154="","",ROUND(IF('Mon prêt'!$C$12=Paramètres!$B$36,'Mon prêt'!$C$7,J153)*'Mon prêt'!$C$13/12,2))</f>
        <v>42</v>
      </c>
      <c r="H154" s="18">
        <f t="shared" si="13"/>
        <v>928.71</v>
      </c>
      <c r="I154" s="18">
        <f t="shared" si="14"/>
        <v>69711.260000000024</v>
      </c>
      <c r="J154" s="31">
        <f t="shared" si="15"/>
        <v>110288.74</v>
      </c>
      <c r="K154" s="18">
        <f t="shared" si="16"/>
        <v>928.71</v>
      </c>
      <c r="L154" s="18">
        <f t="shared" si="17"/>
        <v>886.71</v>
      </c>
    </row>
    <row r="155" spans="2:12" x14ac:dyDescent="0.35">
      <c r="B155" s="29">
        <f>IF(B154="","",IF(B154+1&gt;'Mon prêt'!$C$9,"",B154+1))</f>
        <v>148</v>
      </c>
      <c r="C155" s="30">
        <f>IF($B155="","",EDATE('Mon prêt'!$C$11,B155-1))</f>
        <v>50806</v>
      </c>
      <c r="D155" s="18">
        <f>IF($B155="","",IF(B155='Mon prêt'!$C$9,J154+E155,IF(B155&lt;='Mon prêt'!$C$10,E155,'Mon prêt'!$C$22)))</f>
        <v>886.71</v>
      </c>
      <c r="E155" s="18">
        <f>IF($B155="","",ROUND(J154*'Mon prêt'!$C$8/12,2))</f>
        <v>307.89</v>
      </c>
      <c r="F155" s="18">
        <f t="shared" si="12"/>
        <v>578.82000000000005</v>
      </c>
      <c r="G155" s="18">
        <f>IF($B155="","",ROUND(IF('Mon prêt'!$C$12=Paramètres!$B$36,'Mon prêt'!$C$7,J154)*'Mon prêt'!$C$13/12,2))</f>
        <v>42</v>
      </c>
      <c r="H155" s="18">
        <f t="shared" si="13"/>
        <v>928.71</v>
      </c>
      <c r="I155" s="18">
        <f t="shared" si="14"/>
        <v>70290.080000000031</v>
      </c>
      <c r="J155" s="31">
        <f t="shared" si="15"/>
        <v>109709.92</v>
      </c>
      <c r="K155" s="18">
        <f t="shared" si="16"/>
        <v>928.71</v>
      </c>
      <c r="L155" s="18">
        <f t="shared" si="17"/>
        <v>886.71</v>
      </c>
    </row>
    <row r="156" spans="2:12" x14ac:dyDescent="0.35">
      <c r="B156" s="29">
        <f>IF(B155="","",IF(B155+1&gt;'Mon prêt'!$C$9,"",B155+1))</f>
        <v>149</v>
      </c>
      <c r="C156" s="30">
        <f>IF($B156="","",EDATE('Mon prêt'!$C$11,B156-1))</f>
        <v>50834</v>
      </c>
      <c r="D156" s="18">
        <f>IF($B156="","",IF(B156='Mon prêt'!$C$9,J155+E156,IF(B156&lt;='Mon prêt'!$C$10,E156,'Mon prêt'!$C$22)))</f>
        <v>886.71</v>
      </c>
      <c r="E156" s="18">
        <f>IF($B156="","",ROUND(J155*'Mon prêt'!$C$8/12,2))</f>
        <v>306.27</v>
      </c>
      <c r="F156" s="18">
        <f t="shared" si="12"/>
        <v>580.44000000000005</v>
      </c>
      <c r="G156" s="18">
        <f>IF($B156="","",ROUND(IF('Mon prêt'!$C$12=Paramètres!$B$36,'Mon prêt'!$C$7,J155)*'Mon prêt'!$C$13/12,2))</f>
        <v>42</v>
      </c>
      <c r="H156" s="18">
        <f t="shared" si="13"/>
        <v>928.71</v>
      </c>
      <c r="I156" s="18">
        <f t="shared" si="14"/>
        <v>70870.520000000033</v>
      </c>
      <c r="J156" s="31">
        <f t="shared" si="15"/>
        <v>109129.48</v>
      </c>
      <c r="K156" s="18">
        <f t="shared" si="16"/>
        <v>928.71</v>
      </c>
      <c r="L156" s="18">
        <f t="shared" si="17"/>
        <v>886.71</v>
      </c>
    </row>
    <row r="157" spans="2:12" x14ac:dyDescent="0.35">
      <c r="B157" s="29">
        <f>IF(B156="","",IF(B156+1&gt;'Mon prêt'!$C$9,"",B156+1))</f>
        <v>150</v>
      </c>
      <c r="C157" s="30">
        <f>IF($B157="","",EDATE('Mon prêt'!$C$11,B157-1))</f>
        <v>50865</v>
      </c>
      <c r="D157" s="18">
        <f>IF($B157="","",IF(B157='Mon prêt'!$C$9,J156+E157,IF(B157&lt;='Mon prêt'!$C$10,E157,'Mon prêt'!$C$22)))</f>
        <v>886.71</v>
      </c>
      <c r="E157" s="18">
        <f>IF($B157="","",ROUND(J156*'Mon prêt'!$C$8/12,2))</f>
        <v>304.64999999999998</v>
      </c>
      <c r="F157" s="18">
        <f t="shared" si="12"/>
        <v>582.06000000000006</v>
      </c>
      <c r="G157" s="18">
        <f>IF($B157="","",ROUND(IF('Mon prêt'!$C$12=Paramètres!$B$36,'Mon prêt'!$C$7,J156)*'Mon prêt'!$C$13/12,2))</f>
        <v>42</v>
      </c>
      <c r="H157" s="18">
        <f t="shared" si="13"/>
        <v>928.71</v>
      </c>
      <c r="I157" s="18">
        <f t="shared" si="14"/>
        <v>71452.580000000031</v>
      </c>
      <c r="J157" s="31">
        <f t="shared" si="15"/>
        <v>108547.42</v>
      </c>
      <c r="K157" s="18">
        <f t="shared" si="16"/>
        <v>928.71</v>
      </c>
      <c r="L157" s="18">
        <f t="shared" si="17"/>
        <v>886.71</v>
      </c>
    </row>
    <row r="158" spans="2:12" x14ac:dyDescent="0.35">
      <c r="B158" s="29">
        <f>IF(B157="","",IF(B157+1&gt;'Mon prêt'!$C$9,"",B157+1))</f>
        <v>151</v>
      </c>
      <c r="C158" s="30">
        <f>IF($B158="","",EDATE('Mon prêt'!$C$11,B158-1))</f>
        <v>50895</v>
      </c>
      <c r="D158" s="18">
        <f>IF($B158="","",IF(B158='Mon prêt'!$C$9,J157+E158,IF(B158&lt;='Mon prêt'!$C$10,E158,'Mon prêt'!$C$22)))</f>
        <v>886.71</v>
      </c>
      <c r="E158" s="18">
        <f>IF($B158="","",ROUND(J157*'Mon prêt'!$C$8/12,2))</f>
        <v>303.02999999999997</v>
      </c>
      <c r="F158" s="18">
        <f t="shared" si="12"/>
        <v>583.68000000000006</v>
      </c>
      <c r="G158" s="18">
        <f>IF($B158="","",ROUND(IF('Mon prêt'!$C$12=Paramètres!$B$36,'Mon prêt'!$C$7,J157)*'Mon prêt'!$C$13/12,2))</f>
        <v>42</v>
      </c>
      <c r="H158" s="18">
        <f t="shared" si="13"/>
        <v>928.71</v>
      </c>
      <c r="I158" s="18">
        <f t="shared" si="14"/>
        <v>72036.260000000024</v>
      </c>
      <c r="J158" s="31">
        <f t="shared" si="15"/>
        <v>107963.74</v>
      </c>
      <c r="K158" s="18">
        <f t="shared" si="16"/>
        <v>928.71</v>
      </c>
      <c r="L158" s="18">
        <f t="shared" si="17"/>
        <v>886.71</v>
      </c>
    </row>
    <row r="159" spans="2:12" x14ac:dyDescent="0.35">
      <c r="B159" s="29">
        <f>IF(B158="","",IF(B158+1&gt;'Mon prêt'!$C$9,"",B158+1))</f>
        <v>152</v>
      </c>
      <c r="C159" s="30">
        <f>IF($B159="","",EDATE('Mon prêt'!$C$11,B159-1))</f>
        <v>50926</v>
      </c>
      <c r="D159" s="18">
        <f>IF($B159="","",IF(B159='Mon prêt'!$C$9,J158+E159,IF(B159&lt;='Mon prêt'!$C$10,E159,'Mon prêt'!$C$22)))</f>
        <v>886.71</v>
      </c>
      <c r="E159" s="18">
        <f>IF($B159="","",ROUND(J158*'Mon prêt'!$C$8/12,2))</f>
        <v>301.39999999999998</v>
      </c>
      <c r="F159" s="18">
        <f t="shared" si="12"/>
        <v>585.31000000000006</v>
      </c>
      <c r="G159" s="18">
        <f>IF($B159="","",ROUND(IF('Mon prêt'!$C$12=Paramètres!$B$36,'Mon prêt'!$C$7,J158)*'Mon prêt'!$C$13/12,2))</f>
        <v>42</v>
      </c>
      <c r="H159" s="18">
        <f t="shared" si="13"/>
        <v>928.71</v>
      </c>
      <c r="I159" s="18">
        <f t="shared" si="14"/>
        <v>72621.570000000022</v>
      </c>
      <c r="J159" s="31">
        <f t="shared" si="15"/>
        <v>107378.43</v>
      </c>
      <c r="K159" s="18">
        <f t="shared" si="16"/>
        <v>928.71</v>
      </c>
      <c r="L159" s="18">
        <f t="shared" si="17"/>
        <v>886.71</v>
      </c>
    </row>
    <row r="160" spans="2:12" x14ac:dyDescent="0.35">
      <c r="B160" s="29">
        <f>IF(B159="","",IF(B159+1&gt;'Mon prêt'!$C$9,"",B159+1))</f>
        <v>153</v>
      </c>
      <c r="C160" s="30">
        <f>IF($B160="","",EDATE('Mon prêt'!$C$11,B160-1))</f>
        <v>50956</v>
      </c>
      <c r="D160" s="18">
        <f>IF($B160="","",IF(B160='Mon prêt'!$C$9,J159+E160,IF(B160&lt;='Mon prêt'!$C$10,E160,'Mon prêt'!$C$22)))</f>
        <v>886.71</v>
      </c>
      <c r="E160" s="18">
        <f>IF($B160="","",ROUND(J159*'Mon prêt'!$C$8/12,2))</f>
        <v>299.76</v>
      </c>
      <c r="F160" s="18">
        <f t="shared" si="12"/>
        <v>586.95000000000005</v>
      </c>
      <c r="G160" s="18">
        <f>IF($B160="","",ROUND(IF('Mon prêt'!$C$12=Paramètres!$B$36,'Mon prêt'!$C$7,J159)*'Mon prêt'!$C$13/12,2))</f>
        <v>42</v>
      </c>
      <c r="H160" s="18">
        <f t="shared" si="13"/>
        <v>928.71</v>
      </c>
      <c r="I160" s="18">
        <f t="shared" si="14"/>
        <v>73208.520000000019</v>
      </c>
      <c r="J160" s="31">
        <f t="shared" si="15"/>
        <v>106791.48</v>
      </c>
      <c r="K160" s="18">
        <f t="shared" si="16"/>
        <v>928.71</v>
      </c>
      <c r="L160" s="18">
        <f t="shared" si="17"/>
        <v>886.71</v>
      </c>
    </row>
    <row r="161" spans="2:12" x14ac:dyDescent="0.35">
      <c r="B161" s="29">
        <f>IF(B160="","",IF(B160+1&gt;'Mon prêt'!$C$9,"",B160+1))</f>
        <v>154</v>
      </c>
      <c r="C161" s="30">
        <f>IF($B161="","",EDATE('Mon prêt'!$C$11,B161-1))</f>
        <v>50987</v>
      </c>
      <c r="D161" s="18">
        <f>IF($B161="","",IF(B161='Mon prêt'!$C$9,J160+E161,IF(B161&lt;='Mon prêt'!$C$10,E161,'Mon prêt'!$C$22)))</f>
        <v>886.71</v>
      </c>
      <c r="E161" s="18">
        <f>IF($B161="","",ROUND(J160*'Mon prêt'!$C$8/12,2))</f>
        <v>298.13</v>
      </c>
      <c r="F161" s="18">
        <f t="shared" si="12"/>
        <v>588.58000000000004</v>
      </c>
      <c r="G161" s="18">
        <f>IF($B161="","",ROUND(IF('Mon prêt'!$C$12=Paramètres!$B$36,'Mon prêt'!$C$7,J160)*'Mon prêt'!$C$13/12,2))</f>
        <v>42</v>
      </c>
      <c r="H161" s="18">
        <f t="shared" si="13"/>
        <v>928.71</v>
      </c>
      <c r="I161" s="18">
        <f t="shared" si="14"/>
        <v>73797.10000000002</v>
      </c>
      <c r="J161" s="31">
        <f t="shared" si="15"/>
        <v>106202.9</v>
      </c>
      <c r="K161" s="18">
        <f t="shared" si="16"/>
        <v>928.71</v>
      </c>
      <c r="L161" s="18">
        <f t="shared" si="17"/>
        <v>886.71</v>
      </c>
    </row>
    <row r="162" spans="2:12" x14ac:dyDescent="0.35">
      <c r="B162" s="29">
        <f>IF(B161="","",IF(B161+1&gt;'Mon prêt'!$C$9,"",B161+1))</f>
        <v>155</v>
      </c>
      <c r="C162" s="30">
        <f>IF($B162="","",EDATE('Mon prêt'!$C$11,B162-1))</f>
        <v>51018</v>
      </c>
      <c r="D162" s="18">
        <f>IF($B162="","",IF(B162='Mon prêt'!$C$9,J161+E162,IF(B162&lt;='Mon prêt'!$C$10,E162,'Mon prêt'!$C$22)))</f>
        <v>886.71</v>
      </c>
      <c r="E162" s="18">
        <f>IF($B162="","",ROUND(J161*'Mon prêt'!$C$8/12,2))</f>
        <v>296.48</v>
      </c>
      <c r="F162" s="18">
        <f t="shared" si="12"/>
        <v>590.23</v>
      </c>
      <c r="G162" s="18">
        <f>IF($B162="","",ROUND(IF('Mon prêt'!$C$12=Paramètres!$B$36,'Mon prêt'!$C$7,J161)*'Mon prêt'!$C$13/12,2))</f>
        <v>42</v>
      </c>
      <c r="H162" s="18">
        <f t="shared" si="13"/>
        <v>928.71</v>
      </c>
      <c r="I162" s="18">
        <f t="shared" si="14"/>
        <v>74387.330000000016</v>
      </c>
      <c r="J162" s="31">
        <f t="shared" si="15"/>
        <v>105612.67</v>
      </c>
      <c r="K162" s="18">
        <f t="shared" si="16"/>
        <v>928.71</v>
      </c>
      <c r="L162" s="18">
        <f t="shared" si="17"/>
        <v>886.71</v>
      </c>
    </row>
    <row r="163" spans="2:12" x14ac:dyDescent="0.35">
      <c r="B163" s="29">
        <f>IF(B162="","",IF(B162+1&gt;'Mon prêt'!$C$9,"",B162+1))</f>
        <v>156</v>
      </c>
      <c r="C163" s="30">
        <f>IF($B163="","",EDATE('Mon prêt'!$C$11,B163-1))</f>
        <v>51048</v>
      </c>
      <c r="D163" s="18">
        <f>IF($B163="","",IF(B163='Mon prêt'!$C$9,J162+E163,IF(B163&lt;='Mon prêt'!$C$10,E163,'Mon prêt'!$C$22)))</f>
        <v>886.71</v>
      </c>
      <c r="E163" s="18">
        <f>IF($B163="","",ROUND(J162*'Mon prêt'!$C$8/12,2))</f>
        <v>294.83999999999997</v>
      </c>
      <c r="F163" s="18">
        <f t="shared" si="12"/>
        <v>591.87000000000012</v>
      </c>
      <c r="G163" s="18">
        <f>IF($B163="","",ROUND(IF('Mon prêt'!$C$12=Paramètres!$B$36,'Mon prêt'!$C$7,J162)*'Mon prêt'!$C$13/12,2))</f>
        <v>42</v>
      </c>
      <c r="H163" s="18">
        <f t="shared" si="13"/>
        <v>928.71</v>
      </c>
      <c r="I163" s="18">
        <f t="shared" si="14"/>
        <v>74979.200000000012</v>
      </c>
      <c r="J163" s="31">
        <f t="shared" si="15"/>
        <v>105020.8</v>
      </c>
      <c r="K163" s="18">
        <f t="shared" si="16"/>
        <v>928.71</v>
      </c>
      <c r="L163" s="18">
        <f t="shared" si="17"/>
        <v>886.71</v>
      </c>
    </row>
    <row r="164" spans="2:12" x14ac:dyDescent="0.35">
      <c r="B164" s="29">
        <f>IF(B163="","",IF(B163+1&gt;'Mon prêt'!$C$9,"",B163+1))</f>
        <v>157</v>
      </c>
      <c r="C164" s="30">
        <f>IF($B164="","",EDATE('Mon prêt'!$C$11,B164-1))</f>
        <v>51079</v>
      </c>
      <c r="D164" s="18">
        <f>IF($B164="","",IF(B164='Mon prêt'!$C$9,J163+E164,IF(B164&lt;='Mon prêt'!$C$10,E164,'Mon prêt'!$C$22)))</f>
        <v>886.71</v>
      </c>
      <c r="E164" s="18">
        <f>IF($B164="","",ROUND(J163*'Mon prêt'!$C$8/12,2))</f>
        <v>293.18</v>
      </c>
      <c r="F164" s="18">
        <f t="shared" si="12"/>
        <v>593.53</v>
      </c>
      <c r="G164" s="18">
        <f>IF($B164="","",ROUND(IF('Mon prêt'!$C$12=Paramètres!$B$36,'Mon prêt'!$C$7,J163)*'Mon prêt'!$C$13/12,2))</f>
        <v>42</v>
      </c>
      <c r="H164" s="18">
        <f t="shared" si="13"/>
        <v>928.71</v>
      </c>
      <c r="I164" s="18">
        <f t="shared" si="14"/>
        <v>75572.73000000001</v>
      </c>
      <c r="J164" s="31">
        <f t="shared" si="15"/>
        <v>104427.27</v>
      </c>
      <c r="K164" s="18">
        <f t="shared" si="16"/>
        <v>928.71</v>
      </c>
      <c r="L164" s="18">
        <f t="shared" si="17"/>
        <v>886.71</v>
      </c>
    </row>
    <row r="165" spans="2:12" x14ac:dyDescent="0.35">
      <c r="B165" s="29">
        <f>IF(B164="","",IF(B164+1&gt;'Mon prêt'!$C$9,"",B164+1))</f>
        <v>158</v>
      </c>
      <c r="C165" s="30">
        <f>IF($B165="","",EDATE('Mon prêt'!$C$11,B165-1))</f>
        <v>51109</v>
      </c>
      <c r="D165" s="18">
        <f>IF($B165="","",IF(B165='Mon prêt'!$C$9,J164+E165,IF(B165&lt;='Mon prêt'!$C$10,E165,'Mon prêt'!$C$22)))</f>
        <v>886.71</v>
      </c>
      <c r="E165" s="18">
        <f>IF($B165="","",ROUND(J164*'Mon prêt'!$C$8/12,2))</f>
        <v>291.52999999999997</v>
      </c>
      <c r="F165" s="18">
        <f t="shared" si="12"/>
        <v>595.18000000000006</v>
      </c>
      <c r="G165" s="18">
        <f>IF($B165="","",ROUND(IF('Mon prêt'!$C$12=Paramètres!$B$36,'Mon prêt'!$C$7,J164)*'Mon prêt'!$C$13/12,2))</f>
        <v>42</v>
      </c>
      <c r="H165" s="18">
        <f t="shared" si="13"/>
        <v>928.71</v>
      </c>
      <c r="I165" s="18">
        <f t="shared" si="14"/>
        <v>76167.91</v>
      </c>
      <c r="J165" s="31">
        <f t="shared" si="15"/>
        <v>103832.09</v>
      </c>
      <c r="K165" s="18">
        <f t="shared" si="16"/>
        <v>928.71</v>
      </c>
      <c r="L165" s="18">
        <f t="shared" si="17"/>
        <v>886.71</v>
      </c>
    </row>
    <row r="166" spans="2:12" x14ac:dyDescent="0.35">
      <c r="B166" s="29">
        <f>IF(B165="","",IF(B165+1&gt;'Mon prêt'!$C$9,"",B165+1))</f>
        <v>159</v>
      </c>
      <c r="C166" s="30">
        <f>IF($B166="","",EDATE('Mon prêt'!$C$11,B166-1))</f>
        <v>51140</v>
      </c>
      <c r="D166" s="18">
        <f>IF($B166="","",IF(B166='Mon prêt'!$C$9,J165+E166,IF(B166&lt;='Mon prêt'!$C$10,E166,'Mon prêt'!$C$22)))</f>
        <v>886.71</v>
      </c>
      <c r="E166" s="18">
        <f>IF($B166="","",ROUND(J165*'Mon prêt'!$C$8/12,2))</f>
        <v>289.86</v>
      </c>
      <c r="F166" s="18">
        <f t="shared" si="12"/>
        <v>596.85</v>
      </c>
      <c r="G166" s="18">
        <f>IF($B166="","",ROUND(IF('Mon prêt'!$C$12=Paramètres!$B$36,'Mon prêt'!$C$7,J165)*'Mon prêt'!$C$13/12,2))</f>
        <v>42</v>
      </c>
      <c r="H166" s="18">
        <f t="shared" si="13"/>
        <v>928.71</v>
      </c>
      <c r="I166" s="18">
        <f t="shared" si="14"/>
        <v>76764.760000000009</v>
      </c>
      <c r="J166" s="31">
        <f t="shared" si="15"/>
        <v>103235.24</v>
      </c>
      <c r="K166" s="18">
        <f t="shared" si="16"/>
        <v>928.71</v>
      </c>
      <c r="L166" s="18">
        <f t="shared" si="17"/>
        <v>886.71</v>
      </c>
    </row>
    <row r="167" spans="2:12" x14ac:dyDescent="0.35">
      <c r="B167" s="29">
        <f>IF(B166="","",IF(B166+1&gt;'Mon prêt'!$C$9,"",B166+1))</f>
        <v>160</v>
      </c>
      <c r="C167" s="30">
        <f>IF($B167="","",EDATE('Mon prêt'!$C$11,B167-1))</f>
        <v>51171</v>
      </c>
      <c r="D167" s="18">
        <f>IF($B167="","",IF(B167='Mon prêt'!$C$9,J166+E167,IF(B167&lt;='Mon prêt'!$C$10,E167,'Mon prêt'!$C$22)))</f>
        <v>886.71</v>
      </c>
      <c r="E167" s="18">
        <f>IF($B167="","",ROUND(J166*'Mon prêt'!$C$8/12,2))</f>
        <v>288.2</v>
      </c>
      <c r="F167" s="18">
        <f t="shared" si="12"/>
        <v>598.51</v>
      </c>
      <c r="G167" s="18">
        <f>IF($B167="","",ROUND(IF('Mon prêt'!$C$12=Paramètres!$B$36,'Mon prêt'!$C$7,J166)*'Mon prêt'!$C$13/12,2))</f>
        <v>42</v>
      </c>
      <c r="H167" s="18">
        <f t="shared" si="13"/>
        <v>928.71</v>
      </c>
      <c r="I167" s="18">
        <f t="shared" si="14"/>
        <v>77363.27</v>
      </c>
      <c r="J167" s="31">
        <f t="shared" si="15"/>
        <v>102636.73</v>
      </c>
      <c r="K167" s="18">
        <f t="shared" si="16"/>
        <v>928.71</v>
      </c>
      <c r="L167" s="18">
        <f t="shared" si="17"/>
        <v>886.71</v>
      </c>
    </row>
    <row r="168" spans="2:12" x14ac:dyDescent="0.35">
      <c r="B168" s="29">
        <f>IF(B167="","",IF(B167+1&gt;'Mon prêt'!$C$9,"",B167+1))</f>
        <v>161</v>
      </c>
      <c r="C168" s="30">
        <f>IF($B168="","",EDATE('Mon prêt'!$C$11,B168-1))</f>
        <v>51200</v>
      </c>
      <c r="D168" s="18">
        <f>IF($B168="","",IF(B168='Mon prêt'!$C$9,J167+E168,IF(B168&lt;='Mon prêt'!$C$10,E168,'Mon prêt'!$C$22)))</f>
        <v>886.71</v>
      </c>
      <c r="E168" s="18">
        <f>IF($B168="","",ROUND(J167*'Mon prêt'!$C$8/12,2))</f>
        <v>286.52999999999997</v>
      </c>
      <c r="F168" s="18">
        <f t="shared" si="12"/>
        <v>600.18000000000006</v>
      </c>
      <c r="G168" s="18">
        <f>IF($B168="","",ROUND(IF('Mon prêt'!$C$12=Paramètres!$B$36,'Mon prêt'!$C$7,J167)*'Mon prêt'!$C$13/12,2))</f>
        <v>42</v>
      </c>
      <c r="H168" s="18">
        <f t="shared" si="13"/>
        <v>928.71</v>
      </c>
      <c r="I168" s="18">
        <f t="shared" si="14"/>
        <v>77963.45</v>
      </c>
      <c r="J168" s="31">
        <f t="shared" si="15"/>
        <v>102036.55</v>
      </c>
      <c r="K168" s="18">
        <f t="shared" si="16"/>
        <v>928.71</v>
      </c>
      <c r="L168" s="18">
        <f t="shared" si="17"/>
        <v>886.71</v>
      </c>
    </row>
    <row r="169" spans="2:12" x14ac:dyDescent="0.35">
      <c r="B169" s="29">
        <f>IF(B168="","",IF(B168+1&gt;'Mon prêt'!$C$9,"",B168+1))</f>
        <v>162</v>
      </c>
      <c r="C169" s="30">
        <f>IF($B169="","",EDATE('Mon prêt'!$C$11,B169-1))</f>
        <v>51231</v>
      </c>
      <c r="D169" s="18">
        <f>IF($B169="","",IF(B169='Mon prêt'!$C$9,J168+E169,IF(B169&lt;='Mon prêt'!$C$10,E169,'Mon prêt'!$C$22)))</f>
        <v>886.71</v>
      </c>
      <c r="E169" s="18">
        <f>IF($B169="","",ROUND(J168*'Mon prêt'!$C$8/12,2))</f>
        <v>284.85000000000002</v>
      </c>
      <c r="F169" s="18">
        <f t="shared" si="12"/>
        <v>601.86</v>
      </c>
      <c r="G169" s="18">
        <f>IF($B169="","",ROUND(IF('Mon prêt'!$C$12=Paramètres!$B$36,'Mon prêt'!$C$7,J168)*'Mon prêt'!$C$13/12,2))</f>
        <v>42</v>
      </c>
      <c r="H169" s="18">
        <f t="shared" si="13"/>
        <v>928.71</v>
      </c>
      <c r="I169" s="18">
        <f t="shared" si="14"/>
        <v>78565.31</v>
      </c>
      <c r="J169" s="31">
        <f t="shared" si="15"/>
        <v>101434.69</v>
      </c>
      <c r="K169" s="18">
        <f t="shared" si="16"/>
        <v>928.71</v>
      </c>
      <c r="L169" s="18">
        <f t="shared" si="17"/>
        <v>886.71</v>
      </c>
    </row>
    <row r="170" spans="2:12" x14ac:dyDescent="0.35">
      <c r="B170" s="29">
        <f>IF(B169="","",IF(B169+1&gt;'Mon prêt'!$C$9,"",B169+1))</f>
        <v>163</v>
      </c>
      <c r="C170" s="30">
        <f>IF($B170="","",EDATE('Mon prêt'!$C$11,B170-1))</f>
        <v>51261</v>
      </c>
      <c r="D170" s="18">
        <f>IF($B170="","",IF(B170='Mon prêt'!$C$9,J169+E170,IF(B170&lt;='Mon prêt'!$C$10,E170,'Mon prêt'!$C$22)))</f>
        <v>886.71</v>
      </c>
      <c r="E170" s="18">
        <f>IF($B170="","",ROUND(J169*'Mon prêt'!$C$8/12,2))</f>
        <v>283.17</v>
      </c>
      <c r="F170" s="18">
        <f t="shared" si="12"/>
        <v>603.54</v>
      </c>
      <c r="G170" s="18">
        <f>IF($B170="","",ROUND(IF('Mon prêt'!$C$12=Paramètres!$B$36,'Mon prêt'!$C$7,J169)*'Mon prêt'!$C$13/12,2))</f>
        <v>42</v>
      </c>
      <c r="H170" s="18">
        <f t="shared" si="13"/>
        <v>928.71</v>
      </c>
      <c r="I170" s="18">
        <f t="shared" si="14"/>
        <v>79168.849999999991</v>
      </c>
      <c r="J170" s="31">
        <f t="shared" si="15"/>
        <v>100831.15</v>
      </c>
      <c r="K170" s="18">
        <f t="shared" si="16"/>
        <v>928.71</v>
      </c>
      <c r="L170" s="18">
        <f t="shared" si="17"/>
        <v>886.71</v>
      </c>
    </row>
    <row r="171" spans="2:12" x14ac:dyDescent="0.35">
      <c r="B171" s="29">
        <f>IF(B170="","",IF(B170+1&gt;'Mon prêt'!$C$9,"",B170+1))</f>
        <v>164</v>
      </c>
      <c r="C171" s="30">
        <f>IF($B171="","",EDATE('Mon prêt'!$C$11,B171-1))</f>
        <v>51292</v>
      </c>
      <c r="D171" s="18">
        <f>IF($B171="","",IF(B171='Mon prêt'!$C$9,J170+E171,IF(B171&lt;='Mon prêt'!$C$10,E171,'Mon prêt'!$C$22)))</f>
        <v>886.71</v>
      </c>
      <c r="E171" s="18">
        <f>IF($B171="","",ROUND(J170*'Mon prêt'!$C$8/12,2))</f>
        <v>281.49</v>
      </c>
      <c r="F171" s="18">
        <f t="shared" si="12"/>
        <v>605.22</v>
      </c>
      <c r="G171" s="18">
        <f>IF($B171="","",ROUND(IF('Mon prêt'!$C$12=Paramètres!$B$36,'Mon prêt'!$C$7,J170)*'Mon prêt'!$C$13/12,2))</f>
        <v>42</v>
      </c>
      <c r="H171" s="18">
        <f t="shared" si="13"/>
        <v>928.71</v>
      </c>
      <c r="I171" s="18">
        <f t="shared" si="14"/>
        <v>79774.069999999992</v>
      </c>
      <c r="J171" s="31">
        <f t="shared" si="15"/>
        <v>100225.93</v>
      </c>
      <c r="K171" s="18">
        <f t="shared" si="16"/>
        <v>928.71</v>
      </c>
      <c r="L171" s="18">
        <f t="shared" si="17"/>
        <v>886.71</v>
      </c>
    </row>
    <row r="172" spans="2:12" x14ac:dyDescent="0.35">
      <c r="B172" s="29">
        <f>IF(B171="","",IF(B171+1&gt;'Mon prêt'!$C$9,"",B171+1))</f>
        <v>165</v>
      </c>
      <c r="C172" s="30">
        <f>IF($B172="","",EDATE('Mon prêt'!$C$11,B172-1))</f>
        <v>51322</v>
      </c>
      <c r="D172" s="18">
        <f>IF($B172="","",IF(B172='Mon prêt'!$C$9,J171+E172,IF(B172&lt;='Mon prêt'!$C$10,E172,'Mon prêt'!$C$22)))</f>
        <v>886.71</v>
      </c>
      <c r="E172" s="18">
        <f>IF($B172="","",ROUND(J171*'Mon prêt'!$C$8/12,2))</f>
        <v>279.8</v>
      </c>
      <c r="F172" s="18">
        <f t="shared" si="12"/>
        <v>606.91000000000008</v>
      </c>
      <c r="G172" s="18">
        <f>IF($B172="","",ROUND(IF('Mon prêt'!$C$12=Paramètres!$B$36,'Mon prêt'!$C$7,J171)*'Mon prêt'!$C$13/12,2))</f>
        <v>42</v>
      </c>
      <c r="H172" s="18">
        <f t="shared" si="13"/>
        <v>928.71</v>
      </c>
      <c r="I172" s="18">
        <f t="shared" si="14"/>
        <v>80380.98</v>
      </c>
      <c r="J172" s="31">
        <f t="shared" si="15"/>
        <v>99619.02</v>
      </c>
      <c r="K172" s="18">
        <f t="shared" si="16"/>
        <v>928.71</v>
      </c>
      <c r="L172" s="18">
        <f t="shared" si="17"/>
        <v>886.71</v>
      </c>
    </row>
    <row r="173" spans="2:12" x14ac:dyDescent="0.35">
      <c r="B173" s="29">
        <f>IF(B172="","",IF(B172+1&gt;'Mon prêt'!$C$9,"",B172+1))</f>
        <v>166</v>
      </c>
      <c r="C173" s="30">
        <f>IF($B173="","",EDATE('Mon prêt'!$C$11,B173-1))</f>
        <v>51353</v>
      </c>
      <c r="D173" s="18">
        <f>IF($B173="","",IF(B173='Mon prêt'!$C$9,J172+E173,IF(B173&lt;='Mon prêt'!$C$10,E173,'Mon prêt'!$C$22)))</f>
        <v>886.71</v>
      </c>
      <c r="E173" s="18">
        <f>IF($B173="","",ROUND(J172*'Mon prêt'!$C$8/12,2))</f>
        <v>278.10000000000002</v>
      </c>
      <c r="F173" s="18">
        <f t="shared" si="12"/>
        <v>608.61</v>
      </c>
      <c r="G173" s="18">
        <f>IF($B173="","",ROUND(IF('Mon prêt'!$C$12=Paramètres!$B$36,'Mon prêt'!$C$7,J172)*'Mon prêt'!$C$13/12,2))</f>
        <v>42</v>
      </c>
      <c r="H173" s="18">
        <f t="shared" si="13"/>
        <v>928.71</v>
      </c>
      <c r="I173" s="18">
        <f t="shared" si="14"/>
        <v>80989.59</v>
      </c>
      <c r="J173" s="31">
        <f t="shared" si="15"/>
        <v>99010.41</v>
      </c>
      <c r="K173" s="18">
        <f t="shared" si="16"/>
        <v>928.71</v>
      </c>
      <c r="L173" s="18">
        <f t="shared" si="17"/>
        <v>886.71</v>
      </c>
    </row>
    <row r="174" spans="2:12" x14ac:dyDescent="0.35">
      <c r="B174" s="29">
        <f>IF(B173="","",IF(B173+1&gt;'Mon prêt'!$C$9,"",B173+1))</f>
        <v>167</v>
      </c>
      <c r="C174" s="30">
        <f>IF($B174="","",EDATE('Mon prêt'!$C$11,B174-1))</f>
        <v>51384</v>
      </c>
      <c r="D174" s="18">
        <f>IF($B174="","",IF(B174='Mon prêt'!$C$9,J173+E174,IF(B174&lt;='Mon prêt'!$C$10,E174,'Mon prêt'!$C$22)))</f>
        <v>886.71</v>
      </c>
      <c r="E174" s="18">
        <f>IF($B174="","",ROUND(J173*'Mon prêt'!$C$8/12,2))</f>
        <v>276.39999999999998</v>
      </c>
      <c r="F174" s="18">
        <f t="shared" si="12"/>
        <v>610.31000000000006</v>
      </c>
      <c r="G174" s="18">
        <f>IF($B174="","",ROUND(IF('Mon prêt'!$C$12=Paramètres!$B$36,'Mon prêt'!$C$7,J173)*'Mon prêt'!$C$13/12,2))</f>
        <v>42</v>
      </c>
      <c r="H174" s="18">
        <f t="shared" si="13"/>
        <v>928.71</v>
      </c>
      <c r="I174" s="18">
        <f t="shared" si="14"/>
        <v>81599.899999999994</v>
      </c>
      <c r="J174" s="31">
        <f t="shared" si="15"/>
        <v>98400.1</v>
      </c>
      <c r="K174" s="18">
        <f t="shared" si="16"/>
        <v>928.71</v>
      </c>
      <c r="L174" s="18">
        <f t="shared" si="17"/>
        <v>886.71</v>
      </c>
    </row>
    <row r="175" spans="2:12" x14ac:dyDescent="0.35">
      <c r="B175" s="29">
        <f>IF(B174="","",IF(B174+1&gt;'Mon prêt'!$C$9,"",B174+1))</f>
        <v>168</v>
      </c>
      <c r="C175" s="30">
        <f>IF($B175="","",EDATE('Mon prêt'!$C$11,B175-1))</f>
        <v>51414</v>
      </c>
      <c r="D175" s="18">
        <f>IF($B175="","",IF(B175='Mon prêt'!$C$9,J174+E175,IF(B175&lt;='Mon prêt'!$C$10,E175,'Mon prêt'!$C$22)))</f>
        <v>886.71</v>
      </c>
      <c r="E175" s="18">
        <f>IF($B175="","",ROUND(J174*'Mon prêt'!$C$8/12,2))</f>
        <v>274.7</v>
      </c>
      <c r="F175" s="18">
        <f t="shared" si="12"/>
        <v>612.01</v>
      </c>
      <c r="G175" s="18">
        <f>IF($B175="","",ROUND(IF('Mon prêt'!$C$12=Paramètres!$B$36,'Mon prêt'!$C$7,J174)*'Mon prêt'!$C$13/12,2))</f>
        <v>42</v>
      </c>
      <c r="H175" s="18">
        <f t="shared" si="13"/>
        <v>928.71</v>
      </c>
      <c r="I175" s="18">
        <f t="shared" si="14"/>
        <v>82211.909999999989</v>
      </c>
      <c r="J175" s="31">
        <f t="shared" si="15"/>
        <v>97788.09</v>
      </c>
      <c r="K175" s="18">
        <f t="shared" si="16"/>
        <v>928.71</v>
      </c>
      <c r="L175" s="18">
        <f t="shared" si="17"/>
        <v>886.71</v>
      </c>
    </row>
    <row r="176" spans="2:12" x14ac:dyDescent="0.35">
      <c r="B176" s="29">
        <f>IF(B175="","",IF(B175+1&gt;'Mon prêt'!$C$9,"",B175+1))</f>
        <v>169</v>
      </c>
      <c r="C176" s="30">
        <f>IF($B176="","",EDATE('Mon prêt'!$C$11,B176-1))</f>
        <v>51445</v>
      </c>
      <c r="D176" s="18">
        <f>IF($B176="","",IF(B176='Mon prêt'!$C$9,J175+E176,IF(B176&lt;='Mon prêt'!$C$10,E176,'Mon prêt'!$C$22)))</f>
        <v>886.71</v>
      </c>
      <c r="E176" s="18">
        <f>IF($B176="","",ROUND(J175*'Mon prêt'!$C$8/12,2))</f>
        <v>272.99</v>
      </c>
      <c r="F176" s="18">
        <f t="shared" si="12"/>
        <v>613.72</v>
      </c>
      <c r="G176" s="18">
        <f>IF($B176="","",ROUND(IF('Mon prêt'!$C$12=Paramètres!$B$36,'Mon prêt'!$C$7,J175)*'Mon prêt'!$C$13/12,2))</f>
        <v>42</v>
      </c>
      <c r="H176" s="18">
        <f t="shared" si="13"/>
        <v>928.71</v>
      </c>
      <c r="I176" s="18">
        <f t="shared" si="14"/>
        <v>82825.62999999999</v>
      </c>
      <c r="J176" s="31">
        <f t="shared" si="15"/>
        <v>97174.37</v>
      </c>
      <c r="K176" s="18">
        <f t="shared" si="16"/>
        <v>928.71</v>
      </c>
      <c r="L176" s="18">
        <f t="shared" si="17"/>
        <v>886.71</v>
      </c>
    </row>
    <row r="177" spans="2:12" x14ac:dyDescent="0.35">
      <c r="B177" s="29">
        <f>IF(B176="","",IF(B176+1&gt;'Mon prêt'!$C$9,"",B176+1))</f>
        <v>170</v>
      </c>
      <c r="C177" s="30">
        <f>IF($B177="","",EDATE('Mon prêt'!$C$11,B177-1))</f>
        <v>51475</v>
      </c>
      <c r="D177" s="18">
        <f>IF($B177="","",IF(B177='Mon prêt'!$C$9,J176+E177,IF(B177&lt;='Mon prêt'!$C$10,E177,'Mon prêt'!$C$22)))</f>
        <v>886.71</v>
      </c>
      <c r="E177" s="18">
        <f>IF($B177="","",ROUND(J176*'Mon prêt'!$C$8/12,2))</f>
        <v>271.27999999999997</v>
      </c>
      <c r="F177" s="18">
        <f t="shared" si="12"/>
        <v>615.43000000000006</v>
      </c>
      <c r="G177" s="18">
        <f>IF($B177="","",ROUND(IF('Mon prêt'!$C$12=Paramètres!$B$36,'Mon prêt'!$C$7,J176)*'Mon prêt'!$C$13/12,2))</f>
        <v>42</v>
      </c>
      <c r="H177" s="18">
        <f t="shared" si="13"/>
        <v>928.71</v>
      </c>
      <c r="I177" s="18">
        <f t="shared" si="14"/>
        <v>83441.059999999983</v>
      </c>
      <c r="J177" s="31">
        <f t="shared" si="15"/>
        <v>96558.94</v>
      </c>
      <c r="K177" s="18">
        <f t="shared" si="16"/>
        <v>928.71</v>
      </c>
      <c r="L177" s="18">
        <f t="shared" si="17"/>
        <v>886.71</v>
      </c>
    </row>
    <row r="178" spans="2:12" x14ac:dyDescent="0.35">
      <c r="B178" s="29">
        <f>IF(B177="","",IF(B177+1&gt;'Mon prêt'!$C$9,"",B177+1))</f>
        <v>171</v>
      </c>
      <c r="C178" s="30">
        <f>IF($B178="","",EDATE('Mon prêt'!$C$11,B178-1))</f>
        <v>51506</v>
      </c>
      <c r="D178" s="18">
        <f>IF($B178="","",IF(B178='Mon prêt'!$C$9,J177+E178,IF(B178&lt;='Mon prêt'!$C$10,E178,'Mon prêt'!$C$22)))</f>
        <v>886.71</v>
      </c>
      <c r="E178" s="18">
        <f>IF($B178="","",ROUND(J177*'Mon prêt'!$C$8/12,2))</f>
        <v>269.56</v>
      </c>
      <c r="F178" s="18">
        <f t="shared" si="12"/>
        <v>617.15000000000009</v>
      </c>
      <c r="G178" s="18">
        <f>IF($B178="","",ROUND(IF('Mon prêt'!$C$12=Paramètres!$B$36,'Mon prêt'!$C$7,J177)*'Mon prêt'!$C$13/12,2))</f>
        <v>42</v>
      </c>
      <c r="H178" s="18">
        <f t="shared" si="13"/>
        <v>928.71</v>
      </c>
      <c r="I178" s="18">
        <f t="shared" si="14"/>
        <v>84058.209999999977</v>
      </c>
      <c r="J178" s="31">
        <f t="shared" si="15"/>
        <v>95941.79</v>
      </c>
      <c r="K178" s="18">
        <f t="shared" si="16"/>
        <v>928.71</v>
      </c>
      <c r="L178" s="18">
        <f t="shared" si="17"/>
        <v>886.71</v>
      </c>
    </row>
    <row r="179" spans="2:12" x14ac:dyDescent="0.35">
      <c r="B179" s="29">
        <f>IF(B178="","",IF(B178+1&gt;'Mon prêt'!$C$9,"",B178+1))</f>
        <v>172</v>
      </c>
      <c r="C179" s="30">
        <f>IF($B179="","",EDATE('Mon prêt'!$C$11,B179-1))</f>
        <v>51537</v>
      </c>
      <c r="D179" s="18">
        <f>IF($B179="","",IF(B179='Mon prêt'!$C$9,J178+E179,IF(B179&lt;='Mon prêt'!$C$10,E179,'Mon prêt'!$C$22)))</f>
        <v>886.71</v>
      </c>
      <c r="E179" s="18">
        <f>IF($B179="","",ROUND(J178*'Mon prêt'!$C$8/12,2))</f>
        <v>267.83999999999997</v>
      </c>
      <c r="F179" s="18">
        <f t="shared" si="12"/>
        <v>618.87000000000012</v>
      </c>
      <c r="G179" s="18">
        <f>IF($B179="","",ROUND(IF('Mon prêt'!$C$12=Paramètres!$B$36,'Mon prêt'!$C$7,J178)*'Mon prêt'!$C$13/12,2))</f>
        <v>42</v>
      </c>
      <c r="H179" s="18">
        <f t="shared" si="13"/>
        <v>928.71</v>
      </c>
      <c r="I179" s="18">
        <f t="shared" si="14"/>
        <v>84677.079999999973</v>
      </c>
      <c r="J179" s="31">
        <f t="shared" si="15"/>
        <v>95322.92</v>
      </c>
      <c r="K179" s="18">
        <f t="shared" si="16"/>
        <v>928.71</v>
      </c>
      <c r="L179" s="18">
        <f t="shared" si="17"/>
        <v>886.71</v>
      </c>
    </row>
    <row r="180" spans="2:12" x14ac:dyDescent="0.35">
      <c r="B180" s="29">
        <f>IF(B179="","",IF(B179+1&gt;'Mon prêt'!$C$9,"",B179+1))</f>
        <v>173</v>
      </c>
      <c r="C180" s="30">
        <f>IF($B180="","",EDATE('Mon prêt'!$C$11,B180-1))</f>
        <v>51565</v>
      </c>
      <c r="D180" s="18">
        <f>IF($B180="","",IF(B180='Mon prêt'!$C$9,J179+E180,IF(B180&lt;='Mon prêt'!$C$10,E180,'Mon prêt'!$C$22)))</f>
        <v>886.71</v>
      </c>
      <c r="E180" s="18">
        <f>IF($B180="","",ROUND(J179*'Mon prêt'!$C$8/12,2))</f>
        <v>266.11</v>
      </c>
      <c r="F180" s="18">
        <f t="shared" si="12"/>
        <v>620.6</v>
      </c>
      <c r="G180" s="18">
        <f>IF($B180="","",ROUND(IF('Mon prêt'!$C$12=Paramètres!$B$36,'Mon prêt'!$C$7,J179)*'Mon prêt'!$C$13/12,2))</f>
        <v>42</v>
      </c>
      <c r="H180" s="18">
        <f t="shared" si="13"/>
        <v>928.71</v>
      </c>
      <c r="I180" s="18">
        <f t="shared" si="14"/>
        <v>85297.679999999978</v>
      </c>
      <c r="J180" s="31">
        <f t="shared" si="15"/>
        <v>94702.32</v>
      </c>
      <c r="K180" s="18">
        <f t="shared" si="16"/>
        <v>928.71</v>
      </c>
      <c r="L180" s="18">
        <f t="shared" si="17"/>
        <v>886.71</v>
      </c>
    </row>
    <row r="181" spans="2:12" x14ac:dyDescent="0.35">
      <c r="B181" s="29">
        <f>IF(B180="","",IF(B180+1&gt;'Mon prêt'!$C$9,"",B180+1))</f>
        <v>174</v>
      </c>
      <c r="C181" s="30">
        <f>IF($B181="","",EDATE('Mon prêt'!$C$11,B181-1))</f>
        <v>51596</v>
      </c>
      <c r="D181" s="18">
        <f>IF($B181="","",IF(B181='Mon prêt'!$C$9,J180+E181,IF(B181&lt;='Mon prêt'!$C$10,E181,'Mon prêt'!$C$22)))</f>
        <v>886.71</v>
      </c>
      <c r="E181" s="18">
        <f>IF($B181="","",ROUND(J180*'Mon prêt'!$C$8/12,2))</f>
        <v>264.38</v>
      </c>
      <c r="F181" s="18">
        <f t="shared" si="12"/>
        <v>622.33000000000004</v>
      </c>
      <c r="G181" s="18">
        <f>IF($B181="","",ROUND(IF('Mon prêt'!$C$12=Paramètres!$B$36,'Mon prêt'!$C$7,J180)*'Mon prêt'!$C$13/12,2))</f>
        <v>42</v>
      </c>
      <c r="H181" s="18">
        <f t="shared" si="13"/>
        <v>928.71</v>
      </c>
      <c r="I181" s="18">
        <f t="shared" si="14"/>
        <v>85920.00999999998</v>
      </c>
      <c r="J181" s="31">
        <f t="shared" si="15"/>
        <v>94079.99</v>
      </c>
      <c r="K181" s="18">
        <f t="shared" si="16"/>
        <v>928.71</v>
      </c>
      <c r="L181" s="18">
        <f t="shared" si="17"/>
        <v>886.71</v>
      </c>
    </row>
    <row r="182" spans="2:12" x14ac:dyDescent="0.35">
      <c r="B182" s="29">
        <f>IF(B181="","",IF(B181+1&gt;'Mon prêt'!$C$9,"",B181+1))</f>
        <v>175</v>
      </c>
      <c r="C182" s="30">
        <f>IF($B182="","",EDATE('Mon prêt'!$C$11,B182-1))</f>
        <v>51626</v>
      </c>
      <c r="D182" s="18">
        <f>IF($B182="","",IF(B182='Mon prêt'!$C$9,J181+E182,IF(B182&lt;='Mon prêt'!$C$10,E182,'Mon prêt'!$C$22)))</f>
        <v>886.71</v>
      </c>
      <c r="E182" s="18">
        <f>IF($B182="","",ROUND(J181*'Mon prêt'!$C$8/12,2))</f>
        <v>262.64</v>
      </c>
      <c r="F182" s="18">
        <f t="shared" si="12"/>
        <v>624.07000000000005</v>
      </c>
      <c r="G182" s="18">
        <f>IF($B182="","",ROUND(IF('Mon prêt'!$C$12=Paramètres!$B$36,'Mon prêt'!$C$7,J181)*'Mon prêt'!$C$13/12,2))</f>
        <v>42</v>
      </c>
      <c r="H182" s="18">
        <f t="shared" si="13"/>
        <v>928.71</v>
      </c>
      <c r="I182" s="18">
        <f t="shared" si="14"/>
        <v>86544.079999999987</v>
      </c>
      <c r="J182" s="31">
        <f t="shared" si="15"/>
        <v>93455.92</v>
      </c>
      <c r="K182" s="18">
        <f t="shared" si="16"/>
        <v>928.71</v>
      </c>
      <c r="L182" s="18">
        <f t="shared" si="17"/>
        <v>886.71</v>
      </c>
    </row>
    <row r="183" spans="2:12" x14ac:dyDescent="0.35">
      <c r="B183" s="29">
        <f>IF(B182="","",IF(B182+1&gt;'Mon prêt'!$C$9,"",B182+1))</f>
        <v>176</v>
      </c>
      <c r="C183" s="30">
        <f>IF($B183="","",EDATE('Mon prêt'!$C$11,B183-1))</f>
        <v>51657</v>
      </c>
      <c r="D183" s="18">
        <f>IF($B183="","",IF(B183='Mon prêt'!$C$9,J182+E183,IF(B183&lt;='Mon prêt'!$C$10,E183,'Mon prêt'!$C$22)))</f>
        <v>886.71</v>
      </c>
      <c r="E183" s="18">
        <f>IF($B183="","",ROUND(J182*'Mon prêt'!$C$8/12,2))</f>
        <v>260.89999999999998</v>
      </c>
      <c r="F183" s="18">
        <f t="shared" si="12"/>
        <v>625.81000000000006</v>
      </c>
      <c r="G183" s="18">
        <f>IF($B183="","",ROUND(IF('Mon prêt'!$C$12=Paramètres!$B$36,'Mon prêt'!$C$7,J182)*'Mon prêt'!$C$13/12,2))</f>
        <v>42</v>
      </c>
      <c r="H183" s="18">
        <f t="shared" si="13"/>
        <v>928.71</v>
      </c>
      <c r="I183" s="18">
        <f t="shared" si="14"/>
        <v>87169.889999999985</v>
      </c>
      <c r="J183" s="31">
        <f t="shared" si="15"/>
        <v>92830.11</v>
      </c>
      <c r="K183" s="18">
        <f t="shared" si="16"/>
        <v>928.71</v>
      </c>
      <c r="L183" s="18">
        <f t="shared" si="17"/>
        <v>886.71</v>
      </c>
    </row>
    <row r="184" spans="2:12" x14ac:dyDescent="0.35">
      <c r="B184" s="29">
        <f>IF(B183="","",IF(B183+1&gt;'Mon prêt'!$C$9,"",B183+1))</f>
        <v>177</v>
      </c>
      <c r="C184" s="30">
        <f>IF($B184="","",EDATE('Mon prêt'!$C$11,B184-1))</f>
        <v>51687</v>
      </c>
      <c r="D184" s="18">
        <f>IF($B184="","",IF(B184='Mon prêt'!$C$9,J183+E184,IF(B184&lt;='Mon prêt'!$C$10,E184,'Mon prêt'!$C$22)))</f>
        <v>886.71</v>
      </c>
      <c r="E184" s="18">
        <f>IF($B184="","",ROUND(J183*'Mon prêt'!$C$8/12,2))</f>
        <v>259.14999999999998</v>
      </c>
      <c r="F184" s="18">
        <f t="shared" si="12"/>
        <v>627.56000000000006</v>
      </c>
      <c r="G184" s="18">
        <f>IF($B184="","",ROUND(IF('Mon prêt'!$C$12=Paramètres!$B$36,'Mon prêt'!$C$7,J183)*'Mon prêt'!$C$13/12,2))</f>
        <v>42</v>
      </c>
      <c r="H184" s="18">
        <f t="shared" si="13"/>
        <v>928.71</v>
      </c>
      <c r="I184" s="18">
        <f t="shared" si="14"/>
        <v>87797.449999999983</v>
      </c>
      <c r="J184" s="31">
        <f t="shared" si="15"/>
        <v>92202.55</v>
      </c>
      <c r="K184" s="18">
        <f t="shared" si="16"/>
        <v>928.71</v>
      </c>
      <c r="L184" s="18">
        <f t="shared" si="17"/>
        <v>886.71</v>
      </c>
    </row>
    <row r="185" spans="2:12" x14ac:dyDescent="0.35">
      <c r="B185" s="29">
        <f>IF(B184="","",IF(B184+1&gt;'Mon prêt'!$C$9,"",B184+1))</f>
        <v>178</v>
      </c>
      <c r="C185" s="30">
        <f>IF($B185="","",EDATE('Mon prêt'!$C$11,B185-1))</f>
        <v>51718</v>
      </c>
      <c r="D185" s="18">
        <f>IF($B185="","",IF(B185='Mon prêt'!$C$9,J184+E185,IF(B185&lt;='Mon prêt'!$C$10,E185,'Mon prêt'!$C$22)))</f>
        <v>886.71</v>
      </c>
      <c r="E185" s="18">
        <f>IF($B185="","",ROUND(J184*'Mon prêt'!$C$8/12,2))</f>
        <v>257.39999999999998</v>
      </c>
      <c r="F185" s="18">
        <f t="shared" si="12"/>
        <v>629.31000000000006</v>
      </c>
      <c r="G185" s="18">
        <f>IF($B185="","",ROUND(IF('Mon prêt'!$C$12=Paramètres!$B$36,'Mon prêt'!$C$7,J184)*'Mon prêt'!$C$13/12,2))</f>
        <v>42</v>
      </c>
      <c r="H185" s="18">
        <f t="shared" si="13"/>
        <v>928.71</v>
      </c>
      <c r="I185" s="18">
        <f t="shared" si="14"/>
        <v>88426.75999999998</v>
      </c>
      <c r="J185" s="31">
        <f t="shared" si="15"/>
        <v>91573.24</v>
      </c>
      <c r="K185" s="18">
        <f t="shared" si="16"/>
        <v>928.71</v>
      </c>
      <c r="L185" s="18">
        <f t="shared" si="17"/>
        <v>886.71</v>
      </c>
    </row>
    <row r="186" spans="2:12" x14ac:dyDescent="0.35">
      <c r="B186" s="29">
        <f>IF(B185="","",IF(B185+1&gt;'Mon prêt'!$C$9,"",B185+1))</f>
        <v>179</v>
      </c>
      <c r="C186" s="30">
        <f>IF($B186="","",EDATE('Mon prêt'!$C$11,B186-1))</f>
        <v>51749</v>
      </c>
      <c r="D186" s="18">
        <f>IF($B186="","",IF(B186='Mon prêt'!$C$9,J185+E186,IF(B186&lt;='Mon prêt'!$C$10,E186,'Mon prêt'!$C$22)))</f>
        <v>886.71</v>
      </c>
      <c r="E186" s="18">
        <f>IF($B186="","",ROUND(J185*'Mon prêt'!$C$8/12,2))</f>
        <v>255.64</v>
      </c>
      <c r="F186" s="18">
        <f t="shared" si="12"/>
        <v>631.07000000000005</v>
      </c>
      <c r="G186" s="18">
        <f>IF($B186="","",ROUND(IF('Mon prêt'!$C$12=Paramètres!$B$36,'Mon prêt'!$C$7,J185)*'Mon prêt'!$C$13/12,2))</f>
        <v>42</v>
      </c>
      <c r="H186" s="18">
        <f t="shared" si="13"/>
        <v>928.71</v>
      </c>
      <c r="I186" s="18">
        <f t="shared" si="14"/>
        <v>89057.829999999987</v>
      </c>
      <c r="J186" s="31">
        <f t="shared" si="15"/>
        <v>90942.17</v>
      </c>
      <c r="K186" s="18">
        <f t="shared" si="16"/>
        <v>928.71</v>
      </c>
      <c r="L186" s="18">
        <f t="shared" si="17"/>
        <v>886.71</v>
      </c>
    </row>
    <row r="187" spans="2:12" x14ac:dyDescent="0.35">
      <c r="B187" s="29">
        <f>IF(B186="","",IF(B186+1&gt;'Mon prêt'!$C$9,"",B186+1))</f>
        <v>180</v>
      </c>
      <c r="C187" s="30">
        <f>IF($B187="","",EDATE('Mon prêt'!$C$11,B187-1))</f>
        <v>51779</v>
      </c>
      <c r="D187" s="18">
        <f>IF($B187="","",IF(B187='Mon prêt'!$C$9,J186+E187,IF(B187&lt;='Mon prêt'!$C$10,E187,'Mon prêt'!$C$22)))</f>
        <v>886.71</v>
      </c>
      <c r="E187" s="18">
        <f>IF($B187="","",ROUND(J186*'Mon prêt'!$C$8/12,2))</f>
        <v>253.88</v>
      </c>
      <c r="F187" s="18">
        <f t="shared" si="12"/>
        <v>632.83000000000004</v>
      </c>
      <c r="G187" s="18">
        <f>IF($B187="","",ROUND(IF('Mon prêt'!$C$12=Paramètres!$B$36,'Mon prêt'!$C$7,J186)*'Mon prêt'!$C$13/12,2))</f>
        <v>42</v>
      </c>
      <c r="H187" s="18">
        <f t="shared" si="13"/>
        <v>928.71</v>
      </c>
      <c r="I187" s="18">
        <f t="shared" si="14"/>
        <v>89690.659999999989</v>
      </c>
      <c r="J187" s="31">
        <f t="shared" si="15"/>
        <v>90309.34</v>
      </c>
      <c r="K187" s="18">
        <f t="shared" si="16"/>
        <v>928.71</v>
      </c>
      <c r="L187" s="18">
        <f t="shared" si="17"/>
        <v>886.71</v>
      </c>
    </row>
    <row r="188" spans="2:12" x14ac:dyDescent="0.35">
      <c r="B188" s="29">
        <f>IF(B187="","",IF(B187+1&gt;'Mon prêt'!$C$9,"",B187+1))</f>
        <v>181</v>
      </c>
      <c r="C188" s="30">
        <f>IF($B188="","",EDATE('Mon prêt'!$C$11,B188-1))</f>
        <v>51810</v>
      </c>
      <c r="D188" s="18">
        <f>IF($B188="","",IF(B188='Mon prêt'!$C$9,J187+E188,IF(B188&lt;='Mon prêt'!$C$10,E188,'Mon prêt'!$C$22)))</f>
        <v>886.71</v>
      </c>
      <c r="E188" s="18">
        <f>IF($B188="","",ROUND(J187*'Mon prêt'!$C$8/12,2))</f>
        <v>252.11</v>
      </c>
      <c r="F188" s="18">
        <f t="shared" si="12"/>
        <v>634.6</v>
      </c>
      <c r="G188" s="18">
        <f>IF($B188="","",ROUND(IF('Mon prêt'!$C$12=Paramètres!$B$36,'Mon prêt'!$C$7,J187)*'Mon prêt'!$C$13/12,2))</f>
        <v>42</v>
      </c>
      <c r="H188" s="18">
        <f t="shared" si="13"/>
        <v>928.71</v>
      </c>
      <c r="I188" s="18">
        <f t="shared" si="14"/>
        <v>90325.26</v>
      </c>
      <c r="J188" s="31">
        <f t="shared" si="15"/>
        <v>89674.74</v>
      </c>
      <c r="K188" s="18">
        <f t="shared" si="16"/>
        <v>928.71</v>
      </c>
      <c r="L188" s="18">
        <f t="shared" si="17"/>
        <v>886.71</v>
      </c>
    </row>
    <row r="189" spans="2:12" x14ac:dyDescent="0.35">
      <c r="B189" s="29">
        <f>IF(B188="","",IF(B188+1&gt;'Mon prêt'!$C$9,"",B188+1))</f>
        <v>182</v>
      </c>
      <c r="C189" s="30">
        <f>IF($B189="","",EDATE('Mon prêt'!$C$11,B189-1))</f>
        <v>51840</v>
      </c>
      <c r="D189" s="18">
        <f>IF($B189="","",IF(B189='Mon prêt'!$C$9,J188+E189,IF(B189&lt;='Mon prêt'!$C$10,E189,'Mon prêt'!$C$22)))</f>
        <v>886.71</v>
      </c>
      <c r="E189" s="18">
        <f>IF($B189="","",ROUND(J188*'Mon prêt'!$C$8/12,2))</f>
        <v>250.34</v>
      </c>
      <c r="F189" s="18">
        <f t="shared" si="12"/>
        <v>636.37</v>
      </c>
      <c r="G189" s="18">
        <f>IF($B189="","",ROUND(IF('Mon prêt'!$C$12=Paramètres!$B$36,'Mon prêt'!$C$7,J188)*'Mon prêt'!$C$13/12,2))</f>
        <v>42</v>
      </c>
      <c r="H189" s="18">
        <f t="shared" si="13"/>
        <v>928.71</v>
      </c>
      <c r="I189" s="18">
        <f t="shared" si="14"/>
        <v>90961.62999999999</v>
      </c>
      <c r="J189" s="31">
        <f t="shared" si="15"/>
        <v>89038.37</v>
      </c>
      <c r="K189" s="18">
        <f t="shared" si="16"/>
        <v>928.71</v>
      </c>
      <c r="L189" s="18">
        <f t="shared" si="17"/>
        <v>886.71</v>
      </c>
    </row>
    <row r="190" spans="2:12" x14ac:dyDescent="0.35">
      <c r="B190" s="29">
        <f>IF(B189="","",IF(B189+1&gt;'Mon prêt'!$C$9,"",B189+1))</f>
        <v>183</v>
      </c>
      <c r="C190" s="30">
        <f>IF($B190="","",EDATE('Mon prêt'!$C$11,B190-1))</f>
        <v>51871</v>
      </c>
      <c r="D190" s="18">
        <f>IF($B190="","",IF(B190='Mon prêt'!$C$9,J189+E190,IF(B190&lt;='Mon prêt'!$C$10,E190,'Mon prêt'!$C$22)))</f>
        <v>886.71</v>
      </c>
      <c r="E190" s="18">
        <f>IF($B190="","",ROUND(J189*'Mon prêt'!$C$8/12,2))</f>
        <v>248.57</v>
      </c>
      <c r="F190" s="18">
        <f t="shared" si="12"/>
        <v>638.1400000000001</v>
      </c>
      <c r="G190" s="18">
        <f>IF($B190="","",ROUND(IF('Mon prêt'!$C$12=Paramètres!$B$36,'Mon prêt'!$C$7,J189)*'Mon prêt'!$C$13/12,2))</f>
        <v>42</v>
      </c>
      <c r="H190" s="18">
        <f t="shared" si="13"/>
        <v>928.71</v>
      </c>
      <c r="I190" s="18">
        <f t="shared" si="14"/>
        <v>91599.76999999999</v>
      </c>
      <c r="J190" s="31">
        <f t="shared" si="15"/>
        <v>88400.23</v>
      </c>
      <c r="K190" s="18">
        <f t="shared" si="16"/>
        <v>928.71</v>
      </c>
      <c r="L190" s="18">
        <f t="shared" si="17"/>
        <v>886.71</v>
      </c>
    </row>
    <row r="191" spans="2:12" x14ac:dyDescent="0.35">
      <c r="B191" s="29">
        <f>IF(B190="","",IF(B190+1&gt;'Mon prêt'!$C$9,"",B190+1))</f>
        <v>184</v>
      </c>
      <c r="C191" s="30">
        <f>IF($B191="","",EDATE('Mon prêt'!$C$11,B191-1))</f>
        <v>51902</v>
      </c>
      <c r="D191" s="18">
        <f>IF($B191="","",IF(B191='Mon prêt'!$C$9,J190+E191,IF(B191&lt;='Mon prêt'!$C$10,E191,'Mon prêt'!$C$22)))</f>
        <v>886.71</v>
      </c>
      <c r="E191" s="18">
        <f>IF($B191="","",ROUND(J190*'Mon prêt'!$C$8/12,2))</f>
        <v>246.78</v>
      </c>
      <c r="F191" s="18">
        <f t="shared" si="12"/>
        <v>639.93000000000006</v>
      </c>
      <c r="G191" s="18">
        <f>IF($B191="","",ROUND(IF('Mon prêt'!$C$12=Paramètres!$B$36,'Mon prêt'!$C$7,J190)*'Mon prêt'!$C$13/12,2))</f>
        <v>42</v>
      </c>
      <c r="H191" s="18">
        <f t="shared" si="13"/>
        <v>928.71</v>
      </c>
      <c r="I191" s="18">
        <f t="shared" si="14"/>
        <v>92239.699999999983</v>
      </c>
      <c r="J191" s="31">
        <f t="shared" si="15"/>
        <v>87760.3</v>
      </c>
      <c r="K191" s="18">
        <f t="shared" si="16"/>
        <v>928.71</v>
      </c>
      <c r="L191" s="18">
        <f t="shared" si="17"/>
        <v>886.71</v>
      </c>
    </row>
    <row r="192" spans="2:12" x14ac:dyDescent="0.35">
      <c r="B192" s="29">
        <f>IF(B191="","",IF(B191+1&gt;'Mon prêt'!$C$9,"",B191+1))</f>
        <v>185</v>
      </c>
      <c r="C192" s="30">
        <f>IF($B192="","",EDATE('Mon prêt'!$C$11,B192-1))</f>
        <v>51930</v>
      </c>
      <c r="D192" s="18">
        <f>IF($B192="","",IF(B192='Mon prêt'!$C$9,J191+E192,IF(B192&lt;='Mon prêt'!$C$10,E192,'Mon prêt'!$C$22)))</f>
        <v>886.71</v>
      </c>
      <c r="E192" s="18">
        <f>IF($B192="","",ROUND(J191*'Mon prêt'!$C$8/12,2))</f>
        <v>245</v>
      </c>
      <c r="F192" s="18">
        <f t="shared" si="12"/>
        <v>641.71</v>
      </c>
      <c r="G192" s="18">
        <f>IF($B192="","",ROUND(IF('Mon prêt'!$C$12=Paramètres!$B$36,'Mon prêt'!$C$7,J191)*'Mon prêt'!$C$13/12,2))</f>
        <v>42</v>
      </c>
      <c r="H192" s="18">
        <f t="shared" si="13"/>
        <v>928.71</v>
      </c>
      <c r="I192" s="18">
        <f t="shared" si="14"/>
        <v>92881.409999999989</v>
      </c>
      <c r="J192" s="31">
        <f t="shared" si="15"/>
        <v>87118.59</v>
      </c>
      <c r="K192" s="18">
        <f t="shared" si="16"/>
        <v>928.71</v>
      </c>
      <c r="L192" s="18">
        <f t="shared" si="17"/>
        <v>886.71</v>
      </c>
    </row>
    <row r="193" spans="2:12" x14ac:dyDescent="0.35">
      <c r="B193" s="29">
        <f>IF(B192="","",IF(B192+1&gt;'Mon prêt'!$C$9,"",B192+1))</f>
        <v>186</v>
      </c>
      <c r="C193" s="30">
        <f>IF($B193="","",EDATE('Mon prêt'!$C$11,B193-1))</f>
        <v>51961</v>
      </c>
      <c r="D193" s="18">
        <f>IF($B193="","",IF(B193='Mon prêt'!$C$9,J192+E193,IF(B193&lt;='Mon prêt'!$C$10,E193,'Mon prêt'!$C$22)))</f>
        <v>886.71</v>
      </c>
      <c r="E193" s="18">
        <f>IF($B193="","",ROUND(J192*'Mon prêt'!$C$8/12,2))</f>
        <v>243.21</v>
      </c>
      <c r="F193" s="18">
        <f t="shared" si="12"/>
        <v>643.5</v>
      </c>
      <c r="G193" s="18">
        <f>IF($B193="","",ROUND(IF('Mon prêt'!$C$12=Paramètres!$B$36,'Mon prêt'!$C$7,J192)*'Mon prêt'!$C$13/12,2))</f>
        <v>42</v>
      </c>
      <c r="H193" s="18">
        <f t="shared" si="13"/>
        <v>928.71</v>
      </c>
      <c r="I193" s="18">
        <f t="shared" si="14"/>
        <v>93524.909999999989</v>
      </c>
      <c r="J193" s="31">
        <f t="shared" si="15"/>
        <v>86475.09</v>
      </c>
      <c r="K193" s="18">
        <f t="shared" si="16"/>
        <v>928.71</v>
      </c>
      <c r="L193" s="18">
        <f t="shared" si="17"/>
        <v>886.71</v>
      </c>
    </row>
    <row r="194" spans="2:12" x14ac:dyDescent="0.35">
      <c r="B194" s="29">
        <f>IF(B193="","",IF(B193+1&gt;'Mon prêt'!$C$9,"",B193+1))</f>
        <v>187</v>
      </c>
      <c r="C194" s="30">
        <f>IF($B194="","",EDATE('Mon prêt'!$C$11,B194-1))</f>
        <v>51991</v>
      </c>
      <c r="D194" s="18">
        <f>IF($B194="","",IF(B194='Mon prêt'!$C$9,J193+E194,IF(B194&lt;='Mon prêt'!$C$10,E194,'Mon prêt'!$C$22)))</f>
        <v>886.71</v>
      </c>
      <c r="E194" s="18">
        <f>IF($B194="","",ROUND(J193*'Mon prêt'!$C$8/12,2))</f>
        <v>241.41</v>
      </c>
      <c r="F194" s="18">
        <f t="shared" si="12"/>
        <v>645.30000000000007</v>
      </c>
      <c r="G194" s="18">
        <f>IF($B194="","",ROUND(IF('Mon prêt'!$C$12=Paramètres!$B$36,'Mon prêt'!$C$7,J193)*'Mon prêt'!$C$13/12,2))</f>
        <v>42</v>
      </c>
      <c r="H194" s="18">
        <f t="shared" si="13"/>
        <v>928.71</v>
      </c>
      <c r="I194" s="18">
        <f t="shared" si="14"/>
        <v>94170.209999999992</v>
      </c>
      <c r="J194" s="31">
        <f t="shared" si="15"/>
        <v>85829.79</v>
      </c>
      <c r="K194" s="18">
        <f t="shared" si="16"/>
        <v>928.71</v>
      </c>
      <c r="L194" s="18">
        <f t="shared" si="17"/>
        <v>886.71</v>
      </c>
    </row>
    <row r="195" spans="2:12" x14ac:dyDescent="0.35">
      <c r="B195" s="29">
        <f>IF(B194="","",IF(B194+1&gt;'Mon prêt'!$C$9,"",B194+1))</f>
        <v>188</v>
      </c>
      <c r="C195" s="30">
        <f>IF($B195="","",EDATE('Mon prêt'!$C$11,B195-1))</f>
        <v>52022</v>
      </c>
      <c r="D195" s="18">
        <f>IF($B195="","",IF(B195='Mon prêt'!$C$9,J194+E195,IF(B195&lt;='Mon prêt'!$C$10,E195,'Mon prêt'!$C$22)))</f>
        <v>886.71</v>
      </c>
      <c r="E195" s="18">
        <f>IF($B195="","",ROUND(J194*'Mon prêt'!$C$8/12,2))</f>
        <v>239.61</v>
      </c>
      <c r="F195" s="18">
        <f t="shared" si="12"/>
        <v>647.1</v>
      </c>
      <c r="G195" s="18">
        <f>IF($B195="","",ROUND(IF('Mon prêt'!$C$12=Paramètres!$B$36,'Mon prêt'!$C$7,J194)*'Mon prêt'!$C$13/12,2))</f>
        <v>42</v>
      </c>
      <c r="H195" s="18">
        <f t="shared" si="13"/>
        <v>928.71</v>
      </c>
      <c r="I195" s="18">
        <f t="shared" si="14"/>
        <v>94817.31</v>
      </c>
      <c r="J195" s="31">
        <f t="shared" si="15"/>
        <v>85182.69</v>
      </c>
      <c r="K195" s="18">
        <f t="shared" si="16"/>
        <v>928.71</v>
      </c>
      <c r="L195" s="18">
        <f t="shared" si="17"/>
        <v>886.71</v>
      </c>
    </row>
    <row r="196" spans="2:12" x14ac:dyDescent="0.35">
      <c r="B196" s="29">
        <f>IF(B195="","",IF(B195+1&gt;'Mon prêt'!$C$9,"",B195+1))</f>
        <v>189</v>
      </c>
      <c r="C196" s="30">
        <f>IF($B196="","",EDATE('Mon prêt'!$C$11,B196-1))</f>
        <v>52052</v>
      </c>
      <c r="D196" s="18">
        <f>IF($B196="","",IF(B196='Mon prêt'!$C$9,J195+E196,IF(B196&lt;='Mon prêt'!$C$10,E196,'Mon prêt'!$C$22)))</f>
        <v>886.71</v>
      </c>
      <c r="E196" s="18">
        <f>IF($B196="","",ROUND(J195*'Mon prêt'!$C$8/12,2))</f>
        <v>237.8</v>
      </c>
      <c r="F196" s="18">
        <f t="shared" si="12"/>
        <v>648.91000000000008</v>
      </c>
      <c r="G196" s="18">
        <f>IF($B196="","",ROUND(IF('Mon prêt'!$C$12=Paramètres!$B$36,'Mon prêt'!$C$7,J195)*'Mon prêt'!$C$13/12,2))</f>
        <v>42</v>
      </c>
      <c r="H196" s="18">
        <f t="shared" si="13"/>
        <v>928.71</v>
      </c>
      <c r="I196" s="18">
        <f t="shared" si="14"/>
        <v>95466.22</v>
      </c>
      <c r="J196" s="31">
        <f t="shared" si="15"/>
        <v>84533.78</v>
      </c>
      <c r="K196" s="18">
        <f t="shared" si="16"/>
        <v>928.71</v>
      </c>
      <c r="L196" s="18">
        <f t="shared" si="17"/>
        <v>886.71</v>
      </c>
    </row>
    <row r="197" spans="2:12" x14ac:dyDescent="0.35">
      <c r="B197" s="29">
        <f>IF(B196="","",IF(B196+1&gt;'Mon prêt'!$C$9,"",B196+1))</f>
        <v>190</v>
      </c>
      <c r="C197" s="30">
        <f>IF($B197="","",EDATE('Mon prêt'!$C$11,B197-1))</f>
        <v>52083</v>
      </c>
      <c r="D197" s="18">
        <f>IF($B197="","",IF(B197='Mon prêt'!$C$9,J196+E197,IF(B197&lt;='Mon prêt'!$C$10,E197,'Mon prêt'!$C$22)))</f>
        <v>886.71</v>
      </c>
      <c r="E197" s="18">
        <f>IF($B197="","",ROUND(J196*'Mon prêt'!$C$8/12,2))</f>
        <v>235.99</v>
      </c>
      <c r="F197" s="18">
        <f t="shared" si="12"/>
        <v>650.72</v>
      </c>
      <c r="G197" s="18">
        <f>IF($B197="","",ROUND(IF('Mon prêt'!$C$12=Paramètres!$B$36,'Mon prêt'!$C$7,J196)*'Mon prêt'!$C$13/12,2))</f>
        <v>42</v>
      </c>
      <c r="H197" s="18">
        <f t="shared" si="13"/>
        <v>928.71</v>
      </c>
      <c r="I197" s="18">
        <f t="shared" si="14"/>
        <v>96116.94</v>
      </c>
      <c r="J197" s="31">
        <f t="shared" si="15"/>
        <v>83883.06</v>
      </c>
      <c r="K197" s="18">
        <f t="shared" si="16"/>
        <v>928.71</v>
      </c>
      <c r="L197" s="18">
        <f t="shared" si="17"/>
        <v>886.71</v>
      </c>
    </row>
    <row r="198" spans="2:12" x14ac:dyDescent="0.35">
      <c r="B198" s="29">
        <f>IF(B197="","",IF(B197+1&gt;'Mon prêt'!$C$9,"",B197+1))</f>
        <v>191</v>
      </c>
      <c r="C198" s="30">
        <f>IF($B198="","",EDATE('Mon prêt'!$C$11,B198-1))</f>
        <v>52114</v>
      </c>
      <c r="D198" s="18">
        <f>IF($B198="","",IF(B198='Mon prêt'!$C$9,J197+E198,IF(B198&lt;='Mon prêt'!$C$10,E198,'Mon prêt'!$C$22)))</f>
        <v>886.71</v>
      </c>
      <c r="E198" s="18">
        <f>IF($B198="","",ROUND(J197*'Mon prêt'!$C$8/12,2))</f>
        <v>234.17</v>
      </c>
      <c r="F198" s="18">
        <f t="shared" si="12"/>
        <v>652.54000000000008</v>
      </c>
      <c r="G198" s="18">
        <f>IF($B198="","",ROUND(IF('Mon prêt'!$C$12=Paramètres!$B$36,'Mon prêt'!$C$7,J197)*'Mon prêt'!$C$13/12,2))</f>
        <v>42</v>
      </c>
      <c r="H198" s="18">
        <f t="shared" si="13"/>
        <v>928.71</v>
      </c>
      <c r="I198" s="18">
        <f t="shared" si="14"/>
        <v>96769.48</v>
      </c>
      <c r="J198" s="31">
        <f t="shared" si="15"/>
        <v>83230.52</v>
      </c>
      <c r="K198" s="18">
        <f t="shared" si="16"/>
        <v>928.71</v>
      </c>
      <c r="L198" s="18">
        <f t="shared" si="17"/>
        <v>886.71</v>
      </c>
    </row>
    <row r="199" spans="2:12" x14ac:dyDescent="0.35">
      <c r="B199" s="29">
        <f>IF(B198="","",IF(B198+1&gt;'Mon prêt'!$C$9,"",B198+1))</f>
        <v>192</v>
      </c>
      <c r="C199" s="30">
        <f>IF($B199="","",EDATE('Mon prêt'!$C$11,B199-1))</f>
        <v>52144</v>
      </c>
      <c r="D199" s="18">
        <f>IF($B199="","",IF(B199='Mon prêt'!$C$9,J198+E199,IF(B199&lt;='Mon prêt'!$C$10,E199,'Mon prêt'!$C$22)))</f>
        <v>886.71</v>
      </c>
      <c r="E199" s="18">
        <f>IF($B199="","",ROUND(J198*'Mon prêt'!$C$8/12,2))</f>
        <v>232.35</v>
      </c>
      <c r="F199" s="18">
        <f t="shared" si="12"/>
        <v>654.36</v>
      </c>
      <c r="G199" s="18">
        <f>IF($B199="","",ROUND(IF('Mon prêt'!$C$12=Paramètres!$B$36,'Mon prêt'!$C$7,J198)*'Mon prêt'!$C$13/12,2))</f>
        <v>42</v>
      </c>
      <c r="H199" s="18">
        <f t="shared" si="13"/>
        <v>928.71</v>
      </c>
      <c r="I199" s="18">
        <f t="shared" si="14"/>
        <v>97423.84</v>
      </c>
      <c r="J199" s="31">
        <f t="shared" si="15"/>
        <v>82576.160000000003</v>
      </c>
      <c r="K199" s="18">
        <f t="shared" si="16"/>
        <v>928.71</v>
      </c>
      <c r="L199" s="18">
        <f t="shared" si="17"/>
        <v>886.71</v>
      </c>
    </row>
    <row r="200" spans="2:12" x14ac:dyDescent="0.35">
      <c r="B200" s="29">
        <f>IF(B199="","",IF(B199+1&gt;'Mon prêt'!$C$9,"",B199+1))</f>
        <v>193</v>
      </c>
      <c r="C200" s="30">
        <f>IF($B200="","",EDATE('Mon prêt'!$C$11,B200-1))</f>
        <v>52175</v>
      </c>
      <c r="D200" s="18">
        <f>IF($B200="","",IF(B200='Mon prêt'!$C$9,J199+E200,IF(B200&lt;='Mon prêt'!$C$10,E200,'Mon prêt'!$C$22)))</f>
        <v>886.71</v>
      </c>
      <c r="E200" s="18">
        <f>IF($B200="","",ROUND(J199*'Mon prêt'!$C$8/12,2))</f>
        <v>230.53</v>
      </c>
      <c r="F200" s="18">
        <f t="shared" ref="F200:F263" si="18">IF($B200="","",D200-E200)</f>
        <v>656.18000000000006</v>
      </c>
      <c r="G200" s="18">
        <f>IF($B200="","",ROUND(IF('Mon prêt'!$C$12=Paramètres!$B$36,'Mon prêt'!$C$7,J199)*'Mon prêt'!$C$13/12,2))</f>
        <v>42</v>
      </c>
      <c r="H200" s="18">
        <f t="shared" ref="H200:H263" si="19">IF($B200="","",D200+G200)</f>
        <v>928.71</v>
      </c>
      <c r="I200" s="18">
        <f t="shared" ref="I200:I263" si="20">IF($B200="","",I199+F200)</f>
        <v>98080.01999999999</v>
      </c>
      <c r="J200" s="31">
        <f t="shared" ref="J200:J263" si="21">IF($B200="","",ROUND(J199-F200,2))</f>
        <v>81919.98</v>
      </c>
      <c r="K200" s="18">
        <f t="shared" ref="K200:K263" si="22">IF($B200="","",H200)</f>
        <v>928.71</v>
      </c>
      <c r="L200" s="18">
        <f t="shared" ref="L200:L263" si="23">IF($B200="","",D200)</f>
        <v>886.71</v>
      </c>
    </row>
    <row r="201" spans="2:12" x14ac:dyDescent="0.35">
      <c r="B201" s="29">
        <f>IF(B200="","",IF(B200+1&gt;'Mon prêt'!$C$9,"",B200+1))</f>
        <v>194</v>
      </c>
      <c r="C201" s="30">
        <f>IF($B201="","",EDATE('Mon prêt'!$C$11,B201-1))</f>
        <v>52205</v>
      </c>
      <c r="D201" s="18">
        <f>IF($B201="","",IF(B201='Mon prêt'!$C$9,J200+E201,IF(B201&lt;='Mon prêt'!$C$10,E201,'Mon prêt'!$C$22)))</f>
        <v>886.71</v>
      </c>
      <c r="E201" s="18">
        <f>IF($B201="","",ROUND(J200*'Mon prêt'!$C$8/12,2))</f>
        <v>228.69</v>
      </c>
      <c r="F201" s="18">
        <f t="shared" si="18"/>
        <v>658.02</v>
      </c>
      <c r="G201" s="18">
        <f>IF($B201="","",ROUND(IF('Mon prêt'!$C$12=Paramètres!$B$36,'Mon prêt'!$C$7,J200)*'Mon prêt'!$C$13/12,2))</f>
        <v>42</v>
      </c>
      <c r="H201" s="18">
        <f t="shared" si="19"/>
        <v>928.71</v>
      </c>
      <c r="I201" s="18">
        <f t="shared" si="20"/>
        <v>98738.04</v>
      </c>
      <c r="J201" s="31">
        <f t="shared" si="21"/>
        <v>81261.960000000006</v>
      </c>
      <c r="K201" s="18">
        <f t="shared" si="22"/>
        <v>928.71</v>
      </c>
      <c r="L201" s="18">
        <f t="shared" si="23"/>
        <v>886.71</v>
      </c>
    </row>
    <row r="202" spans="2:12" x14ac:dyDescent="0.35">
      <c r="B202" s="29">
        <f>IF(B201="","",IF(B201+1&gt;'Mon prêt'!$C$9,"",B201+1))</f>
        <v>195</v>
      </c>
      <c r="C202" s="30">
        <f>IF($B202="","",EDATE('Mon prêt'!$C$11,B202-1))</f>
        <v>52236</v>
      </c>
      <c r="D202" s="18">
        <f>IF($B202="","",IF(B202='Mon prêt'!$C$9,J201+E202,IF(B202&lt;='Mon prêt'!$C$10,E202,'Mon prêt'!$C$22)))</f>
        <v>886.71</v>
      </c>
      <c r="E202" s="18">
        <f>IF($B202="","",ROUND(J201*'Mon prêt'!$C$8/12,2))</f>
        <v>226.86</v>
      </c>
      <c r="F202" s="18">
        <f t="shared" si="18"/>
        <v>659.85</v>
      </c>
      <c r="G202" s="18">
        <f>IF($B202="","",ROUND(IF('Mon prêt'!$C$12=Paramètres!$B$36,'Mon prêt'!$C$7,J201)*'Mon prêt'!$C$13/12,2))</f>
        <v>42</v>
      </c>
      <c r="H202" s="18">
        <f t="shared" si="19"/>
        <v>928.71</v>
      </c>
      <c r="I202" s="18">
        <f t="shared" si="20"/>
        <v>99397.89</v>
      </c>
      <c r="J202" s="31">
        <f t="shared" si="21"/>
        <v>80602.11</v>
      </c>
      <c r="K202" s="18">
        <f t="shared" si="22"/>
        <v>928.71</v>
      </c>
      <c r="L202" s="18">
        <f t="shared" si="23"/>
        <v>886.71</v>
      </c>
    </row>
    <row r="203" spans="2:12" x14ac:dyDescent="0.35">
      <c r="B203" s="29">
        <f>IF(B202="","",IF(B202+1&gt;'Mon prêt'!$C$9,"",B202+1))</f>
        <v>196</v>
      </c>
      <c r="C203" s="30">
        <f>IF($B203="","",EDATE('Mon prêt'!$C$11,B203-1))</f>
        <v>52267</v>
      </c>
      <c r="D203" s="18">
        <f>IF($B203="","",IF(B203='Mon prêt'!$C$9,J202+E203,IF(B203&lt;='Mon prêt'!$C$10,E203,'Mon prêt'!$C$22)))</f>
        <v>886.71</v>
      </c>
      <c r="E203" s="18">
        <f>IF($B203="","",ROUND(J202*'Mon prêt'!$C$8/12,2))</f>
        <v>225.01</v>
      </c>
      <c r="F203" s="18">
        <f t="shared" si="18"/>
        <v>661.7</v>
      </c>
      <c r="G203" s="18">
        <f>IF($B203="","",ROUND(IF('Mon prêt'!$C$12=Paramètres!$B$36,'Mon prêt'!$C$7,J202)*'Mon prêt'!$C$13/12,2))</f>
        <v>42</v>
      </c>
      <c r="H203" s="18">
        <f t="shared" si="19"/>
        <v>928.71</v>
      </c>
      <c r="I203" s="18">
        <f t="shared" si="20"/>
        <v>100059.59</v>
      </c>
      <c r="J203" s="31">
        <f t="shared" si="21"/>
        <v>79940.41</v>
      </c>
      <c r="K203" s="18">
        <f t="shared" si="22"/>
        <v>928.71</v>
      </c>
      <c r="L203" s="18">
        <f t="shared" si="23"/>
        <v>886.71</v>
      </c>
    </row>
    <row r="204" spans="2:12" x14ac:dyDescent="0.35">
      <c r="B204" s="29">
        <f>IF(B203="","",IF(B203+1&gt;'Mon prêt'!$C$9,"",B203+1))</f>
        <v>197</v>
      </c>
      <c r="C204" s="30">
        <f>IF($B204="","",EDATE('Mon prêt'!$C$11,B204-1))</f>
        <v>52295</v>
      </c>
      <c r="D204" s="18">
        <f>IF($B204="","",IF(B204='Mon prêt'!$C$9,J203+E204,IF(B204&lt;='Mon prêt'!$C$10,E204,'Mon prêt'!$C$22)))</f>
        <v>886.71</v>
      </c>
      <c r="E204" s="18">
        <f>IF($B204="","",ROUND(J203*'Mon prêt'!$C$8/12,2))</f>
        <v>223.17</v>
      </c>
      <c r="F204" s="18">
        <f t="shared" si="18"/>
        <v>663.54000000000008</v>
      </c>
      <c r="G204" s="18">
        <f>IF($B204="","",ROUND(IF('Mon prêt'!$C$12=Paramètres!$B$36,'Mon prêt'!$C$7,J203)*'Mon prêt'!$C$13/12,2))</f>
        <v>42</v>
      </c>
      <c r="H204" s="18">
        <f t="shared" si="19"/>
        <v>928.71</v>
      </c>
      <c r="I204" s="18">
        <f t="shared" si="20"/>
        <v>100723.12999999999</v>
      </c>
      <c r="J204" s="31">
        <f t="shared" si="21"/>
        <v>79276.87</v>
      </c>
      <c r="K204" s="18">
        <f t="shared" si="22"/>
        <v>928.71</v>
      </c>
      <c r="L204" s="18">
        <f t="shared" si="23"/>
        <v>886.71</v>
      </c>
    </row>
    <row r="205" spans="2:12" x14ac:dyDescent="0.35">
      <c r="B205" s="29">
        <f>IF(B204="","",IF(B204+1&gt;'Mon prêt'!$C$9,"",B204+1))</f>
        <v>198</v>
      </c>
      <c r="C205" s="30">
        <f>IF($B205="","",EDATE('Mon prêt'!$C$11,B205-1))</f>
        <v>52326</v>
      </c>
      <c r="D205" s="18">
        <f>IF($B205="","",IF(B205='Mon prêt'!$C$9,J204+E205,IF(B205&lt;='Mon prêt'!$C$10,E205,'Mon prêt'!$C$22)))</f>
        <v>886.71</v>
      </c>
      <c r="E205" s="18">
        <f>IF($B205="","",ROUND(J204*'Mon prêt'!$C$8/12,2))</f>
        <v>221.31</v>
      </c>
      <c r="F205" s="18">
        <f t="shared" si="18"/>
        <v>665.40000000000009</v>
      </c>
      <c r="G205" s="18">
        <f>IF($B205="","",ROUND(IF('Mon prêt'!$C$12=Paramètres!$B$36,'Mon prêt'!$C$7,J204)*'Mon prêt'!$C$13/12,2))</f>
        <v>42</v>
      </c>
      <c r="H205" s="18">
        <f t="shared" si="19"/>
        <v>928.71</v>
      </c>
      <c r="I205" s="18">
        <f t="shared" si="20"/>
        <v>101388.52999999998</v>
      </c>
      <c r="J205" s="31">
        <f t="shared" si="21"/>
        <v>78611.47</v>
      </c>
      <c r="K205" s="18">
        <f t="shared" si="22"/>
        <v>928.71</v>
      </c>
      <c r="L205" s="18">
        <f t="shared" si="23"/>
        <v>886.71</v>
      </c>
    </row>
    <row r="206" spans="2:12" x14ac:dyDescent="0.35">
      <c r="B206" s="29">
        <f>IF(B205="","",IF(B205+1&gt;'Mon prêt'!$C$9,"",B205+1))</f>
        <v>199</v>
      </c>
      <c r="C206" s="30">
        <f>IF($B206="","",EDATE('Mon prêt'!$C$11,B206-1))</f>
        <v>52356</v>
      </c>
      <c r="D206" s="18">
        <f>IF($B206="","",IF(B206='Mon prêt'!$C$9,J205+E206,IF(B206&lt;='Mon prêt'!$C$10,E206,'Mon prêt'!$C$22)))</f>
        <v>886.71</v>
      </c>
      <c r="E206" s="18">
        <f>IF($B206="","",ROUND(J205*'Mon prêt'!$C$8/12,2))</f>
        <v>219.46</v>
      </c>
      <c r="F206" s="18">
        <f t="shared" si="18"/>
        <v>667.25</v>
      </c>
      <c r="G206" s="18">
        <f>IF($B206="","",ROUND(IF('Mon prêt'!$C$12=Paramètres!$B$36,'Mon prêt'!$C$7,J205)*'Mon prêt'!$C$13/12,2))</f>
        <v>42</v>
      </c>
      <c r="H206" s="18">
        <f t="shared" si="19"/>
        <v>928.71</v>
      </c>
      <c r="I206" s="18">
        <f t="shared" si="20"/>
        <v>102055.77999999998</v>
      </c>
      <c r="J206" s="31">
        <f t="shared" si="21"/>
        <v>77944.22</v>
      </c>
      <c r="K206" s="18">
        <f t="shared" si="22"/>
        <v>928.71</v>
      </c>
      <c r="L206" s="18">
        <f t="shared" si="23"/>
        <v>886.71</v>
      </c>
    </row>
    <row r="207" spans="2:12" x14ac:dyDescent="0.35">
      <c r="B207" s="29">
        <f>IF(B206="","",IF(B206+1&gt;'Mon prêt'!$C$9,"",B206+1))</f>
        <v>200</v>
      </c>
      <c r="C207" s="30">
        <f>IF($B207="","",EDATE('Mon prêt'!$C$11,B207-1))</f>
        <v>52387</v>
      </c>
      <c r="D207" s="18">
        <f>IF($B207="","",IF(B207='Mon prêt'!$C$9,J206+E207,IF(B207&lt;='Mon prêt'!$C$10,E207,'Mon prêt'!$C$22)))</f>
        <v>886.71</v>
      </c>
      <c r="E207" s="18">
        <f>IF($B207="","",ROUND(J206*'Mon prêt'!$C$8/12,2))</f>
        <v>217.59</v>
      </c>
      <c r="F207" s="18">
        <f t="shared" si="18"/>
        <v>669.12</v>
      </c>
      <c r="G207" s="18">
        <f>IF($B207="","",ROUND(IF('Mon prêt'!$C$12=Paramètres!$B$36,'Mon prêt'!$C$7,J206)*'Mon prêt'!$C$13/12,2))</f>
        <v>42</v>
      </c>
      <c r="H207" s="18">
        <f t="shared" si="19"/>
        <v>928.71</v>
      </c>
      <c r="I207" s="18">
        <f t="shared" si="20"/>
        <v>102724.89999999998</v>
      </c>
      <c r="J207" s="31">
        <f t="shared" si="21"/>
        <v>77275.100000000006</v>
      </c>
      <c r="K207" s="18">
        <f t="shared" si="22"/>
        <v>928.71</v>
      </c>
      <c r="L207" s="18">
        <f t="shared" si="23"/>
        <v>886.71</v>
      </c>
    </row>
    <row r="208" spans="2:12" x14ac:dyDescent="0.35">
      <c r="B208" s="29">
        <f>IF(B207="","",IF(B207+1&gt;'Mon prêt'!$C$9,"",B207+1))</f>
        <v>201</v>
      </c>
      <c r="C208" s="30">
        <f>IF($B208="","",EDATE('Mon prêt'!$C$11,B208-1))</f>
        <v>52417</v>
      </c>
      <c r="D208" s="18">
        <f>IF($B208="","",IF(B208='Mon prêt'!$C$9,J207+E208,IF(B208&lt;='Mon prêt'!$C$10,E208,'Mon prêt'!$C$22)))</f>
        <v>886.71</v>
      </c>
      <c r="E208" s="18">
        <f>IF($B208="","",ROUND(J207*'Mon prêt'!$C$8/12,2))</f>
        <v>215.73</v>
      </c>
      <c r="F208" s="18">
        <f t="shared" si="18"/>
        <v>670.98</v>
      </c>
      <c r="G208" s="18">
        <f>IF($B208="","",ROUND(IF('Mon prêt'!$C$12=Paramètres!$B$36,'Mon prêt'!$C$7,J207)*'Mon prêt'!$C$13/12,2))</f>
        <v>42</v>
      </c>
      <c r="H208" s="18">
        <f t="shared" si="19"/>
        <v>928.71</v>
      </c>
      <c r="I208" s="18">
        <f t="shared" si="20"/>
        <v>103395.87999999998</v>
      </c>
      <c r="J208" s="31">
        <f t="shared" si="21"/>
        <v>76604.12</v>
      </c>
      <c r="K208" s="18">
        <f t="shared" si="22"/>
        <v>928.71</v>
      </c>
      <c r="L208" s="18">
        <f t="shared" si="23"/>
        <v>886.71</v>
      </c>
    </row>
    <row r="209" spans="2:12" x14ac:dyDescent="0.35">
      <c r="B209" s="29">
        <f>IF(B208="","",IF(B208+1&gt;'Mon prêt'!$C$9,"",B208+1))</f>
        <v>202</v>
      </c>
      <c r="C209" s="30">
        <f>IF($B209="","",EDATE('Mon prêt'!$C$11,B209-1))</f>
        <v>52448</v>
      </c>
      <c r="D209" s="18">
        <f>IF($B209="","",IF(B209='Mon prêt'!$C$9,J208+E209,IF(B209&lt;='Mon prêt'!$C$10,E209,'Mon prêt'!$C$22)))</f>
        <v>886.71</v>
      </c>
      <c r="E209" s="18">
        <f>IF($B209="","",ROUND(J208*'Mon prêt'!$C$8/12,2))</f>
        <v>213.85</v>
      </c>
      <c r="F209" s="18">
        <f t="shared" si="18"/>
        <v>672.86</v>
      </c>
      <c r="G209" s="18">
        <f>IF($B209="","",ROUND(IF('Mon prêt'!$C$12=Paramètres!$B$36,'Mon prêt'!$C$7,J208)*'Mon prêt'!$C$13/12,2))</f>
        <v>42</v>
      </c>
      <c r="H209" s="18">
        <f t="shared" si="19"/>
        <v>928.71</v>
      </c>
      <c r="I209" s="18">
        <f t="shared" si="20"/>
        <v>104068.73999999998</v>
      </c>
      <c r="J209" s="31">
        <f t="shared" si="21"/>
        <v>75931.259999999995</v>
      </c>
      <c r="K209" s="18">
        <f t="shared" si="22"/>
        <v>928.71</v>
      </c>
      <c r="L209" s="18">
        <f t="shared" si="23"/>
        <v>886.71</v>
      </c>
    </row>
    <row r="210" spans="2:12" x14ac:dyDescent="0.35">
      <c r="B210" s="29">
        <f>IF(B209="","",IF(B209+1&gt;'Mon prêt'!$C$9,"",B209+1))</f>
        <v>203</v>
      </c>
      <c r="C210" s="30">
        <f>IF($B210="","",EDATE('Mon prêt'!$C$11,B210-1))</f>
        <v>52479</v>
      </c>
      <c r="D210" s="18">
        <f>IF($B210="","",IF(B210='Mon prêt'!$C$9,J209+E210,IF(B210&lt;='Mon prêt'!$C$10,E210,'Mon prêt'!$C$22)))</f>
        <v>886.71</v>
      </c>
      <c r="E210" s="18">
        <f>IF($B210="","",ROUND(J209*'Mon prêt'!$C$8/12,2))</f>
        <v>211.97</v>
      </c>
      <c r="F210" s="18">
        <f t="shared" si="18"/>
        <v>674.74</v>
      </c>
      <c r="G210" s="18">
        <f>IF($B210="","",ROUND(IF('Mon prêt'!$C$12=Paramètres!$B$36,'Mon prêt'!$C$7,J209)*'Mon prêt'!$C$13/12,2))</f>
        <v>42</v>
      </c>
      <c r="H210" s="18">
        <f t="shared" si="19"/>
        <v>928.71</v>
      </c>
      <c r="I210" s="18">
        <f t="shared" si="20"/>
        <v>104743.47999999998</v>
      </c>
      <c r="J210" s="31">
        <f t="shared" si="21"/>
        <v>75256.52</v>
      </c>
      <c r="K210" s="18">
        <f t="shared" si="22"/>
        <v>928.71</v>
      </c>
      <c r="L210" s="18">
        <f t="shared" si="23"/>
        <v>886.71</v>
      </c>
    </row>
    <row r="211" spans="2:12" x14ac:dyDescent="0.35">
      <c r="B211" s="29">
        <f>IF(B210="","",IF(B210+1&gt;'Mon prêt'!$C$9,"",B210+1))</f>
        <v>204</v>
      </c>
      <c r="C211" s="30">
        <f>IF($B211="","",EDATE('Mon prêt'!$C$11,B211-1))</f>
        <v>52509</v>
      </c>
      <c r="D211" s="18">
        <f>IF($B211="","",IF(B211='Mon prêt'!$C$9,J210+E211,IF(B211&lt;='Mon prêt'!$C$10,E211,'Mon prêt'!$C$22)))</f>
        <v>886.71</v>
      </c>
      <c r="E211" s="18">
        <f>IF($B211="","",ROUND(J210*'Mon prêt'!$C$8/12,2))</f>
        <v>210.09</v>
      </c>
      <c r="F211" s="18">
        <f t="shared" si="18"/>
        <v>676.62</v>
      </c>
      <c r="G211" s="18">
        <f>IF($B211="","",ROUND(IF('Mon prêt'!$C$12=Paramètres!$B$36,'Mon prêt'!$C$7,J210)*'Mon prêt'!$C$13/12,2))</f>
        <v>42</v>
      </c>
      <c r="H211" s="18">
        <f t="shared" si="19"/>
        <v>928.71</v>
      </c>
      <c r="I211" s="18">
        <f t="shared" si="20"/>
        <v>105420.09999999998</v>
      </c>
      <c r="J211" s="31">
        <f t="shared" si="21"/>
        <v>74579.899999999994</v>
      </c>
      <c r="K211" s="18">
        <f t="shared" si="22"/>
        <v>928.71</v>
      </c>
      <c r="L211" s="18">
        <f t="shared" si="23"/>
        <v>886.71</v>
      </c>
    </row>
    <row r="212" spans="2:12" x14ac:dyDescent="0.35">
      <c r="B212" s="29">
        <f>IF(B211="","",IF(B211+1&gt;'Mon prêt'!$C$9,"",B211+1))</f>
        <v>205</v>
      </c>
      <c r="C212" s="30">
        <f>IF($B212="","",EDATE('Mon prêt'!$C$11,B212-1))</f>
        <v>52540</v>
      </c>
      <c r="D212" s="18">
        <f>IF($B212="","",IF(B212='Mon prêt'!$C$9,J211+E212,IF(B212&lt;='Mon prêt'!$C$10,E212,'Mon prêt'!$C$22)))</f>
        <v>886.71</v>
      </c>
      <c r="E212" s="18">
        <f>IF($B212="","",ROUND(J211*'Mon prêt'!$C$8/12,2))</f>
        <v>208.2</v>
      </c>
      <c r="F212" s="18">
        <f t="shared" si="18"/>
        <v>678.51</v>
      </c>
      <c r="G212" s="18">
        <f>IF($B212="","",ROUND(IF('Mon prêt'!$C$12=Paramètres!$B$36,'Mon prêt'!$C$7,J211)*'Mon prêt'!$C$13/12,2))</f>
        <v>42</v>
      </c>
      <c r="H212" s="18">
        <f t="shared" si="19"/>
        <v>928.71</v>
      </c>
      <c r="I212" s="18">
        <f t="shared" si="20"/>
        <v>106098.60999999997</v>
      </c>
      <c r="J212" s="31">
        <f t="shared" si="21"/>
        <v>73901.39</v>
      </c>
      <c r="K212" s="18">
        <f t="shared" si="22"/>
        <v>928.71</v>
      </c>
      <c r="L212" s="18">
        <f t="shared" si="23"/>
        <v>886.71</v>
      </c>
    </row>
    <row r="213" spans="2:12" x14ac:dyDescent="0.35">
      <c r="B213" s="29">
        <f>IF(B212="","",IF(B212+1&gt;'Mon prêt'!$C$9,"",B212+1))</f>
        <v>206</v>
      </c>
      <c r="C213" s="30">
        <f>IF($B213="","",EDATE('Mon prêt'!$C$11,B213-1))</f>
        <v>52570</v>
      </c>
      <c r="D213" s="18">
        <f>IF($B213="","",IF(B213='Mon prêt'!$C$9,J212+E213,IF(B213&lt;='Mon prêt'!$C$10,E213,'Mon prêt'!$C$22)))</f>
        <v>886.71</v>
      </c>
      <c r="E213" s="18">
        <f>IF($B213="","",ROUND(J212*'Mon prêt'!$C$8/12,2))</f>
        <v>206.31</v>
      </c>
      <c r="F213" s="18">
        <f t="shared" si="18"/>
        <v>680.40000000000009</v>
      </c>
      <c r="G213" s="18">
        <f>IF($B213="","",ROUND(IF('Mon prêt'!$C$12=Paramètres!$B$36,'Mon prêt'!$C$7,J212)*'Mon prêt'!$C$13/12,2))</f>
        <v>42</v>
      </c>
      <c r="H213" s="18">
        <f t="shared" si="19"/>
        <v>928.71</v>
      </c>
      <c r="I213" s="18">
        <f t="shared" si="20"/>
        <v>106779.00999999997</v>
      </c>
      <c r="J213" s="31">
        <f t="shared" si="21"/>
        <v>73220.990000000005</v>
      </c>
      <c r="K213" s="18">
        <f t="shared" si="22"/>
        <v>928.71</v>
      </c>
      <c r="L213" s="18">
        <f t="shared" si="23"/>
        <v>886.71</v>
      </c>
    </row>
    <row r="214" spans="2:12" x14ac:dyDescent="0.35">
      <c r="B214" s="29">
        <f>IF(B213="","",IF(B213+1&gt;'Mon prêt'!$C$9,"",B213+1))</f>
        <v>207</v>
      </c>
      <c r="C214" s="30">
        <f>IF($B214="","",EDATE('Mon prêt'!$C$11,B214-1))</f>
        <v>52601</v>
      </c>
      <c r="D214" s="18">
        <f>IF($B214="","",IF(B214='Mon prêt'!$C$9,J213+E214,IF(B214&lt;='Mon prêt'!$C$10,E214,'Mon prêt'!$C$22)))</f>
        <v>886.71</v>
      </c>
      <c r="E214" s="18">
        <f>IF($B214="","",ROUND(J213*'Mon prêt'!$C$8/12,2))</f>
        <v>204.41</v>
      </c>
      <c r="F214" s="18">
        <f t="shared" si="18"/>
        <v>682.30000000000007</v>
      </c>
      <c r="G214" s="18">
        <f>IF($B214="","",ROUND(IF('Mon prêt'!$C$12=Paramètres!$B$36,'Mon prêt'!$C$7,J213)*'Mon prêt'!$C$13/12,2))</f>
        <v>42</v>
      </c>
      <c r="H214" s="18">
        <f t="shared" si="19"/>
        <v>928.71</v>
      </c>
      <c r="I214" s="18">
        <f t="shared" si="20"/>
        <v>107461.30999999997</v>
      </c>
      <c r="J214" s="31">
        <f t="shared" si="21"/>
        <v>72538.69</v>
      </c>
      <c r="K214" s="18">
        <f t="shared" si="22"/>
        <v>928.71</v>
      </c>
      <c r="L214" s="18">
        <f t="shared" si="23"/>
        <v>886.71</v>
      </c>
    </row>
    <row r="215" spans="2:12" x14ac:dyDescent="0.35">
      <c r="B215" s="29">
        <f>IF(B214="","",IF(B214+1&gt;'Mon prêt'!$C$9,"",B214+1))</f>
        <v>208</v>
      </c>
      <c r="C215" s="30">
        <f>IF($B215="","",EDATE('Mon prêt'!$C$11,B215-1))</f>
        <v>52632</v>
      </c>
      <c r="D215" s="18">
        <f>IF($B215="","",IF(B215='Mon prêt'!$C$9,J214+E215,IF(B215&lt;='Mon prêt'!$C$10,E215,'Mon prêt'!$C$22)))</f>
        <v>886.71</v>
      </c>
      <c r="E215" s="18">
        <f>IF($B215="","",ROUND(J214*'Mon prêt'!$C$8/12,2))</f>
        <v>202.5</v>
      </c>
      <c r="F215" s="18">
        <f t="shared" si="18"/>
        <v>684.21</v>
      </c>
      <c r="G215" s="18">
        <f>IF($B215="","",ROUND(IF('Mon prêt'!$C$12=Paramètres!$B$36,'Mon prêt'!$C$7,J214)*'Mon prêt'!$C$13/12,2))</f>
        <v>42</v>
      </c>
      <c r="H215" s="18">
        <f t="shared" si="19"/>
        <v>928.71</v>
      </c>
      <c r="I215" s="18">
        <f t="shared" si="20"/>
        <v>108145.51999999997</v>
      </c>
      <c r="J215" s="31">
        <f t="shared" si="21"/>
        <v>71854.48</v>
      </c>
      <c r="K215" s="18">
        <f t="shared" si="22"/>
        <v>928.71</v>
      </c>
      <c r="L215" s="18">
        <f t="shared" si="23"/>
        <v>886.71</v>
      </c>
    </row>
    <row r="216" spans="2:12" x14ac:dyDescent="0.35">
      <c r="B216" s="29">
        <f>IF(B215="","",IF(B215+1&gt;'Mon prêt'!$C$9,"",B215+1))</f>
        <v>209</v>
      </c>
      <c r="C216" s="30">
        <f>IF($B216="","",EDATE('Mon prêt'!$C$11,B216-1))</f>
        <v>52661</v>
      </c>
      <c r="D216" s="18">
        <f>IF($B216="","",IF(B216='Mon prêt'!$C$9,J215+E216,IF(B216&lt;='Mon prêt'!$C$10,E216,'Mon prêt'!$C$22)))</f>
        <v>886.71</v>
      </c>
      <c r="E216" s="18">
        <f>IF($B216="","",ROUND(J215*'Mon prêt'!$C$8/12,2))</f>
        <v>200.59</v>
      </c>
      <c r="F216" s="18">
        <f t="shared" si="18"/>
        <v>686.12</v>
      </c>
      <c r="G216" s="18">
        <f>IF($B216="","",ROUND(IF('Mon prêt'!$C$12=Paramètres!$B$36,'Mon prêt'!$C$7,J215)*'Mon prêt'!$C$13/12,2))</f>
        <v>42</v>
      </c>
      <c r="H216" s="18">
        <f t="shared" si="19"/>
        <v>928.71</v>
      </c>
      <c r="I216" s="18">
        <f t="shared" si="20"/>
        <v>108831.63999999997</v>
      </c>
      <c r="J216" s="31">
        <f t="shared" si="21"/>
        <v>71168.36</v>
      </c>
      <c r="K216" s="18">
        <f t="shared" si="22"/>
        <v>928.71</v>
      </c>
      <c r="L216" s="18">
        <f t="shared" si="23"/>
        <v>886.71</v>
      </c>
    </row>
    <row r="217" spans="2:12" x14ac:dyDescent="0.35">
      <c r="B217" s="29">
        <f>IF(B216="","",IF(B216+1&gt;'Mon prêt'!$C$9,"",B216+1))</f>
        <v>210</v>
      </c>
      <c r="C217" s="30">
        <f>IF($B217="","",EDATE('Mon prêt'!$C$11,B217-1))</f>
        <v>52692</v>
      </c>
      <c r="D217" s="18">
        <f>IF($B217="","",IF(B217='Mon prêt'!$C$9,J216+E217,IF(B217&lt;='Mon prêt'!$C$10,E217,'Mon prêt'!$C$22)))</f>
        <v>886.71</v>
      </c>
      <c r="E217" s="18">
        <f>IF($B217="","",ROUND(J216*'Mon prêt'!$C$8/12,2))</f>
        <v>198.68</v>
      </c>
      <c r="F217" s="18">
        <f t="shared" si="18"/>
        <v>688.03</v>
      </c>
      <c r="G217" s="18">
        <f>IF($B217="","",ROUND(IF('Mon prêt'!$C$12=Paramètres!$B$36,'Mon prêt'!$C$7,J216)*'Mon prêt'!$C$13/12,2))</f>
        <v>42</v>
      </c>
      <c r="H217" s="18">
        <f t="shared" si="19"/>
        <v>928.71</v>
      </c>
      <c r="I217" s="18">
        <f t="shared" si="20"/>
        <v>109519.66999999997</v>
      </c>
      <c r="J217" s="31">
        <f t="shared" si="21"/>
        <v>70480.33</v>
      </c>
      <c r="K217" s="18">
        <f t="shared" si="22"/>
        <v>928.71</v>
      </c>
      <c r="L217" s="18">
        <f t="shared" si="23"/>
        <v>886.71</v>
      </c>
    </row>
    <row r="218" spans="2:12" x14ac:dyDescent="0.35">
      <c r="B218" s="29">
        <f>IF(B217="","",IF(B217+1&gt;'Mon prêt'!$C$9,"",B217+1))</f>
        <v>211</v>
      </c>
      <c r="C218" s="30">
        <f>IF($B218="","",EDATE('Mon prêt'!$C$11,B218-1))</f>
        <v>52722</v>
      </c>
      <c r="D218" s="18">
        <f>IF($B218="","",IF(B218='Mon prêt'!$C$9,J217+E218,IF(B218&lt;='Mon prêt'!$C$10,E218,'Mon prêt'!$C$22)))</f>
        <v>886.71</v>
      </c>
      <c r="E218" s="18">
        <f>IF($B218="","",ROUND(J217*'Mon prêt'!$C$8/12,2))</f>
        <v>196.76</v>
      </c>
      <c r="F218" s="18">
        <f t="shared" si="18"/>
        <v>689.95</v>
      </c>
      <c r="G218" s="18">
        <f>IF($B218="","",ROUND(IF('Mon prêt'!$C$12=Paramètres!$B$36,'Mon prêt'!$C$7,J217)*'Mon prêt'!$C$13/12,2))</f>
        <v>42</v>
      </c>
      <c r="H218" s="18">
        <f t="shared" si="19"/>
        <v>928.71</v>
      </c>
      <c r="I218" s="18">
        <f t="shared" si="20"/>
        <v>110209.61999999997</v>
      </c>
      <c r="J218" s="31">
        <f t="shared" si="21"/>
        <v>69790.38</v>
      </c>
      <c r="K218" s="18">
        <f t="shared" si="22"/>
        <v>928.71</v>
      </c>
      <c r="L218" s="18">
        <f t="shared" si="23"/>
        <v>886.71</v>
      </c>
    </row>
    <row r="219" spans="2:12" x14ac:dyDescent="0.35">
      <c r="B219" s="29">
        <f>IF(B218="","",IF(B218+1&gt;'Mon prêt'!$C$9,"",B218+1))</f>
        <v>212</v>
      </c>
      <c r="C219" s="30">
        <f>IF($B219="","",EDATE('Mon prêt'!$C$11,B219-1))</f>
        <v>52753</v>
      </c>
      <c r="D219" s="18">
        <f>IF($B219="","",IF(B219='Mon prêt'!$C$9,J218+E219,IF(B219&lt;='Mon prêt'!$C$10,E219,'Mon prêt'!$C$22)))</f>
        <v>886.71</v>
      </c>
      <c r="E219" s="18">
        <f>IF($B219="","",ROUND(J218*'Mon prêt'!$C$8/12,2))</f>
        <v>194.83</v>
      </c>
      <c r="F219" s="18">
        <f t="shared" si="18"/>
        <v>691.88</v>
      </c>
      <c r="G219" s="18">
        <f>IF($B219="","",ROUND(IF('Mon prêt'!$C$12=Paramètres!$B$36,'Mon prêt'!$C$7,J218)*'Mon prêt'!$C$13/12,2))</f>
        <v>42</v>
      </c>
      <c r="H219" s="18">
        <f t="shared" si="19"/>
        <v>928.71</v>
      </c>
      <c r="I219" s="18">
        <f t="shared" si="20"/>
        <v>110901.49999999997</v>
      </c>
      <c r="J219" s="31">
        <f t="shared" si="21"/>
        <v>69098.5</v>
      </c>
      <c r="K219" s="18">
        <f t="shared" si="22"/>
        <v>928.71</v>
      </c>
      <c r="L219" s="18">
        <f t="shared" si="23"/>
        <v>886.71</v>
      </c>
    </row>
    <row r="220" spans="2:12" x14ac:dyDescent="0.35">
      <c r="B220" s="29">
        <f>IF(B219="","",IF(B219+1&gt;'Mon prêt'!$C$9,"",B219+1))</f>
        <v>213</v>
      </c>
      <c r="C220" s="30">
        <f>IF($B220="","",EDATE('Mon prêt'!$C$11,B220-1))</f>
        <v>52783</v>
      </c>
      <c r="D220" s="18">
        <f>IF($B220="","",IF(B220='Mon prêt'!$C$9,J219+E220,IF(B220&lt;='Mon prêt'!$C$10,E220,'Mon prêt'!$C$22)))</f>
        <v>886.71</v>
      </c>
      <c r="E220" s="18">
        <f>IF($B220="","",ROUND(J219*'Mon prêt'!$C$8/12,2))</f>
        <v>192.9</v>
      </c>
      <c r="F220" s="18">
        <f t="shared" si="18"/>
        <v>693.81000000000006</v>
      </c>
      <c r="G220" s="18">
        <f>IF($B220="","",ROUND(IF('Mon prêt'!$C$12=Paramètres!$B$36,'Mon prêt'!$C$7,J219)*'Mon prêt'!$C$13/12,2))</f>
        <v>42</v>
      </c>
      <c r="H220" s="18">
        <f t="shared" si="19"/>
        <v>928.71</v>
      </c>
      <c r="I220" s="18">
        <f t="shared" si="20"/>
        <v>111595.30999999997</v>
      </c>
      <c r="J220" s="31">
        <f t="shared" si="21"/>
        <v>68404.69</v>
      </c>
      <c r="K220" s="18">
        <f t="shared" si="22"/>
        <v>928.71</v>
      </c>
      <c r="L220" s="18">
        <f t="shared" si="23"/>
        <v>886.71</v>
      </c>
    </row>
    <row r="221" spans="2:12" x14ac:dyDescent="0.35">
      <c r="B221" s="29">
        <f>IF(B220="","",IF(B220+1&gt;'Mon prêt'!$C$9,"",B220+1))</f>
        <v>214</v>
      </c>
      <c r="C221" s="30">
        <f>IF($B221="","",EDATE('Mon prêt'!$C$11,B221-1))</f>
        <v>52814</v>
      </c>
      <c r="D221" s="18">
        <f>IF($B221="","",IF(B221='Mon prêt'!$C$9,J220+E221,IF(B221&lt;='Mon prêt'!$C$10,E221,'Mon prêt'!$C$22)))</f>
        <v>886.71</v>
      </c>
      <c r="E221" s="18">
        <f>IF($B221="","",ROUND(J220*'Mon prêt'!$C$8/12,2))</f>
        <v>190.96</v>
      </c>
      <c r="F221" s="18">
        <f t="shared" si="18"/>
        <v>695.75</v>
      </c>
      <c r="G221" s="18">
        <f>IF($B221="","",ROUND(IF('Mon prêt'!$C$12=Paramètres!$B$36,'Mon prêt'!$C$7,J220)*'Mon prêt'!$C$13/12,2))</f>
        <v>42</v>
      </c>
      <c r="H221" s="18">
        <f t="shared" si="19"/>
        <v>928.71</v>
      </c>
      <c r="I221" s="18">
        <f t="shared" si="20"/>
        <v>112291.05999999997</v>
      </c>
      <c r="J221" s="31">
        <f t="shared" si="21"/>
        <v>67708.94</v>
      </c>
      <c r="K221" s="18">
        <f t="shared" si="22"/>
        <v>928.71</v>
      </c>
      <c r="L221" s="18">
        <f t="shared" si="23"/>
        <v>886.71</v>
      </c>
    </row>
    <row r="222" spans="2:12" x14ac:dyDescent="0.35">
      <c r="B222" s="29">
        <f>IF(B221="","",IF(B221+1&gt;'Mon prêt'!$C$9,"",B221+1))</f>
        <v>215</v>
      </c>
      <c r="C222" s="30">
        <f>IF($B222="","",EDATE('Mon prêt'!$C$11,B222-1))</f>
        <v>52845</v>
      </c>
      <c r="D222" s="18">
        <f>IF($B222="","",IF(B222='Mon prêt'!$C$9,J221+E222,IF(B222&lt;='Mon prêt'!$C$10,E222,'Mon prêt'!$C$22)))</f>
        <v>886.71</v>
      </c>
      <c r="E222" s="18">
        <f>IF($B222="","",ROUND(J221*'Mon prêt'!$C$8/12,2))</f>
        <v>189.02</v>
      </c>
      <c r="F222" s="18">
        <f t="shared" si="18"/>
        <v>697.69</v>
      </c>
      <c r="G222" s="18">
        <f>IF($B222="","",ROUND(IF('Mon prêt'!$C$12=Paramètres!$B$36,'Mon prêt'!$C$7,J221)*'Mon prêt'!$C$13/12,2))</f>
        <v>42</v>
      </c>
      <c r="H222" s="18">
        <f t="shared" si="19"/>
        <v>928.71</v>
      </c>
      <c r="I222" s="18">
        <f t="shared" si="20"/>
        <v>112988.74999999997</v>
      </c>
      <c r="J222" s="31">
        <f t="shared" si="21"/>
        <v>67011.25</v>
      </c>
      <c r="K222" s="18">
        <f t="shared" si="22"/>
        <v>928.71</v>
      </c>
      <c r="L222" s="18">
        <f t="shared" si="23"/>
        <v>886.71</v>
      </c>
    </row>
    <row r="223" spans="2:12" x14ac:dyDescent="0.35">
      <c r="B223" s="29">
        <f>IF(B222="","",IF(B222+1&gt;'Mon prêt'!$C$9,"",B222+1))</f>
        <v>216</v>
      </c>
      <c r="C223" s="30">
        <f>IF($B223="","",EDATE('Mon prêt'!$C$11,B223-1))</f>
        <v>52875</v>
      </c>
      <c r="D223" s="18">
        <f>IF($B223="","",IF(B223='Mon prêt'!$C$9,J222+E223,IF(B223&lt;='Mon prêt'!$C$10,E223,'Mon prêt'!$C$22)))</f>
        <v>886.71</v>
      </c>
      <c r="E223" s="18">
        <f>IF($B223="","",ROUND(J222*'Mon prêt'!$C$8/12,2))</f>
        <v>187.07</v>
      </c>
      <c r="F223" s="18">
        <f t="shared" si="18"/>
        <v>699.6400000000001</v>
      </c>
      <c r="G223" s="18">
        <f>IF($B223="","",ROUND(IF('Mon prêt'!$C$12=Paramètres!$B$36,'Mon prêt'!$C$7,J222)*'Mon prêt'!$C$13/12,2))</f>
        <v>42</v>
      </c>
      <c r="H223" s="18">
        <f t="shared" si="19"/>
        <v>928.71</v>
      </c>
      <c r="I223" s="18">
        <f t="shared" si="20"/>
        <v>113688.38999999997</v>
      </c>
      <c r="J223" s="31">
        <f t="shared" si="21"/>
        <v>66311.61</v>
      </c>
      <c r="K223" s="18">
        <f t="shared" si="22"/>
        <v>928.71</v>
      </c>
      <c r="L223" s="18">
        <f t="shared" si="23"/>
        <v>886.71</v>
      </c>
    </row>
    <row r="224" spans="2:12" x14ac:dyDescent="0.35">
      <c r="B224" s="29">
        <f>IF(B223="","",IF(B223+1&gt;'Mon prêt'!$C$9,"",B223+1))</f>
        <v>217</v>
      </c>
      <c r="C224" s="30">
        <f>IF($B224="","",EDATE('Mon prêt'!$C$11,B224-1))</f>
        <v>52906</v>
      </c>
      <c r="D224" s="18">
        <f>IF($B224="","",IF(B224='Mon prêt'!$C$9,J223+E224,IF(B224&lt;='Mon prêt'!$C$10,E224,'Mon prêt'!$C$22)))</f>
        <v>886.71</v>
      </c>
      <c r="E224" s="18">
        <f>IF($B224="","",ROUND(J223*'Mon prêt'!$C$8/12,2))</f>
        <v>185.12</v>
      </c>
      <c r="F224" s="18">
        <f t="shared" si="18"/>
        <v>701.59</v>
      </c>
      <c r="G224" s="18">
        <f>IF($B224="","",ROUND(IF('Mon prêt'!$C$12=Paramètres!$B$36,'Mon prêt'!$C$7,J223)*'Mon prêt'!$C$13/12,2))</f>
        <v>42</v>
      </c>
      <c r="H224" s="18">
        <f t="shared" si="19"/>
        <v>928.71</v>
      </c>
      <c r="I224" s="18">
        <f t="shared" si="20"/>
        <v>114389.97999999997</v>
      </c>
      <c r="J224" s="31">
        <f t="shared" si="21"/>
        <v>65610.02</v>
      </c>
      <c r="K224" s="18">
        <f t="shared" si="22"/>
        <v>928.71</v>
      </c>
      <c r="L224" s="18">
        <f t="shared" si="23"/>
        <v>886.71</v>
      </c>
    </row>
    <row r="225" spans="2:12" x14ac:dyDescent="0.35">
      <c r="B225" s="29">
        <f>IF(B224="","",IF(B224+1&gt;'Mon prêt'!$C$9,"",B224+1))</f>
        <v>218</v>
      </c>
      <c r="C225" s="30">
        <f>IF($B225="","",EDATE('Mon prêt'!$C$11,B225-1))</f>
        <v>52936</v>
      </c>
      <c r="D225" s="18">
        <f>IF($B225="","",IF(B225='Mon prêt'!$C$9,J224+E225,IF(B225&lt;='Mon prêt'!$C$10,E225,'Mon prêt'!$C$22)))</f>
        <v>886.71</v>
      </c>
      <c r="E225" s="18">
        <f>IF($B225="","",ROUND(J224*'Mon prêt'!$C$8/12,2))</f>
        <v>183.16</v>
      </c>
      <c r="F225" s="18">
        <f t="shared" si="18"/>
        <v>703.55000000000007</v>
      </c>
      <c r="G225" s="18">
        <f>IF($B225="","",ROUND(IF('Mon prêt'!$C$12=Paramètres!$B$36,'Mon prêt'!$C$7,J224)*'Mon prêt'!$C$13/12,2))</f>
        <v>42</v>
      </c>
      <c r="H225" s="18">
        <f t="shared" si="19"/>
        <v>928.71</v>
      </c>
      <c r="I225" s="18">
        <f t="shared" si="20"/>
        <v>115093.52999999997</v>
      </c>
      <c r="J225" s="31">
        <f t="shared" si="21"/>
        <v>64906.47</v>
      </c>
      <c r="K225" s="18">
        <f t="shared" si="22"/>
        <v>928.71</v>
      </c>
      <c r="L225" s="18">
        <f t="shared" si="23"/>
        <v>886.71</v>
      </c>
    </row>
    <row r="226" spans="2:12" x14ac:dyDescent="0.35">
      <c r="B226" s="29">
        <f>IF(B225="","",IF(B225+1&gt;'Mon prêt'!$C$9,"",B225+1))</f>
        <v>219</v>
      </c>
      <c r="C226" s="30">
        <f>IF($B226="","",EDATE('Mon prêt'!$C$11,B226-1))</f>
        <v>52967</v>
      </c>
      <c r="D226" s="18">
        <f>IF($B226="","",IF(B226='Mon prêt'!$C$9,J225+E226,IF(B226&lt;='Mon prêt'!$C$10,E226,'Mon prêt'!$C$22)))</f>
        <v>886.71</v>
      </c>
      <c r="E226" s="18">
        <f>IF($B226="","",ROUND(J225*'Mon prêt'!$C$8/12,2))</f>
        <v>181.2</v>
      </c>
      <c r="F226" s="18">
        <f t="shared" si="18"/>
        <v>705.51</v>
      </c>
      <c r="G226" s="18">
        <f>IF($B226="","",ROUND(IF('Mon prêt'!$C$12=Paramètres!$B$36,'Mon prêt'!$C$7,J225)*'Mon prêt'!$C$13/12,2))</f>
        <v>42</v>
      </c>
      <c r="H226" s="18">
        <f t="shared" si="19"/>
        <v>928.71</v>
      </c>
      <c r="I226" s="18">
        <f t="shared" si="20"/>
        <v>115799.03999999996</v>
      </c>
      <c r="J226" s="31">
        <f t="shared" si="21"/>
        <v>64200.959999999999</v>
      </c>
      <c r="K226" s="18">
        <f t="shared" si="22"/>
        <v>928.71</v>
      </c>
      <c r="L226" s="18">
        <f t="shared" si="23"/>
        <v>886.71</v>
      </c>
    </row>
    <row r="227" spans="2:12" x14ac:dyDescent="0.35">
      <c r="B227" s="29">
        <f>IF(B226="","",IF(B226+1&gt;'Mon prêt'!$C$9,"",B226+1))</f>
        <v>220</v>
      </c>
      <c r="C227" s="30">
        <f>IF($B227="","",EDATE('Mon prêt'!$C$11,B227-1))</f>
        <v>52998</v>
      </c>
      <c r="D227" s="18">
        <f>IF($B227="","",IF(B227='Mon prêt'!$C$9,J226+E227,IF(B227&lt;='Mon prêt'!$C$10,E227,'Mon prêt'!$C$22)))</f>
        <v>886.71</v>
      </c>
      <c r="E227" s="18">
        <f>IF($B227="","",ROUND(J226*'Mon prêt'!$C$8/12,2))</f>
        <v>179.23</v>
      </c>
      <c r="F227" s="18">
        <f t="shared" si="18"/>
        <v>707.48</v>
      </c>
      <c r="G227" s="18">
        <f>IF($B227="","",ROUND(IF('Mon prêt'!$C$12=Paramètres!$B$36,'Mon prêt'!$C$7,J226)*'Mon prêt'!$C$13/12,2))</f>
        <v>42</v>
      </c>
      <c r="H227" s="18">
        <f t="shared" si="19"/>
        <v>928.71</v>
      </c>
      <c r="I227" s="18">
        <f t="shared" si="20"/>
        <v>116506.51999999996</v>
      </c>
      <c r="J227" s="31">
        <f t="shared" si="21"/>
        <v>63493.48</v>
      </c>
      <c r="K227" s="18">
        <f t="shared" si="22"/>
        <v>928.71</v>
      </c>
      <c r="L227" s="18">
        <f t="shared" si="23"/>
        <v>886.71</v>
      </c>
    </row>
    <row r="228" spans="2:12" x14ac:dyDescent="0.35">
      <c r="B228" s="29">
        <f>IF(B227="","",IF(B227+1&gt;'Mon prêt'!$C$9,"",B227+1))</f>
        <v>221</v>
      </c>
      <c r="C228" s="30">
        <f>IF($B228="","",EDATE('Mon prêt'!$C$11,B228-1))</f>
        <v>53026</v>
      </c>
      <c r="D228" s="18">
        <f>IF($B228="","",IF(B228='Mon prêt'!$C$9,J227+E228,IF(B228&lt;='Mon prêt'!$C$10,E228,'Mon prêt'!$C$22)))</f>
        <v>886.71</v>
      </c>
      <c r="E228" s="18">
        <f>IF($B228="","",ROUND(J227*'Mon prêt'!$C$8/12,2))</f>
        <v>177.25</v>
      </c>
      <c r="F228" s="18">
        <f t="shared" si="18"/>
        <v>709.46</v>
      </c>
      <c r="G228" s="18">
        <f>IF($B228="","",ROUND(IF('Mon prêt'!$C$12=Paramètres!$B$36,'Mon prêt'!$C$7,J227)*'Mon prêt'!$C$13/12,2))</f>
        <v>42</v>
      </c>
      <c r="H228" s="18">
        <f t="shared" si="19"/>
        <v>928.71</v>
      </c>
      <c r="I228" s="18">
        <f t="shared" si="20"/>
        <v>117215.97999999997</v>
      </c>
      <c r="J228" s="31">
        <f t="shared" si="21"/>
        <v>62784.02</v>
      </c>
      <c r="K228" s="18">
        <f t="shared" si="22"/>
        <v>928.71</v>
      </c>
      <c r="L228" s="18">
        <f t="shared" si="23"/>
        <v>886.71</v>
      </c>
    </row>
    <row r="229" spans="2:12" x14ac:dyDescent="0.35">
      <c r="B229" s="29">
        <f>IF(B228="","",IF(B228+1&gt;'Mon prêt'!$C$9,"",B228+1))</f>
        <v>222</v>
      </c>
      <c r="C229" s="30">
        <f>IF($B229="","",EDATE('Mon prêt'!$C$11,B229-1))</f>
        <v>53057</v>
      </c>
      <c r="D229" s="18">
        <f>IF($B229="","",IF(B229='Mon prêt'!$C$9,J228+E229,IF(B229&lt;='Mon prêt'!$C$10,E229,'Mon prêt'!$C$22)))</f>
        <v>886.71</v>
      </c>
      <c r="E229" s="18">
        <f>IF($B229="","",ROUND(J228*'Mon prêt'!$C$8/12,2))</f>
        <v>175.27</v>
      </c>
      <c r="F229" s="18">
        <f t="shared" si="18"/>
        <v>711.44</v>
      </c>
      <c r="G229" s="18">
        <f>IF($B229="","",ROUND(IF('Mon prêt'!$C$12=Paramètres!$B$36,'Mon prêt'!$C$7,J228)*'Mon prêt'!$C$13/12,2))</f>
        <v>42</v>
      </c>
      <c r="H229" s="18">
        <f t="shared" si="19"/>
        <v>928.71</v>
      </c>
      <c r="I229" s="18">
        <f t="shared" si="20"/>
        <v>117927.41999999997</v>
      </c>
      <c r="J229" s="31">
        <f t="shared" si="21"/>
        <v>62072.58</v>
      </c>
      <c r="K229" s="18">
        <f t="shared" si="22"/>
        <v>928.71</v>
      </c>
      <c r="L229" s="18">
        <f t="shared" si="23"/>
        <v>886.71</v>
      </c>
    </row>
    <row r="230" spans="2:12" x14ac:dyDescent="0.35">
      <c r="B230" s="29">
        <f>IF(B229="","",IF(B229+1&gt;'Mon prêt'!$C$9,"",B229+1))</f>
        <v>223</v>
      </c>
      <c r="C230" s="30">
        <f>IF($B230="","",EDATE('Mon prêt'!$C$11,B230-1))</f>
        <v>53087</v>
      </c>
      <c r="D230" s="18">
        <f>IF($B230="","",IF(B230='Mon prêt'!$C$9,J229+E230,IF(B230&lt;='Mon prêt'!$C$10,E230,'Mon prêt'!$C$22)))</f>
        <v>886.71</v>
      </c>
      <c r="E230" s="18">
        <f>IF($B230="","",ROUND(J229*'Mon prêt'!$C$8/12,2))</f>
        <v>173.29</v>
      </c>
      <c r="F230" s="18">
        <f t="shared" si="18"/>
        <v>713.42000000000007</v>
      </c>
      <c r="G230" s="18">
        <f>IF($B230="","",ROUND(IF('Mon prêt'!$C$12=Paramètres!$B$36,'Mon prêt'!$C$7,J229)*'Mon prêt'!$C$13/12,2))</f>
        <v>42</v>
      </c>
      <c r="H230" s="18">
        <f t="shared" si="19"/>
        <v>928.71</v>
      </c>
      <c r="I230" s="18">
        <f t="shared" si="20"/>
        <v>118640.83999999997</v>
      </c>
      <c r="J230" s="31">
        <f t="shared" si="21"/>
        <v>61359.16</v>
      </c>
      <c r="K230" s="18">
        <f t="shared" si="22"/>
        <v>928.71</v>
      </c>
      <c r="L230" s="18">
        <f t="shared" si="23"/>
        <v>886.71</v>
      </c>
    </row>
    <row r="231" spans="2:12" x14ac:dyDescent="0.35">
      <c r="B231" s="29">
        <f>IF(B230="","",IF(B230+1&gt;'Mon prêt'!$C$9,"",B230+1))</f>
        <v>224</v>
      </c>
      <c r="C231" s="30">
        <f>IF($B231="","",EDATE('Mon prêt'!$C$11,B231-1))</f>
        <v>53118</v>
      </c>
      <c r="D231" s="18">
        <f>IF($B231="","",IF(B231='Mon prêt'!$C$9,J230+E231,IF(B231&lt;='Mon prêt'!$C$10,E231,'Mon prêt'!$C$22)))</f>
        <v>886.71</v>
      </c>
      <c r="E231" s="18">
        <f>IF($B231="","",ROUND(J230*'Mon prêt'!$C$8/12,2))</f>
        <v>171.29</v>
      </c>
      <c r="F231" s="18">
        <f t="shared" si="18"/>
        <v>715.42000000000007</v>
      </c>
      <c r="G231" s="18">
        <f>IF($B231="","",ROUND(IF('Mon prêt'!$C$12=Paramètres!$B$36,'Mon prêt'!$C$7,J230)*'Mon prêt'!$C$13/12,2))</f>
        <v>42</v>
      </c>
      <c r="H231" s="18">
        <f t="shared" si="19"/>
        <v>928.71</v>
      </c>
      <c r="I231" s="18">
        <f t="shared" si="20"/>
        <v>119356.25999999997</v>
      </c>
      <c r="J231" s="31">
        <f t="shared" si="21"/>
        <v>60643.74</v>
      </c>
      <c r="K231" s="18">
        <f t="shared" si="22"/>
        <v>928.71</v>
      </c>
      <c r="L231" s="18">
        <f t="shared" si="23"/>
        <v>886.71</v>
      </c>
    </row>
    <row r="232" spans="2:12" x14ac:dyDescent="0.35">
      <c r="B232" s="29">
        <f>IF(B231="","",IF(B231+1&gt;'Mon prêt'!$C$9,"",B231+1))</f>
        <v>225</v>
      </c>
      <c r="C232" s="30">
        <f>IF($B232="","",EDATE('Mon prêt'!$C$11,B232-1))</f>
        <v>53148</v>
      </c>
      <c r="D232" s="18">
        <f>IF($B232="","",IF(B232='Mon prêt'!$C$9,J231+E232,IF(B232&lt;='Mon prêt'!$C$10,E232,'Mon prêt'!$C$22)))</f>
        <v>886.71</v>
      </c>
      <c r="E232" s="18">
        <f>IF($B232="","",ROUND(J231*'Mon prêt'!$C$8/12,2))</f>
        <v>169.3</v>
      </c>
      <c r="F232" s="18">
        <f t="shared" si="18"/>
        <v>717.41000000000008</v>
      </c>
      <c r="G232" s="18">
        <f>IF($B232="","",ROUND(IF('Mon prêt'!$C$12=Paramètres!$B$36,'Mon prêt'!$C$7,J231)*'Mon prêt'!$C$13/12,2))</f>
        <v>42</v>
      </c>
      <c r="H232" s="18">
        <f t="shared" si="19"/>
        <v>928.71</v>
      </c>
      <c r="I232" s="18">
        <f t="shared" si="20"/>
        <v>120073.66999999997</v>
      </c>
      <c r="J232" s="31">
        <f t="shared" si="21"/>
        <v>59926.33</v>
      </c>
      <c r="K232" s="18">
        <f t="shared" si="22"/>
        <v>928.71</v>
      </c>
      <c r="L232" s="18">
        <f t="shared" si="23"/>
        <v>886.71</v>
      </c>
    </row>
    <row r="233" spans="2:12" x14ac:dyDescent="0.35">
      <c r="B233" s="29">
        <f>IF(B232="","",IF(B232+1&gt;'Mon prêt'!$C$9,"",B232+1))</f>
        <v>226</v>
      </c>
      <c r="C233" s="30">
        <f>IF($B233="","",EDATE('Mon prêt'!$C$11,B233-1))</f>
        <v>53179</v>
      </c>
      <c r="D233" s="18">
        <f>IF($B233="","",IF(B233='Mon prêt'!$C$9,J232+E233,IF(B233&lt;='Mon prêt'!$C$10,E233,'Mon prêt'!$C$22)))</f>
        <v>886.71</v>
      </c>
      <c r="E233" s="18">
        <f>IF($B233="","",ROUND(J232*'Mon prêt'!$C$8/12,2))</f>
        <v>167.29</v>
      </c>
      <c r="F233" s="18">
        <f t="shared" si="18"/>
        <v>719.42000000000007</v>
      </c>
      <c r="G233" s="18">
        <f>IF($B233="","",ROUND(IF('Mon prêt'!$C$12=Paramètres!$B$36,'Mon prêt'!$C$7,J232)*'Mon prêt'!$C$13/12,2))</f>
        <v>42</v>
      </c>
      <c r="H233" s="18">
        <f t="shared" si="19"/>
        <v>928.71</v>
      </c>
      <c r="I233" s="18">
        <f t="shared" si="20"/>
        <v>120793.08999999997</v>
      </c>
      <c r="J233" s="31">
        <f t="shared" si="21"/>
        <v>59206.91</v>
      </c>
      <c r="K233" s="18">
        <f t="shared" si="22"/>
        <v>928.71</v>
      </c>
      <c r="L233" s="18">
        <f t="shared" si="23"/>
        <v>886.71</v>
      </c>
    </row>
    <row r="234" spans="2:12" x14ac:dyDescent="0.35">
      <c r="B234" s="29">
        <f>IF(B233="","",IF(B233+1&gt;'Mon prêt'!$C$9,"",B233+1))</f>
        <v>227</v>
      </c>
      <c r="C234" s="30">
        <f>IF($B234="","",EDATE('Mon prêt'!$C$11,B234-1))</f>
        <v>53210</v>
      </c>
      <c r="D234" s="18">
        <f>IF($B234="","",IF(B234='Mon prêt'!$C$9,J233+E234,IF(B234&lt;='Mon prêt'!$C$10,E234,'Mon prêt'!$C$22)))</f>
        <v>886.71</v>
      </c>
      <c r="E234" s="18">
        <f>IF($B234="","",ROUND(J233*'Mon prêt'!$C$8/12,2))</f>
        <v>165.29</v>
      </c>
      <c r="F234" s="18">
        <f t="shared" si="18"/>
        <v>721.42000000000007</v>
      </c>
      <c r="G234" s="18">
        <f>IF($B234="","",ROUND(IF('Mon prêt'!$C$12=Paramètres!$B$36,'Mon prêt'!$C$7,J233)*'Mon prêt'!$C$13/12,2))</f>
        <v>42</v>
      </c>
      <c r="H234" s="18">
        <f t="shared" si="19"/>
        <v>928.71</v>
      </c>
      <c r="I234" s="18">
        <f t="shared" si="20"/>
        <v>121514.50999999997</v>
      </c>
      <c r="J234" s="31">
        <f t="shared" si="21"/>
        <v>58485.49</v>
      </c>
      <c r="K234" s="18">
        <f t="shared" si="22"/>
        <v>928.71</v>
      </c>
      <c r="L234" s="18">
        <f t="shared" si="23"/>
        <v>886.71</v>
      </c>
    </row>
    <row r="235" spans="2:12" x14ac:dyDescent="0.35">
      <c r="B235" s="29">
        <f>IF(B234="","",IF(B234+1&gt;'Mon prêt'!$C$9,"",B234+1))</f>
        <v>228</v>
      </c>
      <c r="C235" s="30">
        <f>IF($B235="","",EDATE('Mon prêt'!$C$11,B235-1))</f>
        <v>53240</v>
      </c>
      <c r="D235" s="18">
        <f>IF($B235="","",IF(B235='Mon prêt'!$C$9,J234+E235,IF(B235&lt;='Mon prêt'!$C$10,E235,'Mon prêt'!$C$22)))</f>
        <v>886.71</v>
      </c>
      <c r="E235" s="18">
        <f>IF($B235="","",ROUND(J234*'Mon prêt'!$C$8/12,2))</f>
        <v>163.27000000000001</v>
      </c>
      <c r="F235" s="18">
        <f t="shared" si="18"/>
        <v>723.44</v>
      </c>
      <c r="G235" s="18">
        <f>IF($B235="","",ROUND(IF('Mon prêt'!$C$12=Paramètres!$B$36,'Mon prêt'!$C$7,J234)*'Mon prêt'!$C$13/12,2))</f>
        <v>42</v>
      </c>
      <c r="H235" s="18">
        <f t="shared" si="19"/>
        <v>928.71</v>
      </c>
      <c r="I235" s="18">
        <f t="shared" si="20"/>
        <v>122237.94999999997</v>
      </c>
      <c r="J235" s="31">
        <f t="shared" si="21"/>
        <v>57762.05</v>
      </c>
      <c r="K235" s="18">
        <f t="shared" si="22"/>
        <v>928.71</v>
      </c>
      <c r="L235" s="18">
        <f t="shared" si="23"/>
        <v>886.71</v>
      </c>
    </row>
    <row r="236" spans="2:12" x14ac:dyDescent="0.35">
      <c r="B236" s="29">
        <f>IF(B235="","",IF(B235+1&gt;'Mon prêt'!$C$9,"",B235+1))</f>
        <v>229</v>
      </c>
      <c r="C236" s="30">
        <f>IF($B236="","",EDATE('Mon prêt'!$C$11,B236-1))</f>
        <v>53271</v>
      </c>
      <c r="D236" s="18">
        <f>IF($B236="","",IF(B236='Mon prêt'!$C$9,J235+E236,IF(B236&lt;='Mon prêt'!$C$10,E236,'Mon prêt'!$C$22)))</f>
        <v>886.71</v>
      </c>
      <c r="E236" s="18">
        <f>IF($B236="","",ROUND(J235*'Mon prêt'!$C$8/12,2))</f>
        <v>161.25</v>
      </c>
      <c r="F236" s="18">
        <f t="shared" si="18"/>
        <v>725.46</v>
      </c>
      <c r="G236" s="18">
        <f>IF($B236="","",ROUND(IF('Mon prêt'!$C$12=Paramètres!$B$36,'Mon prêt'!$C$7,J235)*'Mon prêt'!$C$13/12,2))</f>
        <v>42</v>
      </c>
      <c r="H236" s="18">
        <f t="shared" si="19"/>
        <v>928.71</v>
      </c>
      <c r="I236" s="18">
        <f t="shared" si="20"/>
        <v>122963.40999999997</v>
      </c>
      <c r="J236" s="31">
        <f t="shared" si="21"/>
        <v>57036.59</v>
      </c>
      <c r="K236" s="18">
        <f t="shared" si="22"/>
        <v>928.71</v>
      </c>
      <c r="L236" s="18">
        <f t="shared" si="23"/>
        <v>886.71</v>
      </c>
    </row>
    <row r="237" spans="2:12" x14ac:dyDescent="0.35">
      <c r="B237" s="29">
        <f>IF(B236="","",IF(B236+1&gt;'Mon prêt'!$C$9,"",B236+1))</f>
        <v>230</v>
      </c>
      <c r="C237" s="30">
        <f>IF($B237="","",EDATE('Mon prêt'!$C$11,B237-1))</f>
        <v>53301</v>
      </c>
      <c r="D237" s="18">
        <f>IF($B237="","",IF(B237='Mon prêt'!$C$9,J236+E237,IF(B237&lt;='Mon prêt'!$C$10,E237,'Mon prêt'!$C$22)))</f>
        <v>886.71</v>
      </c>
      <c r="E237" s="18">
        <f>IF($B237="","",ROUND(J236*'Mon prêt'!$C$8/12,2))</f>
        <v>159.22999999999999</v>
      </c>
      <c r="F237" s="18">
        <f t="shared" si="18"/>
        <v>727.48</v>
      </c>
      <c r="G237" s="18">
        <f>IF($B237="","",ROUND(IF('Mon prêt'!$C$12=Paramètres!$B$36,'Mon prêt'!$C$7,J236)*'Mon prêt'!$C$13/12,2))</f>
        <v>42</v>
      </c>
      <c r="H237" s="18">
        <f t="shared" si="19"/>
        <v>928.71</v>
      </c>
      <c r="I237" s="18">
        <f t="shared" si="20"/>
        <v>123690.88999999997</v>
      </c>
      <c r="J237" s="31">
        <f t="shared" si="21"/>
        <v>56309.11</v>
      </c>
      <c r="K237" s="18">
        <f t="shared" si="22"/>
        <v>928.71</v>
      </c>
      <c r="L237" s="18">
        <f t="shared" si="23"/>
        <v>886.71</v>
      </c>
    </row>
    <row r="238" spans="2:12" x14ac:dyDescent="0.35">
      <c r="B238" s="29">
        <f>IF(B237="","",IF(B237+1&gt;'Mon prêt'!$C$9,"",B237+1))</f>
        <v>231</v>
      </c>
      <c r="C238" s="30">
        <f>IF($B238="","",EDATE('Mon prêt'!$C$11,B238-1))</f>
        <v>53332</v>
      </c>
      <c r="D238" s="18">
        <f>IF($B238="","",IF(B238='Mon prêt'!$C$9,J237+E238,IF(B238&lt;='Mon prêt'!$C$10,E238,'Mon prêt'!$C$22)))</f>
        <v>886.71</v>
      </c>
      <c r="E238" s="18">
        <f>IF($B238="","",ROUND(J237*'Mon prêt'!$C$8/12,2))</f>
        <v>157.19999999999999</v>
      </c>
      <c r="F238" s="18">
        <f t="shared" si="18"/>
        <v>729.51</v>
      </c>
      <c r="G238" s="18">
        <f>IF($B238="","",ROUND(IF('Mon prêt'!$C$12=Paramètres!$B$36,'Mon prêt'!$C$7,J237)*'Mon prêt'!$C$13/12,2))</f>
        <v>42</v>
      </c>
      <c r="H238" s="18">
        <f t="shared" si="19"/>
        <v>928.71</v>
      </c>
      <c r="I238" s="18">
        <f t="shared" si="20"/>
        <v>124420.39999999997</v>
      </c>
      <c r="J238" s="31">
        <f t="shared" si="21"/>
        <v>55579.6</v>
      </c>
      <c r="K238" s="18">
        <f t="shared" si="22"/>
        <v>928.71</v>
      </c>
      <c r="L238" s="18">
        <f t="shared" si="23"/>
        <v>886.71</v>
      </c>
    </row>
    <row r="239" spans="2:12" x14ac:dyDescent="0.35">
      <c r="B239" s="29">
        <f>IF(B238="","",IF(B238+1&gt;'Mon prêt'!$C$9,"",B238+1))</f>
        <v>232</v>
      </c>
      <c r="C239" s="30">
        <f>IF($B239="","",EDATE('Mon prêt'!$C$11,B239-1))</f>
        <v>53363</v>
      </c>
      <c r="D239" s="18">
        <f>IF($B239="","",IF(B239='Mon prêt'!$C$9,J238+E239,IF(B239&lt;='Mon prêt'!$C$10,E239,'Mon prêt'!$C$22)))</f>
        <v>886.71</v>
      </c>
      <c r="E239" s="18">
        <f>IF($B239="","",ROUND(J238*'Mon prêt'!$C$8/12,2))</f>
        <v>155.16</v>
      </c>
      <c r="F239" s="18">
        <f t="shared" si="18"/>
        <v>731.55000000000007</v>
      </c>
      <c r="G239" s="18">
        <f>IF($B239="","",ROUND(IF('Mon prêt'!$C$12=Paramètres!$B$36,'Mon prêt'!$C$7,J238)*'Mon prêt'!$C$13/12,2))</f>
        <v>42</v>
      </c>
      <c r="H239" s="18">
        <f t="shared" si="19"/>
        <v>928.71</v>
      </c>
      <c r="I239" s="18">
        <f t="shared" si="20"/>
        <v>125151.94999999997</v>
      </c>
      <c r="J239" s="31">
        <f t="shared" si="21"/>
        <v>54848.05</v>
      </c>
      <c r="K239" s="18">
        <f t="shared" si="22"/>
        <v>928.71</v>
      </c>
      <c r="L239" s="18">
        <f t="shared" si="23"/>
        <v>886.71</v>
      </c>
    </row>
    <row r="240" spans="2:12" x14ac:dyDescent="0.35">
      <c r="B240" s="29">
        <f>IF(B239="","",IF(B239+1&gt;'Mon prêt'!$C$9,"",B239+1))</f>
        <v>233</v>
      </c>
      <c r="C240" s="30">
        <f>IF($B240="","",EDATE('Mon prêt'!$C$11,B240-1))</f>
        <v>53391</v>
      </c>
      <c r="D240" s="18">
        <f>IF($B240="","",IF(B240='Mon prêt'!$C$9,J239+E240,IF(B240&lt;='Mon prêt'!$C$10,E240,'Mon prêt'!$C$22)))</f>
        <v>886.71</v>
      </c>
      <c r="E240" s="18">
        <f>IF($B240="","",ROUND(J239*'Mon prêt'!$C$8/12,2))</f>
        <v>153.12</v>
      </c>
      <c r="F240" s="18">
        <f t="shared" si="18"/>
        <v>733.59</v>
      </c>
      <c r="G240" s="18">
        <f>IF($B240="","",ROUND(IF('Mon prêt'!$C$12=Paramètres!$B$36,'Mon prêt'!$C$7,J239)*'Mon prêt'!$C$13/12,2))</f>
        <v>42</v>
      </c>
      <c r="H240" s="18">
        <f t="shared" si="19"/>
        <v>928.71</v>
      </c>
      <c r="I240" s="18">
        <f t="shared" si="20"/>
        <v>125885.53999999996</v>
      </c>
      <c r="J240" s="31">
        <f t="shared" si="21"/>
        <v>54114.46</v>
      </c>
      <c r="K240" s="18">
        <f t="shared" si="22"/>
        <v>928.71</v>
      </c>
      <c r="L240" s="18">
        <f t="shared" si="23"/>
        <v>886.71</v>
      </c>
    </row>
    <row r="241" spans="2:12" x14ac:dyDescent="0.35">
      <c r="B241" s="29">
        <f>IF(B240="","",IF(B240+1&gt;'Mon prêt'!$C$9,"",B240+1))</f>
        <v>234</v>
      </c>
      <c r="C241" s="30">
        <f>IF($B241="","",EDATE('Mon prêt'!$C$11,B241-1))</f>
        <v>53422</v>
      </c>
      <c r="D241" s="18">
        <f>IF($B241="","",IF(B241='Mon prêt'!$C$9,J240+E241,IF(B241&lt;='Mon prêt'!$C$10,E241,'Mon prêt'!$C$22)))</f>
        <v>886.71</v>
      </c>
      <c r="E241" s="18">
        <f>IF($B241="","",ROUND(J240*'Mon prêt'!$C$8/12,2))</f>
        <v>151.07</v>
      </c>
      <c r="F241" s="18">
        <f t="shared" si="18"/>
        <v>735.6400000000001</v>
      </c>
      <c r="G241" s="18">
        <f>IF($B241="","",ROUND(IF('Mon prêt'!$C$12=Paramètres!$B$36,'Mon prêt'!$C$7,J240)*'Mon prêt'!$C$13/12,2))</f>
        <v>42</v>
      </c>
      <c r="H241" s="18">
        <f t="shared" si="19"/>
        <v>928.71</v>
      </c>
      <c r="I241" s="18">
        <f t="shared" si="20"/>
        <v>126621.17999999996</v>
      </c>
      <c r="J241" s="31">
        <f t="shared" si="21"/>
        <v>53378.82</v>
      </c>
      <c r="K241" s="18">
        <f t="shared" si="22"/>
        <v>928.71</v>
      </c>
      <c r="L241" s="18">
        <f t="shared" si="23"/>
        <v>886.71</v>
      </c>
    </row>
    <row r="242" spans="2:12" x14ac:dyDescent="0.35">
      <c r="B242" s="29">
        <f>IF(B241="","",IF(B241+1&gt;'Mon prêt'!$C$9,"",B241+1))</f>
        <v>235</v>
      </c>
      <c r="C242" s="30">
        <f>IF($B242="","",EDATE('Mon prêt'!$C$11,B242-1))</f>
        <v>53452</v>
      </c>
      <c r="D242" s="18">
        <f>IF($B242="","",IF(B242='Mon prêt'!$C$9,J241+E242,IF(B242&lt;='Mon prêt'!$C$10,E242,'Mon prêt'!$C$22)))</f>
        <v>886.71</v>
      </c>
      <c r="E242" s="18">
        <f>IF($B242="","",ROUND(J241*'Mon prêt'!$C$8/12,2))</f>
        <v>149.02000000000001</v>
      </c>
      <c r="F242" s="18">
        <f t="shared" si="18"/>
        <v>737.69</v>
      </c>
      <c r="G242" s="18">
        <f>IF($B242="","",ROUND(IF('Mon prêt'!$C$12=Paramètres!$B$36,'Mon prêt'!$C$7,J241)*'Mon prêt'!$C$13/12,2))</f>
        <v>42</v>
      </c>
      <c r="H242" s="18">
        <f t="shared" si="19"/>
        <v>928.71</v>
      </c>
      <c r="I242" s="18">
        <f t="shared" si="20"/>
        <v>127358.86999999997</v>
      </c>
      <c r="J242" s="31">
        <f t="shared" si="21"/>
        <v>52641.13</v>
      </c>
      <c r="K242" s="18">
        <f t="shared" si="22"/>
        <v>928.71</v>
      </c>
      <c r="L242" s="18">
        <f t="shared" si="23"/>
        <v>886.71</v>
      </c>
    </row>
    <row r="243" spans="2:12" x14ac:dyDescent="0.35">
      <c r="B243" s="29">
        <f>IF(B242="","",IF(B242+1&gt;'Mon prêt'!$C$9,"",B242+1))</f>
        <v>236</v>
      </c>
      <c r="C243" s="30">
        <f>IF($B243="","",EDATE('Mon prêt'!$C$11,B243-1))</f>
        <v>53483</v>
      </c>
      <c r="D243" s="18">
        <f>IF($B243="","",IF(B243='Mon prêt'!$C$9,J242+E243,IF(B243&lt;='Mon prêt'!$C$10,E243,'Mon prêt'!$C$22)))</f>
        <v>886.71</v>
      </c>
      <c r="E243" s="18">
        <f>IF($B243="","",ROUND(J242*'Mon prêt'!$C$8/12,2))</f>
        <v>146.96</v>
      </c>
      <c r="F243" s="18">
        <f t="shared" si="18"/>
        <v>739.75</v>
      </c>
      <c r="G243" s="18">
        <f>IF($B243="","",ROUND(IF('Mon prêt'!$C$12=Paramètres!$B$36,'Mon prêt'!$C$7,J242)*'Mon prêt'!$C$13/12,2))</f>
        <v>42</v>
      </c>
      <c r="H243" s="18">
        <f t="shared" si="19"/>
        <v>928.71</v>
      </c>
      <c r="I243" s="18">
        <f t="shared" si="20"/>
        <v>128098.61999999997</v>
      </c>
      <c r="J243" s="31">
        <f t="shared" si="21"/>
        <v>51901.38</v>
      </c>
      <c r="K243" s="18">
        <f t="shared" si="22"/>
        <v>928.71</v>
      </c>
      <c r="L243" s="18">
        <f t="shared" si="23"/>
        <v>886.71</v>
      </c>
    </row>
    <row r="244" spans="2:12" x14ac:dyDescent="0.35">
      <c r="B244" s="29">
        <f>IF(B243="","",IF(B243+1&gt;'Mon prêt'!$C$9,"",B243+1))</f>
        <v>237</v>
      </c>
      <c r="C244" s="30">
        <f>IF($B244="","",EDATE('Mon prêt'!$C$11,B244-1))</f>
        <v>53513</v>
      </c>
      <c r="D244" s="18">
        <f>IF($B244="","",IF(B244='Mon prêt'!$C$9,J243+E244,IF(B244&lt;='Mon prêt'!$C$10,E244,'Mon prêt'!$C$22)))</f>
        <v>886.71</v>
      </c>
      <c r="E244" s="18">
        <f>IF($B244="","",ROUND(J243*'Mon prêt'!$C$8/12,2))</f>
        <v>144.88999999999999</v>
      </c>
      <c r="F244" s="18">
        <f t="shared" si="18"/>
        <v>741.82</v>
      </c>
      <c r="G244" s="18">
        <f>IF($B244="","",ROUND(IF('Mon prêt'!$C$12=Paramètres!$B$36,'Mon prêt'!$C$7,J243)*'Mon prêt'!$C$13/12,2))</f>
        <v>42</v>
      </c>
      <c r="H244" s="18">
        <f t="shared" si="19"/>
        <v>928.71</v>
      </c>
      <c r="I244" s="18">
        <f t="shared" si="20"/>
        <v>128840.43999999997</v>
      </c>
      <c r="J244" s="31">
        <f t="shared" si="21"/>
        <v>51159.56</v>
      </c>
      <c r="K244" s="18">
        <f t="shared" si="22"/>
        <v>928.71</v>
      </c>
      <c r="L244" s="18">
        <f t="shared" si="23"/>
        <v>886.71</v>
      </c>
    </row>
    <row r="245" spans="2:12" x14ac:dyDescent="0.35">
      <c r="B245" s="29">
        <f>IF(B244="","",IF(B244+1&gt;'Mon prêt'!$C$9,"",B244+1))</f>
        <v>238</v>
      </c>
      <c r="C245" s="30">
        <f>IF($B245="","",EDATE('Mon prêt'!$C$11,B245-1))</f>
        <v>53544</v>
      </c>
      <c r="D245" s="18">
        <f>IF($B245="","",IF(B245='Mon prêt'!$C$9,J244+E245,IF(B245&lt;='Mon prêt'!$C$10,E245,'Mon prêt'!$C$22)))</f>
        <v>886.71</v>
      </c>
      <c r="E245" s="18">
        <f>IF($B245="","",ROUND(J244*'Mon prêt'!$C$8/12,2))</f>
        <v>142.82</v>
      </c>
      <c r="F245" s="18">
        <f t="shared" si="18"/>
        <v>743.8900000000001</v>
      </c>
      <c r="G245" s="18">
        <f>IF($B245="","",ROUND(IF('Mon prêt'!$C$12=Paramètres!$B$36,'Mon prêt'!$C$7,J244)*'Mon prêt'!$C$13/12,2))</f>
        <v>42</v>
      </c>
      <c r="H245" s="18">
        <f t="shared" si="19"/>
        <v>928.71</v>
      </c>
      <c r="I245" s="18">
        <f t="shared" si="20"/>
        <v>129584.32999999997</v>
      </c>
      <c r="J245" s="31">
        <f t="shared" si="21"/>
        <v>50415.67</v>
      </c>
      <c r="K245" s="18">
        <f t="shared" si="22"/>
        <v>928.71</v>
      </c>
      <c r="L245" s="18">
        <f t="shared" si="23"/>
        <v>886.71</v>
      </c>
    </row>
    <row r="246" spans="2:12" x14ac:dyDescent="0.35">
      <c r="B246" s="29">
        <f>IF(B245="","",IF(B245+1&gt;'Mon prêt'!$C$9,"",B245+1))</f>
        <v>239</v>
      </c>
      <c r="C246" s="30">
        <f>IF($B246="","",EDATE('Mon prêt'!$C$11,B246-1))</f>
        <v>53575</v>
      </c>
      <c r="D246" s="18">
        <f>IF($B246="","",IF(B246='Mon prêt'!$C$9,J245+E246,IF(B246&lt;='Mon prêt'!$C$10,E246,'Mon prêt'!$C$22)))</f>
        <v>886.71</v>
      </c>
      <c r="E246" s="18">
        <f>IF($B246="","",ROUND(J245*'Mon prêt'!$C$8/12,2))</f>
        <v>140.74</v>
      </c>
      <c r="F246" s="18">
        <f t="shared" si="18"/>
        <v>745.97</v>
      </c>
      <c r="G246" s="18">
        <f>IF($B246="","",ROUND(IF('Mon prêt'!$C$12=Paramètres!$B$36,'Mon prêt'!$C$7,J245)*'Mon prêt'!$C$13/12,2))</f>
        <v>42</v>
      </c>
      <c r="H246" s="18">
        <f t="shared" si="19"/>
        <v>928.71</v>
      </c>
      <c r="I246" s="18">
        <f t="shared" si="20"/>
        <v>130330.29999999997</v>
      </c>
      <c r="J246" s="31">
        <f t="shared" si="21"/>
        <v>49669.7</v>
      </c>
      <c r="K246" s="18">
        <f t="shared" si="22"/>
        <v>928.71</v>
      </c>
      <c r="L246" s="18">
        <f t="shared" si="23"/>
        <v>886.71</v>
      </c>
    </row>
    <row r="247" spans="2:12" x14ac:dyDescent="0.35">
      <c r="B247" s="29">
        <f>IF(B246="","",IF(B246+1&gt;'Mon prêt'!$C$9,"",B246+1))</f>
        <v>240</v>
      </c>
      <c r="C247" s="30">
        <f>IF($B247="","",EDATE('Mon prêt'!$C$11,B247-1))</f>
        <v>53605</v>
      </c>
      <c r="D247" s="18">
        <f>IF($B247="","",IF(B247='Mon prêt'!$C$9,J246+E247,IF(B247&lt;='Mon prêt'!$C$10,E247,'Mon prêt'!$C$22)))</f>
        <v>886.71</v>
      </c>
      <c r="E247" s="18">
        <f>IF($B247="","",ROUND(J246*'Mon prêt'!$C$8/12,2))</f>
        <v>138.66</v>
      </c>
      <c r="F247" s="18">
        <f t="shared" si="18"/>
        <v>748.05000000000007</v>
      </c>
      <c r="G247" s="18">
        <f>IF($B247="","",ROUND(IF('Mon prêt'!$C$12=Paramètres!$B$36,'Mon prêt'!$C$7,J246)*'Mon prêt'!$C$13/12,2))</f>
        <v>42</v>
      </c>
      <c r="H247" s="18">
        <f t="shared" si="19"/>
        <v>928.71</v>
      </c>
      <c r="I247" s="18">
        <f t="shared" si="20"/>
        <v>131078.34999999998</v>
      </c>
      <c r="J247" s="31">
        <f t="shared" si="21"/>
        <v>48921.65</v>
      </c>
      <c r="K247" s="18">
        <f t="shared" si="22"/>
        <v>928.71</v>
      </c>
      <c r="L247" s="18">
        <f t="shared" si="23"/>
        <v>886.71</v>
      </c>
    </row>
    <row r="248" spans="2:12" x14ac:dyDescent="0.35">
      <c r="B248" s="29">
        <f>IF(B247="","",IF(B247+1&gt;'Mon prêt'!$C$9,"",B247+1))</f>
        <v>241</v>
      </c>
      <c r="C248" s="30">
        <f>IF($B248="","",EDATE('Mon prêt'!$C$11,B248-1))</f>
        <v>53636</v>
      </c>
      <c r="D248" s="18">
        <f>IF($B248="","",IF(B248='Mon prêt'!$C$9,J247+E248,IF(B248&lt;='Mon prêt'!$C$10,E248,'Mon prêt'!$C$22)))</f>
        <v>886.71</v>
      </c>
      <c r="E248" s="18">
        <f>IF($B248="","",ROUND(J247*'Mon prêt'!$C$8/12,2))</f>
        <v>136.57</v>
      </c>
      <c r="F248" s="18">
        <f t="shared" si="18"/>
        <v>750.1400000000001</v>
      </c>
      <c r="G248" s="18">
        <f>IF($B248="","",ROUND(IF('Mon prêt'!$C$12=Paramètres!$B$36,'Mon prêt'!$C$7,J247)*'Mon prêt'!$C$13/12,2))</f>
        <v>42</v>
      </c>
      <c r="H248" s="18">
        <f t="shared" si="19"/>
        <v>928.71</v>
      </c>
      <c r="I248" s="18">
        <f t="shared" si="20"/>
        <v>131828.49</v>
      </c>
      <c r="J248" s="31">
        <f t="shared" si="21"/>
        <v>48171.51</v>
      </c>
      <c r="K248" s="18">
        <f t="shared" si="22"/>
        <v>928.71</v>
      </c>
      <c r="L248" s="18">
        <f t="shared" si="23"/>
        <v>886.71</v>
      </c>
    </row>
    <row r="249" spans="2:12" x14ac:dyDescent="0.35">
      <c r="B249" s="29">
        <f>IF(B248="","",IF(B248+1&gt;'Mon prêt'!$C$9,"",B248+1))</f>
        <v>242</v>
      </c>
      <c r="C249" s="30">
        <f>IF($B249="","",EDATE('Mon prêt'!$C$11,B249-1))</f>
        <v>53666</v>
      </c>
      <c r="D249" s="18">
        <f>IF($B249="","",IF(B249='Mon prêt'!$C$9,J248+E249,IF(B249&lt;='Mon prêt'!$C$10,E249,'Mon prêt'!$C$22)))</f>
        <v>886.71</v>
      </c>
      <c r="E249" s="18">
        <f>IF($B249="","",ROUND(J248*'Mon prêt'!$C$8/12,2))</f>
        <v>134.47999999999999</v>
      </c>
      <c r="F249" s="18">
        <f t="shared" si="18"/>
        <v>752.23</v>
      </c>
      <c r="G249" s="18">
        <f>IF($B249="","",ROUND(IF('Mon prêt'!$C$12=Paramètres!$B$36,'Mon prêt'!$C$7,J248)*'Mon prêt'!$C$13/12,2))</f>
        <v>42</v>
      </c>
      <c r="H249" s="18">
        <f t="shared" si="19"/>
        <v>928.71</v>
      </c>
      <c r="I249" s="18">
        <f t="shared" si="20"/>
        <v>132580.72</v>
      </c>
      <c r="J249" s="31">
        <f t="shared" si="21"/>
        <v>47419.28</v>
      </c>
      <c r="K249" s="18">
        <f t="shared" si="22"/>
        <v>928.71</v>
      </c>
      <c r="L249" s="18">
        <f t="shared" si="23"/>
        <v>886.71</v>
      </c>
    </row>
    <row r="250" spans="2:12" x14ac:dyDescent="0.35">
      <c r="B250" s="29">
        <f>IF(B249="","",IF(B249+1&gt;'Mon prêt'!$C$9,"",B249+1))</f>
        <v>243</v>
      </c>
      <c r="C250" s="30">
        <f>IF($B250="","",EDATE('Mon prêt'!$C$11,B250-1))</f>
        <v>53697</v>
      </c>
      <c r="D250" s="18">
        <f>IF($B250="","",IF(B250='Mon prêt'!$C$9,J249+E250,IF(B250&lt;='Mon prêt'!$C$10,E250,'Mon prêt'!$C$22)))</f>
        <v>886.71</v>
      </c>
      <c r="E250" s="18">
        <f>IF($B250="","",ROUND(J249*'Mon prêt'!$C$8/12,2))</f>
        <v>132.38</v>
      </c>
      <c r="F250" s="18">
        <f t="shared" si="18"/>
        <v>754.33</v>
      </c>
      <c r="G250" s="18">
        <f>IF($B250="","",ROUND(IF('Mon prêt'!$C$12=Paramètres!$B$36,'Mon prêt'!$C$7,J249)*'Mon prêt'!$C$13/12,2))</f>
        <v>42</v>
      </c>
      <c r="H250" s="18">
        <f t="shared" si="19"/>
        <v>928.71</v>
      </c>
      <c r="I250" s="18">
        <f t="shared" si="20"/>
        <v>133335.04999999999</v>
      </c>
      <c r="J250" s="31">
        <f t="shared" si="21"/>
        <v>46664.95</v>
      </c>
      <c r="K250" s="18">
        <f t="shared" si="22"/>
        <v>928.71</v>
      </c>
      <c r="L250" s="18">
        <f t="shared" si="23"/>
        <v>886.71</v>
      </c>
    </row>
    <row r="251" spans="2:12" x14ac:dyDescent="0.35">
      <c r="B251" s="29">
        <f>IF(B250="","",IF(B250+1&gt;'Mon prêt'!$C$9,"",B250+1))</f>
        <v>244</v>
      </c>
      <c r="C251" s="30">
        <f>IF($B251="","",EDATE('Mon prêt'!$C$11,B251-1))</f>
        <v>53728</v>
      </c>
      <c r="D251" s="18">
        <f>IF($B251="","",IF(B251='Mon prêt'!$C$9,J250+E251,IF(B251&lt;='Mon prêt'!$C$10,E251,'Mon prêt'!$C$22)))</f>
        <v>886.71</v>
      </c>
      <c r="E251" s="18">
        <f>IF($B251="","",ROUND(J250*'Mon prêt'!$C$8/12,2))</f>
        <v>130.27000000000001</v>
      </c>
      <c r="F251" s="18">
        <f t="shared" si="18"/>
        <v>756.44</v>
      </c>
      <c r="G251" s="18">
        <f>IF($B251="","",ROUND(IF('Mon prêt'!$C$12=Paramètres!$B$36,'Mon prêt'!$C$7,J250)*'Mon prêt'!$C$13/12,2))</f>
        <v>42</v>
      </c>
      <c r="H251" s="18">
        <f t="shared" si="19"/>
        <v>928.71</v>
      </c>
      <c r="I251" s="18">
        <f t="shared" si="20"/>
        <v>134091.49</v>
      </c>
      <c r="J251" s="31">
        <f t="shared" si="21"/>
        <v>45908.51</v>
      </c>
      <c r="K251" s="18">
        <f t="shared" si="22"/>
        <v>928.71</v>
      </c>
      <c r="L251" s="18">
        <f t="shared" si="23"/>
        <v>886.71</v>
      </c>
    </row>
    <row r="252" spans="2:12" x14ac:dyDescent="0.35">
      <c r="B252" s="29">
        <f>IF(B251="","",IF(B251+1&gt;'Mon prêt'!$C$9,"",B251+1))</f>
        <v>245</v>
      </c>
      <c r="C252" s="30">
        <f>IF($B252="","",EDATE('Mon prêt'!$C$11,B252-1))</f>
        <v>53756</v>
      </c>
      <c r="D252" s="18">
        <f>IF($B252="","",IF(B252='Mon prêt'!$C$9,J251+E252,IF(B252&lt;='Mon prêt'!$C$10,E252,'Mon prêt'!$C$22)))</f>
        <v>886.71</v>
      </c>
      <c r="E252" s="18">
        <f>IF($B252="","",ROUND(J251*'Mon prêt'!$C$8/12,2))</f>
        <v>128.16</v>
      </c>
      <c r="F252" s="18">
        <f t="shared" si="18"/>
        <v>758.55000000000007</v>
      </c>
      <c r="G252" s="18">
        <f>IF($B252="","",ROUND(IF('Mon prêt'!$C$12=Paramètres!$B$36,'Mon prêt'!$C$7,J251)*'Mon prêt'!$C$13/12,2))</f>
        <v>42</v>
      </c>
      <c r="H252" s="18">
        <f t="shared" si="19"/>
        <v>928.71</v>
      </c>
      <c r="I252" s="18">
        <f t="shared" si="20"/>
        <v>134850.03999999998</v>
      </c>
      <c r="J252" s="31">
        <f t="shared" si="21"/>
        <v>45149.96</v>
      </c>
      <c r="K252" s="18">
        <f t="shared" si="22"/>
        <v>928.71</v>
      </c>
      <c r="L252" s="18">
        <f t="shared" si="23"/>
        <v>886.71</v>
      </c>
    </row>
    <row r="253" spans="2:12" x14ac:dyDescent="0.35">
      <c r="B253" s="29">
        <f>IF(B252="","",IF(B252+1&gt;'Mon prêt'!$C$9,"",B252+1))</f>
        <v>246</v>
      </c>
      <c r="C253" s="30">
        <f>IF($B253="","",EDATE('Mon prêt'!$C$11,B253-1))</f>
        <v>53787</v>
      </c>
      <c r="D253" s="18">
        <f>IF($B253="","",IF(B253='Mon prêt'!$C$9,J252+E253,IF(B253&lt;='Mon prêt'!$C$10,E253,'Mon prêt'!$C$22)))</f>
        <v>886.71</v>
      </c>
      <c r="E253" s="18">
        <f>IF($B253="","",ROUND(J252*'Mon prêt'!$C$8/12,2))</f>
        <v>126.04</v>
      </c>
      <c r="F253" s="18">
        <f t="shared" si="18"/>
        <v>760.67000000000007</v>
      </c>
      <c r="G253" s="18">
        <f>IF($B253="","",ROUND(IF('Mon prêt'!$C$12=Paramètres!$B$36,'Mon prêt'!$C$7,J252)*'Mon prêt'!$C$13/12,2))</f>
        <v>42</v>
      </c>
      <c r="H253" s="18">
        <f t="shared" si="19"/>
        <v>928.71</v>
      </c>
      <c r="I253" s="18">
        <f t="shared" si="20"/>
        <v>135610.71</v>
      </c>
      <c r="J253" s="31">
        <f t="shared" si="21"/>
        <v>44389.29</v>
      </c>
      <c r="K253" s="18">
        <f t="shared" si="22"/>
        <v>928.71</v>
      </c>
      <c r="L253" s="18">
        <f t="shared" si="23"/>
        <v>886.71</v>
      </c>
    </row>
    <row r="254" spans="2:12" x14ac:dyDescent="0.35">
      <c r="B254" s="29">
        <f>IF(B253="","",IF(B253+1&gt;'Mon prêt'!$C$9,"",B253+1))</f>
        <v>247</v>
      </c>
      <c r="C254" s="30">
        <f>IF($B254="","",EDATE('Mon prêt'!$C$11,B254-1))</f>
        <v>53817</v>
      </c>
      <c r="D254" s="18">
        <f>IF($B254="","",IF(B254='Mon prêt'!$C$9,J253+E254,IF(B254&lt;='Mon prêt'!$C$10,E254,'Mon prêt'!$C$22)))</f>
        <v>886.71</v>
      </c>
      <c r="E254" s="18">
        <f>IF($B254="","",ROUND(J253*'Mon prêt'!$C$8/12,2))</f>
        <v>123.92</v>
      </c>
      <c r="F254" s="18">
        <f t="shared" si="18"/>
        <v>762.79000000000008</v>
      </c>
      <c r="G254" s="18">
        <f>IF($B254="","",ROUND(IF('Mon prêt'!$C$12=Paramètres!$B$36,'Mon prêt'!$C$7,J253)*'Mon prêt'!$C$13/12,2))</f>
        <v>42</v>
      </c>
      <c r="H254" s="18">
        <f t="shared" si="19"/>
        <v>928.71</v>
      </c>
      <c r="I254" s="18">
        <f t="shared" si="20"/>
        <v>136373.5</v>
      </c>
      <c r="J254" s="31">
        <f t="shared" si="21"/>
        <v>43626.5</v>
      </c>
      <c r="K254" s="18">
        <f t="shared" si="22"/>
        <v>928.71</v>
      </c>
      <c r="L254" s="18">
        <f t="shared" si="23"/>
        <v>886.71</v>
      </c>
    </row>
    <row r="255" spans="2:12" x14ac:dyDescent="0.35">
      <c r="B255" s="29">
        <f>IF(B254="","",IF(B254+1&gt;'Mon prêt'!$C$9,"",B254+1))</f>
        <v>248</v>
      </c>
      <c r="C255" s="30">
        <f>IF($B255="","",EDATE('Mon prêt'!$C$11,B255-1))</f>
        <v>53848</v>
      </c>
      <c r="D255" s="18">
        <f>IF($B255="","",IF(B255='Mon prêt'!$C$9,J254+E255,IF(B255&lt;='Mon prêt'!$C$10,E255,'Mon prêt'!$C$22)))</f>
        <v>886.71</v>
      </c>
      <c r="E255" s="18">
        <f>IF($B255="","",ROUND(J254*'Mon prêt'!$C$8/12,2))</f>
        <v>121.79</v>
      </c>
      <c r="F255" s="18">
        <f t="shared" si="18"/>
        <v>764.92000000000007</v>
      </c>
      <c r="G255" s="18">
        <f>IF($B255="","",ROUND(IF('Mon prêt'!$C$12=Paramètres!$B$36,'Mon prêt'!$C$7,J254)*'Mon prêt'!$C$13/12,2))</f>
        <v>42</v>
      </c>
      <c r="H255" s="18">
        <f t="shared" si="19"/>
        <v>928.71</v>
      </c>
      <c r="I255" s="18">
        <f t="shared" si="20"/>
        <v>137138.42000000001</v>
      </c>
      <c r="J255" s="31">
        <f t="shared" si="21"/>
        <v>42861.58</v>
      </c>
      <c r="K255" s="18">
        <f t="shared" si="22"/>
        <v>928.71</v>
      </c>
      <c r="L255" s="18">
        <f t="shared" si="23"/>
        <v>886.71</v>
      </c>
    </row>
    <row r="256" spans="2:12" x14ac:dyDescent="0.35">
      <c r="B256" s="29">
        <f>IF(B255="","",IF(B255+1&gt;'Mon prêt'!$C$9,"",B255+1))</f>
        <v>249</v>
      </c>
      <c r="C256" s="30">
        <f>IF($B256="","",EDATE('Mon prêt'!$C$11,B256-1))</f>
        <v>53878</v>
      </c>
      <c r="D256" s="18">
        <f>IF($B256="","",IF(B256='Mon prêt'!$C$9,J255+E256,IF(B256&lt;='Mon prêt'!$C$10,E256,'Mon prêt'!$C$22)))</f>
        <v>886.71</v>
      </c>
      <c r="E256" s="18">
        <f>IF($B256="","",ROUND(J255*'Mon prêt'!$C$8/12,2))</f>
        <v>119.66</v>
      </c>
      <c r="F256" s="18">
        <f t="shared" si="18"/>
        <v>767.05000000000007</v>
      </c>
      <c r="G256" s="18">
        <f>IF($B256="","",ROUND(IF('Mon prêt'!$C$12=Paramètres!$B$36,'Mon prêt'!$C$7,J255)*'Mon prêt'!$C$13/12,2))</f>
        <v>42</v>
      </c>
      <c r="H256" s="18">
        <f t="shared" si="19"/>
        <v>928.71</v>
      </c>
      <c r="I256" s="18">
        <f t="shared" si="20"/>
        <v>137905.47</v>
      </c>
      <c r="J256" s="31">
        <f t="shared" si="21"/>
        <v>42094.53</v>
      </c>
      <c r="K256" s="18">
        <f t="shared" si="22"/>
        <v>928.71</v>
      </c>
      <c r="L256" s="18">
        <f t="shared" si="23"/>
        <v>886.71</v>
      </c>
    </row>
    <row r="257" spans="2:12" x14ac:dyDescent="0.35">
      <c r="B257" s="29">
        <f>IF(B256="","",IF(B256+1&gt;'Mon prêt'!$C$9,"",B256+1))</f>
        <v>250</v>
      </c>
      <c r="C257" s="30">
        <f>IF($B257="","",EDATE('Mon prêt'!$C$11,B257-1))</f>
        <v>53909</v>
      </c>
      <c r="D257" s="18">
        <f>IF($B257="","",IF(B257='Mon prêt'!$C$9,J256+E257,IF(B257&lt;='Mon prêt'!$C$10,E257,'Mon prêt'!$C$22)))</f>
        <v>886.71</v>
      </c>
      <c r="E257" s="18">
        <f>IF($B257="","",ROUND(J256*'Mon prêt'!$C$8/12,2))</f>
        <v>117.51</v>
      </c>
      <c r="F257" s="18">
        <f t="shared" si="18"/>
        <v>769.2</v>
      </c>
      <c r="G257" s="18">
        <f>IF($B257="","",ROUND(IF('Mon prêt'!$C$12=Paramètres!$B$36,'Mon prêt'!$C$7,J256)*'Mon prêt'!$C$13/12,2))</f>
        <v>42</v>
      </c>
      <c r="H257" s="18">
        <f t="shared" si="19"/>
        <v>928.71</v>
      </c>
      <c r="I257" s="18">
        <f t="shared" si="20"/>
        <v>138674.67000000001</v>
      </c>
      <c r="J257" s="31">
        <f t="shared" si="21"/>
        <v>41325.33</v>
      </c>
      <c r="K257" s="18">
        <f t="shared" si="22"/>
        <v>928.71</v>
      </c>
      <c r="L257" s="18">
        <f t="shared" si="23"/>
        <v>886.71</v>
      </c>
    </row>
    <row r="258" spans="2:12" x14ac:dyDescent="0.35">
      <c r="B258" s="29">
        <f>IF(B257="","",IF(B257+1&gt;'Mon prêt'!$C$9,"",B257+1))</f>
        <v>251</v>
      </c>
      <c r="C258" s="30">
        <f>IF($B258="","",EDATE('Mon prêt'!$C$11,B258-1))</f>
        <v>53940</v>
      </c>
      <c r="D258" s="18">
        <f>IF($B258="","",IF(B258='Mon prêt'!$C$9,J257+E258,IF(B258&lt;='Mon prêt'!$C$10,E258,'Mon prêt'!$C$22)))</f>
        <v>886.71</v>
      </c>
      <c r="E258" s="18">
        <f>IF($B258="","",ROUND(J257*'Mon prêt'!$C$8/12,2))</f>
        <v>115.37</v>
      </c>
      <c r="F258" s="18">
        <f t="shared" si="18"/>
        <v>771.34</v>
      </c>
      <c r="G258" s="18">
        <f>IF($B258="","",ROUND(IF('Mon prêt'!$C$12=Paramètres!$B$36,'Mon prêt'!$C$7,J257)*'Mon prêt'!$C$13/12,2))</f>
        <v>42</v>
      </c>
      <c r="H258" s="18">
        <f t="shared" si="19"/>
        <v>928.71</v>
      </c>
      <c r="I258" s="18">
        <f t="shared" si="20"/>
        <v>139446.01</v>
      </c>
      <c r="J258" s="31">
        <f t="shared" si="21"/>
        <v>40553.99</v>
      </c>
      <c r="K258" s="18">
        <f t="shared" si="22"/>
        <v>928.71</v>
      </c>
      <c r="L258" s="18">
        <f t="shared" si="23"/>
        <v>886.71</v>
      </c>
    </row>
    <row r="259" spans="2:12" x14ac:dyDescent="0.35">
      <c r="B259" s="29">
        <f>IF(B258="","",IF(B258+1&gt;'Mon prêt'!$C$9,"",B258+1))</f>
        <v>252</v>
      </c>
      <c r="C259" s="30">
        <f>IF($B259="","",EDATE('Mon prêt'!$C$11,B259-1))</f>
        <v>53970</v>
      </c>
      <c r="D259" s="18">
        <f>IF($B259="","",IF(B259='Mon prêt'!$C$9,J258+E259,IF(B259&lt;='Mon prêt'!$C$10,E259,'Mon prêt'!$C$22)))</f>
        <v>886.71</v>
      </c>
      <c r="E259" s="18">
        <f>IF($B259="","",ROUND(J258*'Mon prêt'!$C$8/12,2))</f>
        <v>113.21</v>
      </c>
      <c r="F259" s="18">
        <f t="shared" si="18"/>
        <v>773.5</v>
      </c>
      <c r="G259" s="18">
        <f>IF($B259="","",ROUND(IF('Mon prêt'!$C$12=Paramètres!$B$36,'Mon prêt'!$C$7,J258)*'Mon prêt'!$C$13/12,2))</f>
        <v>42</v>
      </c>
      <c r="H259" s="18">
        <f t="shared" si="19"/>
        <v>928.71</v>
      </c>
      <c r="I259" s="18">
        <f t="shared" si="20"/>
        <v>140219.51</v>
      </c>
      <c r="J259" s="31">
        <f t="shared" si="21"/>
        <v>39780.49</v>
      </c>
      <c r="K259" s="18">
        <f t="shared" si="22"/>
        <v>928.71</v>
      </c>
      <c r="L259" s="18">
        <f t="shared" si="23"/>
        <v>886.71</v>
      </c>
    </row>
    <row r="260" spans="2:12" x14ac:dyDescent="0.35">
      <c r="B260" s="29">
        <f>IF(B259="","",IF(B259+1&gt;'Mon prêt'!$C$9,"",B259+1))</f>
        <v>253</v>
      </c>
      <c r="C260" s="30">
        <f>IF($B260="","",EDATE('Mon prêt'!$C$11,B260-1))</f>
        <v>54001</v>
      </c>
      <c r="D260" s="18">
        <f>IF($B260="","",IF(B260='Mon prêt'!$C$9,J259+E260,IF(B260&lt;='Mon prêt'!$C$10,E260,'Mon prêt'!$C$22)))</f>
        <v>886.71</v>
      </c>
      <c r="E260" s="18">
        <f>IF($B260="","",ROUND(J259*'Mon prêt'!$C$8/12,2))</f>
        <v>111.05</v>
      </c>
      <c r="F260" s="18">
        <f t="shared" si="18"/>
        <v>775.66000000000008</v>
      </c>
      <c r="G260" s="18">
        <f>IF($B260="","",ROUND(IF('Mon prêt'!$C$12=Paramètres!$B$36,'Mon prêt'!$C$7,J259)*'Mon prêt'!$C$13/12,2))</f>
        <v>42</v>
      </c>
      <c r="H260" s="18">
        <f t="shared" si="19"/>
        <v>928.71</v>
      </c>
      <c r="I260" s="18">
        <f t="shared" si="20"/>
        <v>140995.17000000001</v>
      </c>
      <c r="J260" s="31">
        <f t="shared" si="21"/>
        <v>39004.83</v>
      </c>
      <c r="K260" s="18">
        <f t="shared" si="22"/>
        <v>928.71</v>
      </c>
      <c r="L260" s="18">
        <f t="shared" si="23"/>
        <v>886.71</v>
      </c>
    </row>
    <row r="261" spans="2:12" x14ac:dyDescent="0.35">
      <c r="B261" s="29">
        <f>IF(B260="","",IF(B260+1&gt;'Mon prêt'!$C$9,"",B260+1))</f>
        <v>254</v>
      </c>
      <c r="C261" s="30">
        <f>IF($B261="","",EDATE('Mon prêt'!$C$11,B261-1))</f>
        <v>54031</v>
      </c>
      <c r="D261" s="18">
        <f>IF($B261="","",IF(B261='Mon prêt'!$C$9,J260+E261,IF(B261&lt;='Mon prêt'!$C$10,E261,'Mon prêt'!$C$22)))</f>
        <v>886.71</v>
      </c>
      <c r="E261" s="18">
        <f>IF($B261="","",ROUND(J260*'Mon prêt'!$C$8/12,2))</f>
        <v>108.89</v>
      </c>
      <c r="F261" s="18">
        <f t="shared" si="18"/>
        <v>777.82</v>
      </c>
      <c r="G261" s="18">
        <f>IF($B261="","",ROUND(IF('Mon prêt'!$C$12=Paramètres!$B$36,'Mon prêt'!$C$7,J260)*'Mon prêt'!$C$13/12,2))</f>
        <v>42</v>
      </c>
      <c r="H261" s="18">
        <f t="shared" si="19"/>
        <v>928.71</v>
      </c>
      <c r="I261" s="18">
        <f t="shared" si="20"/>
        <v>141772.99000000002</v>
      </c>
      <c r="J261" s="31">
        <f t="shared" si="21"/>
        <v>38227.01</v>
      </c>
      <c r="K261" s="18">
        <f t="shared" si="22"/>
        <v>928.71</v>
      </c>
      <c r="L261" s="18">
        <f t="shared" si="23"/>
        <v>886.71</v>
      </c>
    </row>
    <row r="262" spans="2:12" x14ac:dyDescent="0.35">
      <c r="B262" s="29">
        <f>IF(B261="","",IF(B261+1&gt;'Mon prêt'!$C$9,"",B261+1))</f>
        <v>255</v>
      </c>
      <c r="C262" s="30">
        <f>IF($B262="","",EDATE('Mon prêt'!$C$11,B262-1))</f>
        <v>54062</v>
      </c>
      <c r="D262" s="18">
        <f>IF($B262="","",IF(B262='Mon prêt'!$C$9,J261+E262,IF(B262&lt;='Mon prêt'!$C$10,E262,'Mon prêt'!$C$22)))</f>
        <v>886.71</v>
      </c>
      <c r="E262" s="18">
        <f>IF($B262="","",ROUND(J261*'Mon prêt'!$C$8/12,2))</f>
        <v>106.72</v>
      </c>
      <c r="F262" s="18">
        <f t="shared" si="18"/>
        <v>779.99</v>
      </c>
      <c r="G262" s="18">
        <f>IF($B262="","",ROUND(IF('Mon prêt'!$C$12=Paramètres!$B$36,'Mon prêt'!$C$7,J261)*'Mon prêt'!$C$13/12,2))</f>
        <v>42</v>
      </c>
      <c r="H262" s="18">
        <f t="shared" si="19"/>
        <v>928.71</v>
      </c>
      <c r="I262" s="18">
        <f t="shared" si="20"/>
        <v>142552.98000000001</v>
      </c>
      <c r="J262" s="31">
        <f t="shared" si="21"/>
        <v>37447.019999999997</v>
      </c>
      <c r="K262" s="18">
        <f t="shared" si="22"/>
        <v>928.71</v>
      </c>
      <c r="L262" s="18">
        <f t="shared" si="23"/>
        <v>886.71</v>
      </c>
    </row>
    <row r="263" spans="2:12" x14ac:dyDescent="0.35">
      <c r="B263" s="29">
        <f>IF(B262="","",IF(B262+1&gt;'Mon prêt'!$C$9,"",B262+1))</f>
        <v>256</v>
      </c>
      <c r="C263" s="30">
        <f>IF($B263="","",EDATE('Mon prêt'!$C$11,B263-1))</f>
        <v>54093</v>
      </c>
      <c r="D263" s="18">
        <f>IF($B263="","",IF(B263='Mon prêt'!$C$9,J262+E263,IF(B263&lt;='Mon prêt'!$C$10,E263,'Mon prêt'!$C$22)))</f>
        <v>886.71</v>
      </c>
      <c r="E263" s="18">
        <f>IF($B263="","",ROUND(J262*'Mon prêt'!$C$8/12,2))</f>
        <v>104.54</v>
      </c>
      <c r="F263" s="18">
        <f t="shared" si="18"/>
        <v>782.17000000000007</v>
      </c>
      <c r="G263" s="18">
        <f>IF($B263="","",ROUND(IF('Mon prêt'!$C$12=Paramètres!$B$36,'Mon prêt'!$C$7,J262)*'Mon prêt'!$C$13/12,2))</f>
        <v>42</v>
      </c>
      <c r="H263" s="18">
        <f t="shared" si="19"/>
        <v>928.71</v>
      </c>
      <c r="I263" s="18">
        <f t="shared" si="20"/>
        <v>143335.15000000002</v>
      </c>
      <c r="J263" s="31">
        <f t="shared" si="21"/>
        <v>36664.85</v>
      </c>
      <c r="K263" s="18">
        <f t="shared" si="22"/>
        <v>928.71</v>
      </c>
      <c r="L263" s="18">
        <f t="shared" si="23"/>
        <v>886.71</v>
      </c>
    </row>
    <row r="264" spans="2:12" x14ac:dyDescent="0.35">
      <c r="B264" s="29">
        <f>IF(B263="","",IF(B263+1&gt;'Mon prêt'!$C$9,"",B263+1))</f>
        <v>257</v>
      </c>
      <c r="C264" s="30">
        <f>IF($B264="","",EDATE('Mon prêt'!$C$11,B264-1))</f>
        <v>54122</v>
      </c>
      <c r="D264" s="18">
        <f>IF($B264="","",IF(B264='Mon prêt'!$C$9,J263+E264,IF(B264&lt;='Mon prêt'!$C$10,E264,'Mon prêt'!$C$22)))</f>
        <v>886.71</v>
      </c>
      <c r="E264" s="18">
        <f>IF($B264="","",ROUND(J263*'Mon prêt'!$C$8/12,2))</f>
        <v>102.36</v>
      </c>
      <c r="F264" s="18">
        <f t="shared" ref="F264:F327" si="24">IF($B264="","",D264-E264)</f>
        <v>784.35</v>
      </c>
      <c r="G264" s="18">
        <f>IF($B264="","",ROUND(IF('Mon prêt'!$C$12=Paramètres!$B$36,'Mon prêt'!$C$7,J263)*'Mon prêt'!$C$13/12,2))</f>
        <v>42</v>
      </c>
      <c r="H264" s="18">
        <f t="shared" ref="H264:H327" si="25">IF($B264="","",D264+G264)</f>
        <v>928.71</v>
      </c>
      <c r="I264" s="18">
        <f t="shared" ref="I264:I327" si="26">IF($B264="","",I263+F264)</f>
        <v>144119.50000000003</v>
      </c>
      <c r="J264" s="31">
        <f t="shared" ref="J264:J327" si="27">IF($B264="","",ROUND(J263-F264,2))</f>
        <v>35880.5</v>
      </c>
      <c r="K264" s="18">
        <f t="shared" ref="K264:K327" si="28">IF($B264="","",H264)</f>
        <v>928.71</v>
      </c>
      <c r="L264" s="18">
        <f t="shared" ref="L264:L327" si="29">IF($B264="","",D264)</f>
        <v>886.71</v>
      </c>
    </row>
    <row r="265" spans="2:12" x14ac:dyDescent="0.35">
      <c r="B265" s="29">
        <f>IF(B264="","",IF(B264+1&gt;'Mon prêt'!$C$9,"",B264+1))</f>
        <v>258</v>
      </c>
      <c r="C265" s="30">
        <f>IF($B265="","",EDATE('Mon prêt'!$C$11,B265-1))</f>
        <v>54153</v>
      </c>
      <c r="D265" s="18">
        <f>IF($B265="","",IF(B265='Mon prêt'!$C$9,J264+E265,IF(B265&lt;='Mon prêt'!$C$10,E265,'Mon prêt'!$C$22)))</f>
        <v>886.71</v>
      </c>
      <c r="E265" s="18">
        <f>IF($B265="","",ROUND(J264*'Mon prêt'!$C$8/12,2))</f>
        <v>100.17</v>
      </c>
      <c r="F265" s="18">
        <f t="shared" si="24"/>
        <v>786.54000000000008</v>
      </c>
      <c r="G265" s="18">
        <f>IF($B265="","",ROUND(IF('Mon prêt'!$C$12=Paramètres!$B$36,'Mon prêt'!$C$7,J264)*'Mon prêt'!$C$13/12,2))</f>
        <v>42</v>
      </c>
      <c r="H265" s="18">
        <f t="shared" si="25"/>
        <v>928.71</v>
      </c>
      <c r="I265" s="18">
        <f t="shared" si="26"/>
        <v>144906.04000000004</v>
      </c>
      <c r="J265" s="31">
        <f t="shared" si="27"/>
        <v>35093.96</v>
      </c>
      <c r="K265" s="18">
        <f t="shared" si="28"/>
        <v>928.71</v>
      </c>
      <c r="L265" s="18">
        <f t="shared" si="29"/>
        <v>886.71</v>
      </c>
    </row>
    <row r="266" spans="2:12" x14ac:dyDescent="0.35">
      <c r="B266" s="29">
        <f>IF(B265="","",IF(B265+1&gt;'Mon prêt'!$C$9,"",B265+1))</f>
        <v>259</v>
      </c>
      <c r="C266" s="30">
        <f>IF($B266="","",EDATE('Mon prêt'!$C$11,B266-1))</f>
        <v>54183</v>
      </c>
      <c r="D266" s="18">
        <f>IF($B266="","",IF(B266='Mon prêt'!$C$9,J265+E266,IF(B266&lt;='Mon prêt'!$C$10,E266,'Mon prêt'!$C$22)))</f>
        <v>886.71</v>
      </c>
      <c r="E266" s="18">
        <f>IF($B266="","",ROUND(J265*'Mon prêt'!$C$8/12,2))</f>
        <v>97.97</v>
      </c>
      <c r="F266" s="18">
        <f t="shared" si="24"/>
        <v>788.74</v>
      </c>
      <c r="G266" s="18">
        <f>IF($B266="","",ROUND(IF('Mon prêt'!$C$12=Paramètres!$B$36,'Mon prêt'!$C$7,J265)*'Mon prêt'!$C$13/12,2))</f>
        <v>42</v>
      </c>
      <c r="H266" s="18">
        <f t="shared" si="25"/>
        <v>928.71</v>
      </c>
      <c r="I266" s="18">
        <f t="shared" si="26"/>
        <v>145694.78000000003</v>
      </c>
      <c r="J266" s="31">
        <f t="shared" si="27"/>
        <v>34305.22</v>
      </c>
      <c r="K266" s="18">
        <f t="shared" si="28"/>
        <v>928.71</v>
      </c>
      <c r="L266" s="18">
        <f t="shared" si="29"/>
        <v>886.71</v>
      </c>
    </row>
    <row r="267" spans="2:12" x14ac:dyDescent="0.35">
      <c r="B267" s="29">
        <f>IF(B266="","",IF(B266+1&gt;'Mon prêt'!$C$9,"",B266+1))</f>
        <v>260</v>
      </c>
      <c r="C267" s="30">
        <f>IF($B267="","",EDATE('Mon prêt'!$C$11,B267-1))</f>
        <v>54214</v>
      </c>
      <c r="D267" s="18">
        <f>IF($B267="","",IF(B267='Mon prêt'!$C$9,J266+E267,IF(B267&lt;='Mon prêt'!$C$10,E267,'Mon prêt'!$C$22)))</f>
        <v>886.71</v>
      </c>
      <c r="E267" s="18">
        <f>IF($B267="","",ROUND(J266*'Mon prêt'!$C$8/12,2))</f>
        <v>95.77</v>
      </c>
      <c r="F267" s="18">
        <f t="shared" si="24"/>
        <v>790.94</v>
      </c>
      <c r="G267" s="18">
        <f>IF($B267="","",ROUND(IF('Mon prêt'!$C$12=Paramètres!$B$36,'Mon prêt'!$C$7,J266)*'Mon prêt'!$C$13/12,2))</f>
        <v>42</v>
      </c>
      <c r="H267" s="18">
        <f t="shared" si="25"/>
        <v>928.71</v>
      </c>
      <c r="I267" s="18">
        <f t="shared" si="26"/>
        <v>146485.72000000003</v>
      </c>
      <c r="J267" s="31">
        <f t="shared" si="27"/>
        <v>33514.28</v>
      </c>
      <c r="K267" s="18">
        <f t="shared" si="28"/>
        <v>928.71</v>
      </c>
      <c r="L267" s="18">
        <f t="shared" si="29"/>
        <v>886.71</v>
      </c>
    </row>
    <row r="268" spans="2:12" x14ac:dyDescent="0.35">
      <c r="B268" s="29">
        <f>IF(B267="","",IF(B267+1&gt;'Mon prêt'!$C$9,"",B267+1))</f>
        <v>261</v>
      </c>
      <c r="C268" s="30">
        <f>IF($B268="","",EDATE('Mon prêt'!$C$11,B268-1))</f>
        <v>54244</v>
      </c>
      <c r="D268" s="18">
        <f>IF($B268="","",IF(B268='Mon prêt'!$C$9,J267+E268,IF(B268&lt;='Mon prêt'!$C$10,E268,'Mon prêt'!$C$22)))</f>
        <v>886.71</v>
      </c>
      <c r="E268" s="18">
        <f>IF($B268="","",ROUND(J267*'Mon prêt'!$C$8/12,2))</f>
        <v>93.56</v>
      </c>
      <c r="F268" s="18">
        <f t="shared" si="24"/>
        <v>793.15000000000009</v>
      </c>
      <c r="G268" s="18">
        <f>IF($B268="","",ROUND(IF('Mon prêt'!$C$12=Paramètres!$B$36,'Mon prêt'!$C$7,J267)*'Mon prêt'!$C$13/12,2))</f>
        <v>42</v>
      </c>
      <c r="H268" s="18">
        <f t="shared" si="25"/>
        <v>928.71</v>
      </c>
      <c r="I268" s="18">
        <f t="shared" si="26"/>
        <v>147278.87000000002</v>
      </c>
      <c r="J268" s="31">
        <f t="shared" si="27"/>
        <v>32721.13</v>
      </c>
      <c r="K268" s="18">
        <f t="shared" si="28"/>
        <v>928.71</v>
      </c>
      <c r="L268" s="18">
        <f t="shared" si="29"/>
        <v>886.71</v>
      </c>
    </row>
    <row r="269" spans="2:12" x14ac:dyDescent="0.35">
      <c r="B269" s="29">
        <f>IF(B268="","",IF(B268+1&gt;'Mon prêt'!$C$9,"",B268+1))</f>
        <v>262</v>
      </c>
      <c r="C269" s="30">
        <f>IF($B269="","",EDATE('Mon prêt'!$C$11,B269-1))</f>
        <v>54275</v>
      </c>
      <c r="D269" s="18">
        <f>IF($B269="","",IF(B269='Mon prêt'!$C$9,J268+E269,IF(B269&lt;='Mon prêt'!$C$10,E269,'Mon prêt'!$C$22)))</f>
        <v>886.71</v>
      </c>
      <c r="E269" s="18">
        <f>IF($B269="","",ROUND(J268*'Mon prêt'!$C$8/12,2))</f>
        <v>91.35</v>
      </c>
      <c r="F269" s="18">
        <f t="shared" si="24"/>
        <v>795.36</v>
      </c>
      <c r="G269" s="18">
        <f>IF($B269="","",ROUND(IF('Mon prêt'!$C$12=Paramètres!$B$36,'Mon prêt'!$C$7,J268)*'Mon prêt'!$C$13/12,2))</f>
        <v>42</v>
      </c>
      <c r="H269" s="18">
        <f t="shared" si="25"/>
        <v>928.71</v>
      </c>
      <c r="I269" s="18">
        <f t="shared" si="26"/>
        <v>148074.23000000001</v>
      </c>
      <c r="J269" s="31">
        <f t="shared" si="27"/>
        <v>31925.77</v>
      </c>
      <c r="K269" s="18">
        <f t="shared" si="28"/>
        <v>928.71</v>
      </c>
      <c r="L269" s="18">
        <f t="shared" si="29"/>
        <v>886.71</v>
      </c>
    </row>
    <row r="270" spans="2:12" x14ac:dyDescent="0.35">
      <c r="B270" s="29">
        <f>IF(B269="","",IF(B269+1&gt;'Mon prêt'!$C$9,"",B269+1))</f>
        <v>263</v>
      </c>
      <c r="C270" s="30">
        <f>IF($B270="","",EDATE('Mon prêt'!$C$11,B270-1))</f>
        <v>54306</v>
      </c>
      <c r="D270" s="18">
        <f>IF($B270="","",IF(B270='Mon prêt'!$C$9,J269+E270,IF(B270&lt;='Mon prêt'!$C$10,E270,'Mon prêt'!$C$22)))</f>
        <v>886.71</v>
      </c>
      <c r="E270" s="18">
        <f>IF($B270="","",ROUND(J269*'Mon prêt'!$C$8/12,2))</f>
        <v>89.13</v>
      </c>
      <c r="F270" s="18">
        <f t="shared" si="24"/>
        <v>797.58</v>
      </c>
      <c r="G270" s="18">
        <f>IF($B270="","",ROUND(IF('Mon prêt'!$C$12=Paramètres!$B$36,'Mon prêt'!$C$7,J269)*'Mon prêt'!$C$13/12,2))</f>
        <v>42</v>
      </c>
      <c r="H270" s="18">
        <f t="shared" si="25"/>
        <v>928.71</v>
      </c>
      <c r="I270" s="18">
        <f t="shared" si="26"/>
        <v>148871.81</v>
      </c>
      <c r="J270" s="31">
        <f t="shared" si="27"/>
        <v>31128.19</v>
      </c>
      <c r="K270" s="18">
        <f t="shared" si="28"/>
        <v>928.71</v>
      </c>
      <c r="L270" s="18">
        <f t="shared" si="29"/>
        <v>886.71</v>
      </c>
    </row>
    <row r="271" spans="2:12" x14ac:dyDescent="0.35">
      <c r="B271" s="29">
        <f>IF(B270="","",IF(B270+1&gt;'Mon prêt'!$C$9,"",B270+1))</f>
        <v>264</v>
      </c>
      <c r="C271" s="30">
        <f>IF($B271="","",EDATE('Mon prêt'!$C$11,B271-1))</f>
        <v>54336</v>
      </c>
      <c r="D271" s="18">
        <f>IF($B271="","",IF(B271='Mon prêt'!$C$9,J270+E271,IF(B271&lt;='Mon prêt'!$C$10,E271,'Mon prêt'!$C$22)))</f>
        <v>886.71</v>
      </c>
      <c r="E271" s="18">
        <f>IF($B271="","",ROUND(J270*'Mon prêt'!$C$8/12,2))</f>
        <v>86.9</v>
      </c>
      <c r="F271" s="18">
        <f t="shared" si="24"/>
        <v>799.81000000000006</v>
      </c>
      <c r="G271" s="18">
        <f>IF($B271="","",ROUND(IF('Mon prêt'!$C$12=Paramètres!$B$36,'Mon prêt'!$C$7,J270)*'Mon prêt'!$C$13/12,2))</f>
        <v>42</v>
      </c>
      <c r="H271" s="18">
        <f t="shared" si="25"/>
        <v>928.71</v>
      </c>
      <c r="I271" s="18">
        <f t="shared" si="26"/>
        <v>149671.62</v>
      </c>
      <c r="J271" s="31">
        <f t="shared" si="27"/>
        <v>30328.38</v>
      </c>
      <c r="K271" s="18">
        <f t="shared" si="28"/>
        <v>928.71</v>
      </c>
      <c r="L271" s="18">
        <f t="shared" si="29"/>
        <v>886.71</v>
      </c>
    </row>
    <row r="272" spans="2:12" x14ac:dyDescent="0.35">
      <c r="B272" s="29">
        <f>IF(B271="","",IF(B271+1&gt;'Mon prêt'!$C$9,"",B271+1))</f>
        <v>265</v>
      </c>
      <c r="C272" s="30">
        <f>IF($B272="","",EDATE('Mon prêt'!$C$11,B272-1))</f>
        <v>54367</v>
      </c>
      <c r="D272" s="18">
        <f>IF($B272="","",IF(B272='Mon prêt'!$C$9,J271+E272,IF(B272&lt;='Mon prêt'!$C$10,E272,'Mon prêt'!$C$22)))</f>
        <v>886.71</v>
      </c>
      <c r="E272" s="18">
        <f>IF($B272="","",ROUND(J271*'Mon prêt'!$C$8/12,2))</f>
        <v>84.67</v>
      </c>
      <c r="F272" s="18">
        <f t="shared" si="24"/>
        <v>802.04000000000008</v>
      </c>
      <c r="G272" s="18">
        <f>IF($B272="","",ROUND(IF('Mon prêt'!$C$12=Paramètres!$B$36,'Mon prêt'!$C$7,J271)*'Mon prêt'!$C$13/12,2))</f>
        <v>42</v>
      </c>
      <c r="H272" s="18">
        <f t="shared" si="25"/>
        <v>928.71</v>
      </c>
      <c r="I272" s="18">
        <f t="shared" si="26"/>
        <v>150473.66</v>
      </c>
      <c r="J272" s="31">
        <f t="shared" si="27"/>
        <v>29526.34</v>
      </c>
      <c r="K272" s="18">
        <f t="shared" si="28"/>
        <v>928.71</v>
      </c>
      <c r="L272" s="18">
        <f t="shared" si="29"/>
        <v>886.71</v>
      </c>
    </row>
    <row r="273" spans="2:12" x14ac:dyDescent="0.35">
      <c r="B273" s="29">
        <f>IF(B272="","",IF(B272+1&gt;'Mon prêt'!$C$9,"",B272+1))</f>
        <v>266</v>
      </c>
      <c r="C273" s="30">
        <f>IF($B273="","",EDATE('Mon prêt'!$C$11,B273-1))</f>
        <v>54397</v>
      </c>
      <c r="D273" s="18">
        <f>IF($B273="","",IF(B273='Mon prêt'!$C$9,J272+E273,IF(B273&lt;='Mon prêt'!$C$10,E273,'Mon prêt'!$C$22)))</f>
        <v>886.71</v>
      </c>
      <c r="E273" s="18">
        <f>IF($B273="","",ROUND(J272*'Mon prêt'!$C$8/12,2))</f>
        <v>82.43</v>
      </c>
      <c r="F273" s="18">
        <f t="shared" si="24"/>
        <v>804.28</v>
      </c>
      <c r="G273" s="18">
        <f>IF($B273="","",ROUND(IF('Mon prêt'!$C$12=Paramètres!$B$36,'Mon prêt'!$C$7,J272)*'Mon prêt'!$C$13/12,2))</f>
        <v>42</v>
      </c>
      <c r="H273" s="18">
        <f t="shared" si="25"/>
        <v>928.71</v>
      </c>
      <c r="I273" s="18">
        <f t="shared" si="26"/>
        <v>151277.94</v>
      </c>
      <c r="J273" s="31">
        <f t="shared" si="27"/>
        <v>28722.06</v>
      </c>
      <c r="K273" s="18">
        <f t="shared" si="28"/>
        <v>928.71</v>
      </c>
      <c r="L273" s="18">
        <f t="shared" si="29"/>
        <v>886.71</v>
      </c>
    </row>
    <row r="274" spans="2:12" x14ac:dyDescent="0.35">
      <c r="B274" s="29">
        <f>IF(B273="","",IF(B273+1&gt;'Mon prêt'!$C$9,"",B273+1))</f>
        <v>267</v>
      </c>
      <c r="C274" s="30">
        <f>IF($B274="","",EDATE('Mon prêt'!$C$11,B274-1))</f>
        <v>54428</v>
      </c>
      <c r="D274" s="18">
        <f>IF($B274="","",IF(B274='Mon prêt'!$C$9,J273+E274,IF(B274&lt;='Mon prêt'!$C$10,E274,'Mon prêt'!$C$22)))</f>
        <v>886.71</v>
      </c>
      <c r="E274" s="18">
        <f>IF($B274="","",ROUND(J273*'Mon prêt'!$C$8/12,2))</f>
        <v>80.180000000000007</v>
      </c>
      <c r="F274" s="18">
        <f t="shared" si="24"/>
        <v>806.53</v>
      </c>
      <c r="G274" s="18">
        <f>IF($B274="","",ROUND(IF('Mon prêt'!$C$12=Paramètres!$B$36,'Mon prêt'!$C$7,J273)*'Mon prêt'!$C$13/12,2))</f>
        <v>42</v>
      </c>
      <c r="H274" s="18">
        <f t="shared" si="25"/>
        <v>928.71</v>
      </c>
      <c r="I274" s="18">
        <f t="shared" si="26"/>
        <v>152084.47</v>
      </c>
      <c r="J274" s="31">
        <f t="shared" si="27"/>
        <v>27915.53</v>
      </c>
      <c r="K274" s="18">
        <f t="shared" si="28"/>
        <v>928.71</v>
      </c>
      <c r="L274" s="18">
        <f t="shared" si="29"/>
        <v>886.71</v>
      </c>
    </row>
    <row r="275" spans="2:12" x14ac:dyDescent="0.35">
      <c r="B275" s="29">
        <f>IF(B274="","",IF(B274+1&gt;'Mon prêt'!$C$9,"",B274+1))</f>
        <v>268</v>
      </c>
      <c r="C275" s="30">
        <f>IF($B275="","",EDATE('Mon prêt'!$C$11,B275-1))</f>
        <v>54459</v>
      </c>
      <c r="D275" s="18">
        <f>IF($B275="","",IF(B275='Mon prêt'!$C$9,J274+E275,IF(B275&lt;='Mon prêt'!$C$10,E275,'Mon prêt'!$C$22)))</f>
        <v>886.71</v>
      </c>
      <c r="E275" s="18">
        <f>IF($B275="","",ROUND(J274*'Mon prêt'!$C$8/12,2))</f>
        <v>77.930000000000007</v>
      </c>
      <c r="F275" s="18">
        <f t="shared" si="24"/>
        <v>808.78</v>
      </c>
      <c r="G275" s="18">
        <f>IF($B275="","",ROUND(IF('Mon prêt'!$C$12=Paramètres!$B$36,'Mon prêt'!$C$7,J274)*'Mon prêt'!$C$13/12,2))</f>
        <v>42</v>
      </c>
      <c r="H275" s="18">
        <f t="shared" si="25"/>
        <v>928.71</v>
      </c>
      <c r="I275" s="18">
        <f t="shared" si="26"/>
        <v>152893.25</v>
      </c>
      <c r="J275" s="31">
        <f t="shared" si="27"/>
        <v>27106.75</v>
      </c>
      <c r="K275" s="18">
        <f t="shared" si="28"/>
        <v>928.71</v>
      </c>
      <c r="L275" s="18">
        <f t="shared" si="29"/>
        <v>886.71</v>
      </c>
    </row>
    <row r="276" spans="2:12" x14ac:dyDescent="0.35">
      <c r="B276" s="29">
        <f>IF(B275="","",IF(B275+1&gt;'Mon prêt'!$C$9,"",B275+1))</f>
        <v>269</v>
      </c>
      <c r="C276" s="30">
        <f>IF($B276="","",EDATE('Mon prêt'!$C$11,B276-1))</f>
        <v>54487</v>
      </c>
      <c r="D276" s="18">
        <f>IF($B276="","",IF(B276='Mon prêt'!$C$9,J275+E276,IF(B276&lt;='Mon prêt'!$C$10,E276,'Mon prêt'!$C$22)))</f>
        <v>886.71</v>
      </c>
      <c r="E276" s="18">
        <f>IF($B276="","",ROUND(J275*'Mon prêt'!$C$8/12,2))</f>
        <v>75.67</v>
      </c>
      <c r="F276" s="18">
        <f t="shared" si="24"/>
        <v>811.04000000000008</v>
      </c>
      <c r="G276" s="18">
        <f>IF($B276="","",ROUND(IF('Mon prêt'!$C$12=Paramètres!$B$36,'Mon prêt'!$C$7,J275)*'Mon prêt'!$C$13/12,2))</f>
        <v>42</v>
      </c>
      <c r="H276" s="18">
        <f t="shared" si="25"/>
        <v>928.71</v>
      </c>
      <c r="I276" s="18">
        <f t="shared" si="26"/>
        <v>153704.29</v>
      </c>
      <c r="J276" s="31">
        <f t="shared" si="27"/>
        <v>26295.71</v>
      </c>
      <c r="K276" s="18">
        <f t="shared" si="28"/>
        <v>928.71</v>
      </c>
      <c r="L276" s="18">
        <f t="shared" si="29"/>
        <v>886.71</v>
      </c>
    </row>
    <row r="277" spans="2:12" x14ac:dyDescent="0.35">
      <c r="B277" s="29">
        <f>IF(B276="","",IF(B276+1&gt;'Mon prêt'!$C$9,"",B276+1))</f>
        <v>270</v>
      </c>
      <c r="C277" s="30">
        <f>IF($B277="","",EDATE('Mon prêt'!$C$11,B277-1))</f>
        <v>54518</v>
      </c>
      <c r="D277" s="18">
        <f>IF($B277="","",IF(B277='Mon prêt'!$C$9,J276+E277,IF(B277&lt;='Mon prêt'!$C$10,E277,'Mon prêt'!$C$22)))</f>
        <v>886.71</v>
      </c>
      <c r="E277" s="18">
        <f>IF($B277="","",ROUND(J276*'Mon prêt'!$C$8/12,2))</f>
        <v>73.41</v>
      </c>
      <c r="F277" s="18">
        <f t="shared" si="24"/>
        <v>813.30000000000007</v>
      </c>
      <c r="G277" s="18">
        <f>IF($B277="","",ROUND(IF('Mon prêt'!$C$12=Paramètres!$B$36,'Mon prêt'!$C$7,J276)*'Mon prêt'!$C$13/12,2))</f>
        <v>42</v>
      </c>
      <c r="H277" s="18">
        <f t="shared" si="25"/>
        <v>928.71</v>
      </c>
      <c r="I277" s="18">
        <f t="shared" si="26"/>
        <v>154517.59</v>
      </c>
      <c r="J277" s="31">
        <f t="shared" si="27"/>
        <v>25482.41</v>
      </c>
      <c r="K277" s="18">
        <f t="shared" si="28"/>
        <v>928.71</v>
      </c>
      <c r="L277" s="18">
        <f t="shared" si="29"/>
        <v>886.71</v>
      </c>
    </row>
    <row r="278" spans="2:12" x14ac:dyDescent="0.35">
      <c r="B278" s="29">
        <f>IF(B277="","",IF(B277+1&gt;'Mon prêt'!$C$9,"",B277+1))</f>
        <v>271</v>
      </c>
      <c r="C278" s="30">
        <f>IF($B278="","",EDATE('Mon prêt'!$C$11,B278-1))</f>
        <v>54548</v>
      </c>
      <c r="D278" s="18">
        <f>IF($B278="","",IF(B278='Mon prêt'!$C$9,J277+E278,IF(B278&lt;='Mon prêt'!$C$10,E278,'Mon prêt'!$C$22)))</f>
        <v>886.71</v>
      </c>
      <c r="E278" s="18">
        <f>IF($B278="","",ROUND(J277*'Mon prêt'!$C$8/12,2))</f>
        <v>71.14</v>
      </c>
      <c r="F278" s="18">
        <f t="shared" si="24"/>
        <v>815.57</v>
      </c>
      <c r="G278" s="18">
        <f>IF($B278="","",ROUND(IF('Mon prêt'!$C$12=Paramètres!$B$36,'Mon prêt'!$C$7,J277)*'Mon prêt'!$C$13/12,2))</f>
        <v>42</v>
      </c>
      <c r="H278" s="18">
        <f t="shared" si="25"/>
        <v>928.71</v>
      </c>
      <c r="I278" s="18">
        <f t="shared" si="26"/>
        <v>155333.16</v>
      </c>
      <c r="J278" s="31">
        <f t="shared" si="27"/>
        <v>24666.84</v>
      </c>
      <c r="K278" s="18">
        <f t="shared" si="28"/>
        <v>928.71</v>
      </c>
      <c r="L278" s="18">
        <f t="shared" si="29"/>
        <v>886.71</v>
      </c>
    </row>
    <row r="279" spans="2:12" x14ac:dyDescent="0.35">
      <c r="B279" s="29">
        <f>IF(B278="","",IF(B278+1&gt;'Mon prêt'!$C$9,"",B278+1))</f>
        <v>272</v>
      </c>
      <c r="C279" s="30">
        <f>IF($B279="","",EDATE('Mon prêt'!$C$11,B279-1))</f>
        <v>54579</v>
      </c>
      <c r="D279" s="18">
        <f>IF($B279="","",IF(B279='Mon prêt'!$C$9,J278+E279,IF(B279&lt;='Mon prêt'!$C$10,E279,'Mon prêt'!$C$22)))</f>
        <v>886.71</v>
      </c>
      <c r="E279" s="18">
        <f>IF($B279="","",ROUND(J278*'Mon prêt'!$C$8/12,2))</f>
        <v>68.86</v>
      </c>
      <c r="F279" s="18">
        <f t="shared" si="24"/>
        <v>817.85</v>
      </c>
      <c r="G279" s="18">
        <f>IF($B279="","",ROUND(IF('Mon prêt'!$C$12=Paramètres!$B$36,'Mon prêt'!$C$7,J278)*'Mon prêt'!$C$13/12,2))</f>
        <v>42</v>
      </c>
      <c r="H279" s="18">
        <f t="shared" si="25"/>
        <v>928.71</v>
      </c>
      <c r="I279" s="18">
        <f t="shared" si="26"/>
        <v>156151.01</v>
      </c>
      <c r="J279" s="31">
        <f t="shared" si="27"/>
        <v>23848.99</v>
      </c>
      <c r="K279" s="18">
        <f t="shared" si="28"/>
        <v>928.71</v>
      </c>
      <c r="L279" s="18">
        <f t="shared" si="29"/>
        <v>886.71</v>
      </c>
    </row>
    <row r="280" spans="2:12" x14ac:dyDescent="0.35">
      <c r="B280" s="29">
        <f>IF(B279="","",IF(B279+1&gt;'Mon prêt'!$C$9,"",B279+1))</f>
        <v>273</v>
      </c>
      <c r="C280" s="30">
        <f>IF($B280="","",EDATE('Mon prêt'!$C$11,B280-1))</f>
        <v>54609</v>
      </c>
      <c r="D280" s="18">
        <f>IF($B280="","",IF(B280='Mon prêt'!$C$9,J279+E280,IF(B280&lt;='Mon prêt'!$C$10,E280,'Mon prêt'!$C$22)))</f>
        <v>886.71</v>
      </c>
      <c r="E280" s="18">
        <f>IF($B280="","",ROUND(J279*'Mon prêt'!$C$8/12,2))</f>
        <v>66.58</v>
      </c>
      <c r="F280" s="18">
        <f t="shared" si="24"/>
        <v>820.13</v>
      </c>
      <c r="G280" s="18">
        <f>IF($B280="","",ROUND(IF('Mon prêt'!$C$12=Paramètres!$B$36,'Mon prêt'!$C$7,J279)*'Mon prêt'!$C$13/12,2))</f>
        <v>42</v>
      </c>
      <c r="H280" s="18">
        <f t="shared" si="25"/>
        <v>928.71</v>
      </c>
      <c r="I280" s="18">
        <f t="shared" si="26"/>
        <v>156971.14000000001</v>
      </c>
      <c r="J280" s="31">
        <f t="shared" si="27"/>
        <v>23028.86</v>
      </c>
      <c r="K280" s="18">
        <f t="shared" si="28"/>
        <v>928.71</v>
      </c>
      <c r="L280" s="18">
        <f t="shared" si="29"/>
        <v>886.71</v>
      </c>
    </row>
    <row r="281" spans="2:12" x14ac:dyDescent="0.35">
      <c r="B281" s="29">
        <f>IF(B280="","",IF(B280+1&gt;'Mon prêt'!$C$9,"",B280+1))</f>
        <v>274</v>
      </c>
      <c r="C281" s="30">
        <f>IF($B281="","",EDATE('Mon prêt'!$C$11,B281-1))</f>
        <v>54640</v>
      </c>
      <c r="D281" s="18">
        <f>IF($B281="","",IF(B281='Mon prêt'!$C$9,J280+E281,IF(B281&lt;='Mon prêt'!$C$10,E281,'Mon prêt'!$C$22)))</f>
        <v>886.71</v>
      </c>
      <c r="E281" s="18">
        <f>IF($B281="","",ROUND(J280*'Mon prêt'!$C$8/12,2))</f>
        <v>64.290000000000006</v>
      </c>
      <c r="F281" s="18">
        <f t="shared" si="24"/>
        <v>822.42000000000007</v>
      </c>
      <c r="G281" s="18">
        <f>IF($B281="","",ROUND(IF('Mon prêt'!$C$12=Paramètres!$B$36,'Mon prêt'!$C$7,J280)*'Mon prêt'!$C$13/12,2))</f>
        <v>42</v>
      </c>
      <c r="H281" s="18">
        <f t="shared" si="25"/>
        <v>928.71</v>
      </c>
      <c r="I281" s="18">
        <f t="shared" si="26"/>
        <v>157793.56000000003</v>
      </c>
      <c r="J281" s="31">
        <f t="shared" si="27"/>
        <v>22206.44</v>
      </c>
      <c r="K281" s="18">
        <f t="shared" si="28"/>
        <v>928.71</v>
      </c>
      <c r="L281" s="18">
        <f t="shared" si="29"/>
        <v>886.71</v>
      </c>
    </row>
    <row r="282" spans="2:12" x14ac:dyDescent="0.35">
      <c r="B282" s="29">
        <f>IF(B281="","",IF(B281+1&gt;'Mon prêt'!$C$9,"",B281+1))</f>
        <v>275</v>
      </c>
      <c r="C282" s="30">
        <f>IF($B282="","",EDATE('Mon prêt'!$C$11,B282-1))</f>
        <v>54671</v>
      </c>
      <c r="D282" s="18">
        <f>IF($B282="","",IF(B282='Mon prêt'!$C$9,J281+E282,IF(B282&lt;='Mon prêt'!$C$10,E282,'Mon prêt'!$C$22)))</f>
        <v>886.71</v>
      </c>
      <c r="E282" s="18">
        <f>IF($B282="","",ROUND(J281*'Mon prêt'!$C$8/12,2))</f>
        <v>61.99</v>
      </c>
      <c r="F282" s="18">
        <f t="shared" si="24"/>
        <v>824.72</v>
      </c>
      <c r="G282" s="18">
        <f>IF($B282="","",ROUND(IF('Mon prêt'!$C$12=Paramètres!$B$36,'Mon prêt'!$C$7,J281)*'Mon prêt'!$C$13/12,2))</f>
        <v>42</v>
      </c>
      <c r="H282" s="18">
        <f t="shared" si="25"/>
        <v>928.71</v>
      </c>
      <c r="I282" s="18">
        <f t="shared" si="26"/>
        <v>158618.28000000003</v>
      </c>
      <c r="J282" s="31">
        <f t="shared" si="27"/>
        <v>21381.72</v>
      </c>
      <c r="K282" s="18">
        <f t="shared" si="28"/>
        <v>928.71</v>
      </c>
      <c r="L282" s="18">
        <f t="shared" si="29"/>
        <v>886.71</v>
      </c>
    </row>
    <row r="283" spans="2:12" x14ac:dyDescent="0.35">
      <c r="B283" s="29">
        <f>IF(B282="","",IF(B282+1&gt;'Mon prêt'!$C$9,"",B282+1))</f>
        <v>276</v>
      </c>
      <c r="C283" s="30">
        <f>IF($B283="","",EDATE('Mon prêt'!$C$11,B283-1))</f>
        <v>54701</v>
      </c>
      <c r="D283" s="18">
        <f>IF($B283="","",IF(B283='Mon prêt'!$C$9,J282+E283,IF(B283&lt;='Mon prêt'!$C$10,E283,'Mon prêt'!$C$22)))</f>
        <v>886.71</v>
      </c>
      <c r="E283" s="18">
        <f>IF($B283="","",ROUND(J282*'Mon prêt'!$C$8/12,2))</f>
        <v>59.69</v>
      </c>
      <c r="F283" s="18">
        <f t="shared" si="24"/>
        <v>827.02</v>
      </c>
      <c r="G283" s="18">
        <f>IF($B283="","",ROUND(IF('Mon prêt'!$C$12=Paramètres!$B$36,'Mon prêt'!$C$7,J282)*'Mon prêt'!$C$13/12,2))</f>
        <v>42</v>
      </c>
      <c r="H283" s="18">
        <f t="shared" si="25"/>
        <v>928.71</v>
      </c>
      <c r="I283" s="18">
        <f t="shared" si="26"/>
        <v>159445.30000000002</v>
      </c>
      <c r="J283" s="31">
        <f t="shared" si="27"/>
        <v>20554.7</v>
      </c>
      <c r="K283" s="18">
        <f t="shared" si="28"/>
        <v>928.71</v>
      </c>
      <c r="L283" s="18">
        <f t="shared" si="29"/>
        <v>886.71</v>
      </c>
    </row>
    <row r="284" spans="2:12" x14ac:dyDescent="0.35">
      <c r="B284" s="29">
        <f>IF(B283="","",IF(B283+1&gt;'Mon prêt'!$C$9,"",B283+1))</f>
        <v>277</v>
      </c>
      <c r="C284" s="30">
        <f>IF($B284="","",EDATE('Mon prêt'!$C$11,B284-1))</f>
        <v>54732</v>
      </c>
      <c r="D284" s="18">
        <f>IF($B284="","",IF(B284='Mon prêt'!$C$9,J283+E284,IF(B284&lt;='Mon prêt'!$C$10,E284,'Mon prêt'!$C$22)))</f>
        <v>886.71</v>
      </c>
      <c r="E284" s="18">
        <f>IF($B284="","",ROUND(J283*'Mon prêt'!$C$8/12,2))</f>
        <v>57.38</v>
      </c>
      <c r="F284" s="18">
        <f t="shared" si="24"/>
        <v>829.33</v>
      </c>
      <c r="G284" s="18">
        <f>IF($B284="","",ROUND(IF('Mon prêt'!$C$12=Paramètres!$B$36,'Mon prêt'!$C$7,J283)*'Mon prêt'!$C$13/12,2))</f>
        <v>42</v>
      </c>
      <c r="H284" s="18">
        <f t="shared" si="25"/>
        <v>928.71</v>
      </c>
      <c r="I284" s="18">
        <f t="shared" si="26"/>
        <v>160274.63</v>
      </c>
      <c r="J284" s="31">
        <f t="shared" si="27"/>
        <v>19725.37</v>
      </c>
      <c r="K284" s="18">
        <f t="shared" si="28"/>
        <v>928.71</v>
      </c>
      <c r="L284" s="18">
        <f t="shared" si="29"/>
        <v>886.71</v>
      </c>
    </row>
    <row r="285" spans="2:12" x14ac:dyDescent="0.35">
      <c r="B285" s="29">
        <f>IF(B284="","",IF(B284+1&gt;'Mon prêt'!$C$9,"",B284+1))</f>
        <v>278</v>
      </c>
      <c r="C285" s="30">
        <f>IF($B285="","",EDATE('Mon prêt'!$C$11,B285-1))</f>
        <v>54762</v>
      </c>
      <c r="D285" s="18">
        <f>IF($B285="","",IF(B285='Mon prêt'!$C$9,J284+E285,IF(B285&lt;='Mon prêt'!$C$10,E285,'Mon prêt'!$C$22)))</f>
        <v>886.71</v>
      </c>
      <c r="E285" s="18">
        <f>IF($B285="","",ROUND(J284*'Mon prêt'!$C$8/12,2))</f>
        <v>55.07</v>
      </c>
      <c r="F285" s="18">
        <f t="shared" si="24"/>
        <v>831.64</v>
      </c>
      <c r="G285" s="18">
        <f>IF($B285="","",ROUND(IF('Mon prêt'!$C$12=Paramètres!$B$36,'Mon prêt'!$C$7,J284)*'Mon prêt'!$C$13/12,2))</f>
        <v>42</v>
      </c>
      <c r="H285" s="18">
        <f t="shared" si="25"/>
        <v>928.71</v>
      </c>
      <c r="I285" s="18">
        <f t="shared" si="26"/>
        <v>161106.27000000002</v>
      </c>
      <c r="J285" s="31">
        <f t="shared" si="27"/>
        <v>18893.73</v>
      </c>
      <c r="K285" s="18">
        <f t="shared" si="28"/>
        <v>928.71</v>
      </c>
      <c r="L285" s="18">
        <f t="shared" si="29"/>
        <v>886.71</v>
      </c>
    </row>
    <row r="286" spans="2:12" x14ac:dyDescent="0.35">
      <c r="B286" s="29">
        <f>IF(B285="","",IF(B285+1&gt;'Mon prêt'!$C$9,"",B285+1))</f>
        <v>279</v>
      </c>
      <c r="C286" s="30">
        <f>IF($B286="","",EDATE('Mon prêt'!$C$11,B286-1))</f>
        <v>54793</v>
      </c>
      <c r="D286" s="18">
        <f>IF($B286="","",IF(B286='Mon prêt'!$C$9,J285+E286,IF(B286&lt;='Mon prêt'!$C$10,E286,'Mon prêt'!$C$22)))</f>
        <v>886.71</v>
      </c>
      <c r="E286" s="18">
        <f>IF($B286="","",ROUND(J285*'Mon prêt'!$C$8/12,2))</f>
        <v>52.74</v>
      </c>
      <c r="F286" s="18">
        <f t="shared" si="24"/>
        <v>833.97</v>
      </c>
      <c r="G286" s="18">
        <f>IF($B286="","",ROUND(IF('Mon prêt'!$C$12=Paramètres!$B$36,'Mon prêt'!$C$7,J285)*'Mon prêt'!$C$13/12,2))</f>
        <v>42</v>
      </c>
      <c r="H286" s="18">
        <f t="shared" si="25"/>
        <v>928.71</v>
      </c>
      <c r="I286" s="18">
        <f t="shared" si="26"/>
        <v>161940.24000000002</v>
      </c>
      <c r="J286" s="31">
        <f t="shared" si="27"/>
        <v>18059.759999999998</v>
      </c>
      <c r="K286" s="18">
        <f t="shared" si="28"/>
        <v>928.71</v>
      </c>
      <c r="L286" s="18">
        <f t="shared" si="29"/>
        <v>886.71</v>
      </c>
    </row>
    <row r="287" spans="2:12" x14ac:dyDescent="0.35">
      <c r="B287" s="29">
        <f>IF(B286="","",IF(B286+1&gt;'Mon prêt'!$C$9,"",B286+1))</f>
        <v>280</v>
      </c>
      <c r="C287" s="30">
        <f>IF($B287="","",EDATE('Mon prêt'!$C$11,B287-1))</f>
        <v>54824</v>
      </c>
      <c r="D287" s="18">
        <f>IF($B287="","",IF(B287='Mon prêt'!$C$9,J286+E287,IF(B287&lt;='Mon prêt'!$C$10,E287,'Mon prêt'!$C$22)))</f>
        <v>886.71</v>
      </c>
      <c r="E287" s="18">
        <f>IF($B287="","",ROUND(J286*'Mon prêt'!$C$8/12,2))</f>
        <v>50.42</v>
      </c>
      <c r="F287" s="18">
        <f t="shared" si="24"/>
        <v>836.29000000000008</v>
      </c>
      <c r="G287" s="18">
        <f>IF($B287="","",ROUND(IF('Mon prêt'!$C$12=Paramètres!$B$36,'Mon prêt'!$C$7,J286)*'Mon prêt'!$C$13/12,2))</f>
        <v>42</v>
      </c>
      <c r="H287" s="18">
        <f t="shared" si="25"/>
        <v>928.71</v>
      </c>
      <c r="I287" s="18">
        <f t="shared" si="26"/>
        <v>162776.53000000003</v>
      </c>
      <c r="J287" s="31">
        <f t="shared" si="27"/>
        <v>17223.47</v>
      </c>
      <c r="K287" s="18">
        <f t="shared" si="28"/>
        <v>928.71</v>
      </c>
      <c r="L287" s="18">
        <f t="shared" si="29"/>
        <v>886.71</v>
      </c>
    </row>
    <row r="288" spans="2:12" x14ac:dyDescent="0.35">
      <c r="B288" s="29">
        <f>IF(B287="","",IF(B287+1&gt;'Mon prêt'!$C$9,"",B287+1))</f>
        <v>281</v>
      </c>
      <c r="C288" s="30">
        <f>IF($B288="","",EDATE('Mon prêt'!$C$11,B288-1))</f>
        <v>54852</v>
      </c>
      <c r="D288" s="18">
        <f>IF($B288="","",IF(B288='Mon prêt'!$C$9,J287+E288,IF(B288&lt;='Mon prêt'!$C$10,E288,'Mon prêt'!$C$22)))</f>
        <v>886.71</v>
      </c>
      <c r="E288" s="18">
        <f>IF($B288="","",ROUND(J287*'Mon prêt'!$C$8/12,2))</f>
        <v>48.08</v>
      </c>
      <c r="F288" s="18">
        <f t="shared" si="24"/>
        <v>838.63</v>
      </c>
      <c r="G288" s="18">
        <f>IF($B288="","",ROUND(IF('Mon prêt'!$C$12=Paramètres!$B$36,'Mon prêt'!$C$7,J287)*'Mon prêt'!$C$13/12,2))</f>
        <v>42</v>
      </c>
      <c r="H288" s="18">
        <f t="shared" si="25"/>
        <v>928.71</v>
      </c>
      <c r="I288" s="18">
        <f t="shared" si="26"/>
        <v>163615.16000000003</v>
      </c>
      <c r="J288" s="31">
        <f t="shared" si="27"/>
        <v>16384.84</v>
      </c>
      <c r="K288" s="18">
        <f t="shared" si="28"/>
        <v>928.71</v>
      </c>
      <c r="L288" s="18">
        <f t="shared" si="29"/>
        <v>886.71</v>
      </c>
    </row>
    <row r="289" spans="2:12" x14ac:dyDescent="0.35">
      <c r="B289" s="29">
        <f>IF(B288="","",IF(B288+1&gt;'Mon prêt'!$C$9,"",B288+1))</f>
        <v>282</v>
      </c>
      <c r="C289" s="30">
        <f>IF($B289="","",EDATE('Mon prêt'!$C$11,B289-1))</f>
        <v>54883</v>
      </c>
      <c r="D289" s="18">
        <f>IF($B289="","",IF(B289='Mon prêt'!$C$9,J288+E289,IF(B289&lt;='Mon prêt'!$C$10,E289,'Mon prêt'!$C$22)))</f>
        <v>886.71</v>
      </c>
      <c r="E289" s="18">
        <f>IF($B289="","",ROUND(J288*'Mon prêt'!$C$8/12,2))</f>
        <v>45.74</v>
      </c>
      <c r="F289" s="18">
        <f t="shared" si="24"/>
        <v>840.97</v>
      </c>
      <c r="G289" s="18">
        <f>IF($B289="","",ROUND(IF('Mon prêt'!$C$12=Paramètres!$B$36,'Mon prêt'!$C$7,J288)*'Mon prêt'!$C$13/12,2))</f>
        <v>42</v>
      </c>
      <c r="H289" s="18">
        <f t="shared" si="25"/>
        <v>928.71</v>
      </c>
      <c r="I289" s="18">
        <f t="shared" si="26"/>
        <v>164456.13000000003</v>
      </c>
      <c r="J289" s="31">
        <f t="shared" si="27"/>
        <v>15543.87</v>
      </c>
      <c r="K289" s="18">
        <f t="shared" si="28"/>
        <v>928.71</v>
      </c>
      <c r="L289" s="18">
        <f t="shared" si="29"/>
        <v>886.71</v>
      </c>
    </row>
    <row r="290" spans="2:12" x14ac:dyDescent="0.35">
      <c r="B290" s="29">
        <f>IF(B289="","",IF(B289+1&gt;'Mon prêt'!$C$9,"",B289+1))</f>
        <v>283</v>
      </c>
      <c r="C290" s="30">
        <f>IF($B290="","",EDATE('Mon prêt'!$C$11,B290-1))</f>
        <v>54913</v>
      </c>
      <c r="D290" s="18">
        <f>IF($B290="","",IF(B290='Mon prêt'!$C$9,J289+E290,IF(B290&lt;='Mon prêt'!$C$10,E290,'Mon prêt'!$C$22)))</f>
        <v>886.71</v>
      </c>
      <c r="E290" s="18">
        <f>IF($B290="","",ROUND(J289*'Mon prêt'!$C$8/12,2))</f>
        <v>43.39</v>
      </c>
      <c r="F290" s="18">
        <f t="shared" si="24"/>
        <v>843.32</v>
      </c>
      <c r="G290" s="18">
        <f>IF($B290="","",ROUND(IF('Mon prêt'!$C$12=Paramètres!$B$36,'Mon prêt'!$C$7,J289)*'Mon prêt'!$C$13/12,2))</f>
        <v>42</v>
      </c>
      <c r="H290" s="18">
        <f t="shared" si="25"/>
        <v>928.71</v>
      </c>
      <c r="I290" s="18">
        <f t="shared" si="26"/>
        <v>165299.45000000004</v>
      </c>
      <c r="J290" s="31">
        <f t="shared" si="27"/>
        <v>14700.55</v>
      </c>
      <c r="K290" s="18">
        <f t="shared" si="28"/>
        <v>928.71</v>
      </c>
      <c r="L290" s="18">
        <f t="shared" si="29"/>
        <v>886.71</v>
      </c>
    </row>
    <row r="291" spans="2:12" x14ac:dyDescent="0.35">
      <c r="B291" s="29">
        <f>IF(B290="","",IF(B290+1&gt;'Mon prêt'!$C$9,"",B290+1))</f>
        <v>284</v>
      </c>
      <c r="C291" s="30">
        <f>IF($B291="","",EDATE('Mon prêt'!$C$11,B291-1))</f>
        <v>54944</v>
      </c>
      <c r="D291" s="18">
        <f>IF($B291="","",IF(B291='Mon prêt'!$C$9,J290+E291,IF(B291&lt;='Mon prêt'!$C$10,E291,'Mon prêt'!$C$22)))</f>
        <v>886.71</v>
      </c>
      <c r="E291" s="18">
        <f>IF($B291="","",ROUND(J290*'Mon prêt'!$C$8/12,2))</f>
        <v>41.04</v>
      </c>
      <c r="F291" s="18">
        <f t="shared" si="24"/>
        <v>845.67000000000007</v>
      </c>
      <c r="G291" s="18">
        <f>IF($B291="","",ROUND(IF('Mon prêt'!$C$12=Paramètres!$B$36,'Mon prêt'!$C$7,J290)*'Mon prêt'!$C$13/12,2))</f>
        <v>42</v>
      </c>
      <c r="H291" s="18">
        <f t="shared" si="25"/>
        <v>928.71</v>
      </c>
      <c r="I291" s="18">
        <f t="shared" si="26"/>
        <v>166145.12000000005</v>
      </c>
      <c r="J291" s="31">
        <f t="shared" si="27"/>
        <v>13854.88</v>
      </c>
      <c r="K291" s="18">
        <f t="shared" si="28"/>
        <v>928.71</v>
      </c>
      <c r="L291" s="18">
        <f t="shared" si="29"/>
        <v>886.71</v>
      </c>
    </row>
    <row r="292" spans="2:12" x14ac:dyDescent="0.35">
      <c r="B292" s="29">
        <f>IF(B291="","",IF(B291+1&gt;'Mon prêt'!$C$9,"",B291+1))</f>
        <v>285</v>
      </c>
      <c r="C292" s="30">
        <f>IF($B292="","",EDATE('Mon prêt'!$C$11,B292-1))</f>
        <v>54974</v>
      </c>
      <c r="D292" s="18">
        <f>IF($B292="","",IF(B292='Mon prêt'!$C$9,J291+E292,IF(B292&lt;='Mon prêt'!$C$10,E292,'Mon prêt'!$C$22)))</f>
        <v>886.71</v>
      </c>
      <c r="E292" s="18">
        <f>IF($B292="","",ROUND(J291*'Mon prêt'!$C$8/12,2))</f>
        <v>38.68</v>
      </c>
      <c r="F292" s="18">
        <f t="shared" si="24"/>
        <v>848.03000000000009</v>
      </c>
      <c r="G292" s="18">
        <f>IF($B292="","",ROUND(IF('Mon prêt'!$C$12=Paramètres!$B$36,'Mon prêt'!$C$7,J291)*'Mon prêt'!$C$13/12,2))</f>
        <v>42</v>
      </c>
      <c r="H292" s="18">
        <f t="shared" si="25"/>
        <v>928.71</v>
      </c>
      <c r="I292" s="18">
        <f t="shared" si="26"/>
        <v>166993.15000000005</v>
      </c>
      <c r="J292" s="31">
        <f t="shared" si="27"/>
        <v>13006.85</v>
      </c>
      <c r="K292" s="18">
        <f t="shared" si="28"/>
        <v>928.71</v>
      </c>
      <c r="L292" s="18">
        <f t="shared" si="29"/>
        <v>886.71</v>
      </c>
    </row>
    <row r="293" spans="2:12" x14ac:dyDescent="0.35">
      <c r="B293" s="29">
        <f>IF(B292="","",IF(B292+1&gt;'Mon prêt'!$C$9,"",B292+1))</f>
        <v>286</v>
      </c>
      <c r="C293" s="30">
        <f>IF($B293="","",EDATE('Mon prêt'!$C$11,B293-1))</f>
        <v>55005</v>
      </c>
      <c r="D293" s="18">
        <f>IF($B293="","",IF(B293='Mon prêt'!$C$9,J292+E293,IF(B293&lt;='Mon prêt'!$C$10,E293,'Mon prêt'!$C$22)))</f>
        <v>886.71</v>
      </c>
      <c r="E293" s="18">
        <f>IF($B293="","",ROUND(J292*'Mon prêt'!$C$8/12,2))</f>
        <v>36.31</v>
      </c>
      <c r="F293" s="18">
        <f t="shared" si="24"/>
        <v>850.40000000000009</v>
      </c>
      <c r="G293" s="18">
        <f>IF($B293="","",ROUND(IF('Mon prêt'!$C$12=Paramètres!$B$36,'Mon prêt'!$C$7,J292)*'Mon prêt'!$C$13/12,2))</f>
        <v>42</v>
      </c>
      <c r="H293" s="18">
        <f t="shared" si="25"/>
        <v>928.71</v>
      </c>
      <c r="I293" s="18">
        <f t="shared" si="26"/>
        <v>167843.55000000005</v>
      </c>
      <c r="J293" s="31">
        <f t="shared" si="27"/>
        <v>12156.45</v>
      </c>
      <c r="K293" s="18">
        <f t="shared" si="28"/>
        <v>928.71</v>
      </c>
      <c r="L293" s="18">
        <f t="shared" si="29"/>
        <v>886.71</v>
      </c>
    </row>
    <row r="294" spans="2:12" x14ac:dyDescent="0.35">
      <c r="B294" s="29">
        <f>IF(B293="","",IF(B293+1&gt;'Mon prêt'!$C$9,"",B293+1))</f>
        <v>287</v>
      </c>
      <c r="C294" s="30">
        <f>IF($B294="","",EDATE('Mon prêt'!$C$11,B294-1))</f>
        <v>55036</v>
      </c>
      <c r="D294" s="18">
        <f>IF($B294="","",IF(B294='Mon prêt'!$C$9,J293+E294,IF(B294&lt;='Mon prêt'!$C$10,E294,'Mon prêt'!$C$22)))</f>
        <v>886.71</v>
      </c>
      <c r="E294" s="18">
        <f>IF($B294="","",ROUND(J293*'Mon prêt'!$C$8/12,2))</f>
        <v>33.94</v>
      </c>
      <c r="F294" s="18">
        <f t="shared" si="24"/>
        <v>852.77</v>
      </c>
      <c r="G294" s="18">
        <f>IF($B294="","",ROUND(IF('Mon prêt'!$C$12=Paramètres!$B$36,'Mon prêt'!$C$7,J293)*'Mon prêt'!$C$13/12,2))</f>
        <v>42</v>
      </c>
      <c r="H294" s="18">
        <f t="shared" si="25"/>
        <v>928.71</v>
      </c>
      <c r="I294" s="18">
        <f t="shared" si="26"/>
        <v>168696.32000000004</v>
      </c>
      <c r="J294" s="31">
        <f t="shared" si="27"/>
        <v>11303.68</v>
      </c>
      <c r="K294" s="18">
        <f t="shared" si="28"/>
        <v>928.71</v>
      </c>
      <c r="L294" s="18">
        <f t="shared" si="29"/>
        <v>886.71</v>
      </c>
    </row>
    <row r="295" spans="2:12" x14ac:dyDescent="0.35">
      <c r="B295" s="29">
        <f>IF(B294="","",IF(B294+1&gt;'Mon prêt'!$C$9,"",B294+1))</f>
        <v>288</v>
      </c>
      <c r="C295" s="30">
        <f>IF($B295="","",EDATE('Mon prêt'!$C$11,B295-1))</f>
        <v>55066</v>
      </c>
      <c r="D295" s="18">
        <f>IF($B295="","",IF(B295='Mon prêt'!$C$9,J294+E295,IF(B295&lt;='Mon prêt'!$C$10,E295,'Mon prêt'!$C$22)))</f>
        <v>886.71</v>
      </c>
      <c r="E295" s="18">
        <f>IF($B295="","",ROUND(J294*'Mon prêt'!$C$8/12,2))</f>
        <v>31.56</v>
      </c>
      <c r="F295" s="18">
        <f t="shared" si="24"/>
        <v>855.15000000000009</v>
      </c>
      <c r="G295" s="18">
        <f>IF($B295="","",ROUND(IF('Mon prêt'!$C$12=Paramètres!$B$36,'Mon prêt'!$C$7,J294)*'Mon prêt'!$C$13/12,2))</f>
        <v>42</v>
      </c>
      <c r="H295" s="18">
        <f t="shared" si="25"/>
        <v>928.71</v>
      </c>
      <c r="I295" s="18">
        <f t="shared" si="26"/>
        <v>169551.47000000003</v>
      </c>
      <c r="J295" s="31">
        <f t="shared" si="27"/>
        <v>10448.530000000001</v>
      </c>
      <c r="K295" s="18">
        <f t="shared" si="28"/>
        <v>928.71</v>
      </c>
      <c r="L295" s="18">
        <f t="shared" si="29"/>
        <v>886.71</v>
      </c>
    </row>
    <row r="296" spans="2:12" x14ac:dyDescent="0.35">
      <c r="B296" s="29">
        <f>IF(B295="","",IF(B295+1&gt;'Mon prêt'!$C$9,"",B295+1))</f>
        <v>289</v>
      </c>
      <c r="C296" s="30">
        <f>IF($B296="","",EDATE('Mon prêt'!$C$11,B296-1))</f>
        <v>55097</v>
      </c>
      <c r="D296" s="18">
        <f>IF($B296="","",IF(B296='Mon prêt'!$C$9,J295+E296,IF(B296&lt;='Mon prêt'!$C$10,E296,'Mon prêt'!$C$22)))</f>
        <v>886.71</v>
      </c>
      <c r="E296" s="18">
        <f>IF($B296="","",ROUND(J295*'Mon prêt'!$C$8/12,2))</f>
        <v>29.17</v>
      </c>
      <c r="F296" s="18">
        <f t="shared" si="24"/>
        <v>857.54000000000008</v>
      </c>
      <c r="G296" s="18">
        <f>IF($B296="","",ROUND(IF('Mon prêt'!$C$12=Paramètres!$B$36,'Mon prêt'!$C$7,J295)*'Mon prêt'!$C$13/12,2))</f>
        <v>42</v>
      </c>
      <c r="H296" s="18">
        <f t="shared" si="25"/>
        <v>928.71</v>
      </c>
      <c r="I296" s="18">
        <f t="shared" si="26"/>
        <v>170409.01000000004</v>
      </c>
      <c r="J296" s="31">
        <f t="shared" si="27"/>
        <v>9590.99</v>
      </c>
      <c r="K296" s="18">
        <f t="shared" si="28"/>
        <v>928.71</v>
      </c>
      <c r="L296" s="18">
        <f t="shared" si="29"/>
        <v>886.71</v>
      </c>
    </row>
    <row r="297" spans="2:12" x14ac:dyDescent="0.35">
      <c r="B297" s="29">
        <f>IF(B296="","",IF(B296+1&gt;'Mon prêt'!$C$9,"",B296+1))</f>
        <v>290</v>
      </c>
      <c r="C297" s="30">
        <f>IF($B297="","",EDATE('Mon prêt'!$C$11,B297-1))</f>
        <v>55127</v>
      </c>
      <c r="D297" s="18">
        <f>IF($B297="","",IF(B297='Mon prêt'!$C$9,J296+E297,IF(B297&lt;='Mon prêt'!$C$10,E297,'Mon prêt'!$C$22)))</f>
        <v>886.71</v>
      </c>
      <c r="E297" s="18">
        <f>IF($B297="","",ROUND(J296*'Mon prêt'!$C$8/12,2))</f>
        <v>26.77</v>
      </c>
      <c r="F297" s="18">
        <f t="shared" si="24"/>
        <v>859.94</v>
      </c>
      <c r="G297" s="18">
        <f>IF($B297="","",ROUND(IF('Mon prêt'!$C$12=Paramètres!$B$36,'Mon prêt'!$C$7,J296)*'Mon prêt'!$C$13/12,2))</f>
        <v>42</v>
      </c>
      <c r="H297" s="18">
        <f t="shared" si="25"/>
        <v>928.71</v>
      </c>
      <c r="I297" s="18">
        <f t="shared" si="26"/>
        <v>171268.95000000004</v>
      </c>
      <c r="J297" s="31">
        <f t="shared" si="27"/>
        <v>8731.0499999999993</v>
      </c>
      <c r="K297" s="18">
        <f t="shared" si="28"/>
        <v>928.71</v>
      </c>
      <c r="L297" s="18">
        <f t="shared" si="29"/>
        <v>886.71</v>
      </c>
    </row>
    <row r="298" spans="2:12" x14ac:dyDescent="0.35">
      <c r="B298" s="29">
        <f>IF(B297="","",IF(B297+1&gt;'Mon prêt'!$C$9,"",B297+1))</f>
        <v>291</v>
      </c>
      <c r="C298" s="30">
        <f>IF($B298="","",EDATE('Mon prêt'!$C$11,B298-1))</f>
        <v>55158</v>
      </c>
      <c r="D298" s="18">
        <f>IF($B298="","",IF(B298='Mon prêt'!$C$9,J297+E298,IF(B298&lt;='Mon prêt'!$C$10,E298,'Mon prêt'!$C$22)))</f>
        <v>886.71</v>
      </c>
      <c r="E298" s="18">
        <f>IF($B298="","",ROUND(J297*'Mon prêt'!$C$8/12,2))</f>
        <v>24.37</v>
      </c>
      <c r="F298" s="18">
        <f t="shared" si="24"/>
        <v>862.34</v>
      </c>
      <c r="G298" s="18">
        <f>IF($B298="","",ROUND(IF('Mon prêt'!$C$12=Paramètres!$B$36,'Mon prêt'!$C$7,J297)*'Mon prêt'!$C$13/12,2))</f>
        <v>42</v>
      </c>
      <c r="H298" s="18">
        <f t="shared" si="25"/>
        <v>928.71</v>
      </c>
      <c r="I298" s="18">
        <f t="shared" si="26"/>
        <v>172131.29000000004</v>
      </c>
      <c r="J298" s="31">
        <f t="shared" si="27"/>
        <v>7868.71</v>
      </c>
      <c r="K298" s="18">
        <f t="shared" si="28"/>
        <v>928.71</v>
      </c>
      <c r="L298" s="18">
        <f t="shared" si="29"/>
        <v>886.71</v>
      </c>
    </row>
    <row r="299" spans="2:12" x14ac:dyDescent="0.35">
      <c r="B299" s="29">
        <f>IF(B298="","",IF(B298+1&gt;'Mon prêt'!$C$9,"",B298+1))</f>
        <v>292</v>
      </c>
      <c r="C299" s="30">
        <f>IF($B299="","",EDATE('Mon prêt'!$C$11,B299-1))</f>
        <v>55189</v>
      </c>
      <c r="D299" s="18">
        <f>IF($B299="","",IF(B299='Mon prêt'!$C$9,J298+E299,IF(B299&lt;='Mon prêt'!$C$10,E299,'Mon prêt'!$C$22)))</f>
        <v>886.71</v>
      </c>
      <c r="E299" s="18">
        <f>IF($B299="","",ROUND(J298*'Mon prêt'!$C$8/12,2))</f>
        <v>21.97</v>
      </c>
      <c r="F299" s="18">
        <f t="shared" si="24"/>
        <v>864.74</v>
      </c>
      <c r="G299" s="18">
        <f>IF($B299="","",ROUND(IF('Mon prêt'!$C$12=Paramètres!$B$36,'Mon prêt'!$C$7,J298)*'Mon prêt'!$C$13/12,2))</f>
        <v>42</v>
      </c>
      <c r="H299" s="18">
        <f t="shared" si="25"/>
        <v>928.71</v>
      </c>
      <c r="I299" s="18">
        <f t="shared" si="26"/>
        <v>172996.03000000003</v>
      </c>
      <c r="J299" s="31">
        <f t="shared" si="27"/>
        <v>7003.97</v>
      </c>
      <c r="K299" s="18">
        <f t="shared" si="28"/>
        <v>928.71</v>
      </c>
      <c r="L299" s="18">
        <f t="shared" si="29"/>
        <v>886.71</v>
      </c>
    </row>
    <row r="300" spans="2:12" x14ac:dyDescent="0.35">
      <c r="B300" s="29">
        <f>IF(B299="","",IF(B299+1&gt;'Mon prêt'!$C$9,"",B299+1))</f>
        <v>293</v>
      </c>
      <c r="C300" s="30">
        <f>IF($B300="","",EDATE('Mon prêt'!$C$11,B300-1))</f>
        <v>55217</v>
      </c>
      <c r="D300" s="18">
        <f>IF($B300="","",IF(B300='Mon prêt'!$C$9,J299+E300,IF(B300&lt;='Mon prêt'!$C$10,E300,'Mon prêt'!$C$22)))</f>
        <v>886.71</v>
      </c>
      <c r="E300" s="18">
        <f>IF($B300="","",ROUND(J299*'Mon prêt'!$C$8/12,2))</f>
        <v>19.55</v>
      </c>
      <c r="F300" s="18">
        <f t="shared" si="24"/>
        <v>867.16000000000008</v>
      </c>
      <c r="G300" s="18">
        <f>IF($B300="","",ROUND(IF('Mon prêt'!$C$12=Paramètres!$B$36,'Mon prêt'!$C$7,J299)*'Mon prêt'!$C$13/12,2))</f>
        <v>42</v>
      </c>
      <c r="H300" s="18">
        <f t="shared" si="25"/>
        <v>928.71</v>
      </c>
      <c r="I300" s="18">
        <f t="shared" si="26"/>
        <v>173863.19000000003</v>
      </c>
      <c r="J300" s="31">
        <f t="shared" si="27"/>
        <v>6136.81</v>
      </c>
      <c r="K300" s="18">
        <f t="shared" si="28"/>
        <v>928.71</v>
      </c>
      <c r="L300" s="18">
        <f t="shared" si="29"/>
        <v>886.71</v>
      </c>
    </row>
    <row r="301" spans="2:12" x14ac:dyDescent="0.35">
      <c r="B301" s="29">
        <f>IF(B300="","",IF(B300+1&gt;'Mon prêt'!$C$9,"",B300+1))</f>
        <v>294</v>
      </c>
      <c r="C301" s="30">
        <f>IF($B301="","",EDATE('Mon prêt'!$C$11,B301-1))</f>
        <v>55248</v>
      </c>
      <c r="D301" s="18">
        <f>IF($B301="","",IF(B301='Mon prêt'!$C$9,J300+E301,IF(B301&lt;='Mon prêt'!$C$10,E301,'Mon prêt'!$C$22)))</f>
        <v>886.71</v>
      </c>
      <c r="E301" s="18">
        <f>IF($B301="","",ROUND(J300*'Mon prêt'!$C$8/12,2))</f>
        <v>17.13</v>
      </c>
      <c r="F301" s="18">
        <f t="shared" si="24"/>
        <v>869.58</v>
      </c>
      <c r="G301" s="18">
        <f>IF($B301="","",ROUND(IF('Mon prêt'!$C$12=Paramètres!$B$36,'Mon prêt'!$C$7,J300)*'Mon prêt'!$C$13/12,2))</f>
        <v>42</v>
      </c>
      <c r="H301" s="18">
        <f t="shared" si="25"/>
        <v>928.71</v>
      </c>
      <c r="I301" s="18">
        <f t="shared" si="26"/>
        <v>174732.77000000002</v>
      </c>
      <c r="J301" s="31">
        <f t="shared" si="27"/>
        <v>5267.23</v>
      </c>
      <c r="K301" s="18">
        <f t="shared" si="28"/>
        <v>928.71</v>
      </c>
      <c r="L301" s="18">
        <f t="shared" si="29"/>
        <v>886.71</v>
      </c>
    </row>
    <row r="302" spans="2:12" x14ac:dyDescent="0.35">
      <c r="B302" s="29">
        <f>IF(B301="","",IF(B301+1&gt;'Mon prêt'!$C$9,"",B301+1))</f>
        <v>295</v>
      </c>
      <c r="C302" s="30">
        <f>IF($B302="","",EDATE('Mon prêt'!$C$11,B302-1))</f>
        <v>55278</v>
      </c>
      <c r="D302" s="18">
        <f>IF($B302="","",IF(B302='Mon prêt'!$C$9,J301+E302,IF(B302&lt;='Mon prêt'!$C$10,E302,'Mon prêt'!$C$22)))</f>
        <v>886.71</v>
      </c>
      <c r="E302" s="18">
        <f>IF($B302="","",ROUND(J301*'Mon prêt'!$C$8/12,2))</f>
        <v>14.7</v>
      </c>
      <c r="F302" s="18">
        <f t="shared" si="24"/>
        <v>872.01</v>
      </c>
      <c r="G302" s="18">
        <f>IF($B302="","",ROUND(IF('Mon prêt'!$C$12=Paramètres!$B$36,'Mon prêt'!$C$7,J301)*'Mon prêt'!$C$13/12,2))</f>
        <v>42</v>
      </c>
      <c r="H302" s="18">
        <f t="shared" si="25"/>
        <v>928.71</v>
      </c>
      <c r="I302" s="18">
        <f t="shared" si="26"/>
        <v>175604.78000000003</v>
      </c>
      <c r="J302" s="31">
        <f t="shared" si="27"/>
        <v>4395.22</v>
      </c>
      <c r="K302" s="18">
        <f t="shared" si="28"/>
        <v>928.71</v>
      </c>
      <c r="L302" s="18">
        <f t="shared" si="29"/>
        <v>886.71</v>
      </c>
    </row>
    <row r="303" spans="2:12" x14ac:dyDescent="0.35">
      <c r="B303" s="29">
        <f>IF(B302="","",IF(B302+1&gt;'Mon prêt'!$C$9,"",B302+1))</f>
        <v>296</v>
      </c>
      <c r="C303" s="30">
        <f>IF($B303="","",EDATE('Mon prêt'!$C$11,B303-1))</f>
        <v>55309</v>
      </c>
      <c r="D303" s="18">
        <f>IF($B303="","",IF(B303='Mon prêt'!$C$9,J302+E303,IF(B303&lt;='Mon prêt'!$C$10,E303,'Mon prêt'!$C$22)))</f>
        <v>886.71</v>
      </c>
      <c r="E303" s="18">
        <f>IF($B303="","",ROUND(J302*'Mon prêt'!$C$8/12,2))</f>
        <v>12.27</v>
      </c>
      <c r="F303" s="18">
        <f t="shared" si="24"/>
        <v>874.44</v>
      </c>
      <c r="G303" s="18">
        <f>IF($B303="","",ROUND(IF('Mon prêt'!$C$12=Paramètres!$B$36,'Mon prêt'!$C$7,J302)*'Mon prêt'!$C$13/12,2))</f>
        <v>42</v>
      </c>
      <c r="H303" s="18">
        <f t="shared" si="25"/>
        <v>928.71</v>
      </c>
      <c r="I303" s="18">
        <f t="shared" si="26"/>
        <v>176479.22000000003</v>
      </c>
      <c r="J303" s="31">
        <f t="shared" si="27"/>
        <v>3520.78</v>
      </c>
      <c r="K303" s="18">
        <f t="shared" si="28"/>
        <v>928.71</v>
      </c>
      <c r="L303" s="18">
        <f t="shared" si="29"/>
        <v>886.71</v>
      </c>
    </row>
    <row r="304" spans="2:12" x14ac:dyDescent="0.35">
      <c r="B304" s="29">
        <f>IF(B303="","",IF(B303+1&gt;'Mon prêt'!$C$9,"",B303+1))</f>
        <v>297</v>
      </c>
      <c r="C304" s="30">
        <f>IF($B304="","",EDATE('Mon prêt'!$C$11,B304-1))</f>
        <v>55339</v>
      </c>
      <c r="D304" s="18">
        <f>IF($B304="","",IF(B304='Mon prêt'!$C$9,J303+E304,IF(B304&lt;='Mon prêt'!$C$10,E304,'Mon prêt'!$C$22)))</f>
        <v>886.71</v>
      </c>
      <c r="E304" s="18">
        <f>IF($B304="","",ROUND(J303*'Mon prêt'!$C$8/12,2))</f>
        <v>9.83</v>
      </c>
      <c r="F304" s="18">
        <f t="shared" si="24"/>
        <v>876.88</v>
      </c>
      <c r="G304" s="18">
        <f>IF($B304="","",ROUND(IF('Mon prêt'!$C$12=Paramètres!$B$36,'Mon prêt'!$C$7,J303)*'Mon prêt'!$C$13/12,2))</f>
        <v>42</v>
      </c>
      <c r="H304" s="18">
        <f t="shared" si="25"/>
        <v>928.71</v>
      </c>
      <c r="I304" s="18">
        <f t="shared" si="26"/>
        <v>177356.10000000003</v>
      </c>
      <c r="J304" s="31">
        <f t="shared" si="27"/>
        <v>2643.9</v>
      </c>
      <c r="K304" s="18">
        <f t="shared" si="28"/>
        <v>928.71</v>
      </c>
      <c r="L304" s="18">
        <f t="shared" si="29"/>
        <v>886.71</v>
      </c>
    </row>
    <row r="305" spans="2:12" x14ac:dyDescent="0.35">
      <c r="B305" s="29">
        <f>IF(B304="","",IF(B304+1&gt;'Mon prêt'!$C$9,"",B304+1))</f>
        <v>298</v>
      </c>
      <c r="C305" s="30">
        <f>IF($B305="","",EDATE('Mon prêt'!$C$11,B305-1))</f>
        <v>55370</v>
      </c>
      <c r="D305" s="18">
        <f>IF($B305="","",IF(B305='Mon prêt'!$C$9,J304+E305,IF(B305&lt;='Mon prêt'!$C$10,E305,'Mon prêt'!$C$22)))</f>
        <v>886.71</v>
      </c>
      <c r="E305" s="18">
        <f>IF($B305="","",ROUND(J304*'Mon prêt'!$C$8/12,2))</f>
        <v>7.38</v>
      </c>
      <c r="F305" s="18">
        <f t="shared" si="24"/>
        <v>879.33</v>
      </c>
      <c r="G305" s="18">
        <f>IF($B305="","",ROUND(IF('Mon prêt'!$C$12=Paramètres!$B$36,'Mon prêt'!$C$7,J304)*'Mon prêt'!$C$13/12,2))</f>
        <v>42</v>
      </c>
      <c r="H305" s="18">
        <f t="shared" si="25"/>
        <v>928.71</v>
      </c>
      <c r="I305" s="18">
        <f t="shared" si="26"/>
        <v>178235.43000000002</v>
      </c>
      <c r="J305" s="31">
        <f t="shared" si="27"/>
        <v>1764.57</v>
      </c>
      <c r="K305" s="18">
        <f t="shared" si="28"/>
        <v>928.71</v>
      </c>
      <c r="L305" s="18">
        <f t="shared" si="29"/>
        <v>886.71</v>
      </c>
    </row>
    <row r="306" spans="2:12" x14ac:dyDescent="0.35">
      <c r="B306" s="29">
        <f>IF(B305="","",IF(B305+1&gt;'Mon prêt'!$C$9,"",B305+1))</f>
        <v>299</v>
      </c>
      <c r="C306" s="30">
        <f>IF($B306="","",EDATE('Mon prêt'!$C$11,B306-1))</f>
        <v>55401</v>
      </c>
      <c r="D306" s="18">
        <f>IF($B306="","",IF(B306='Mon prêt'!$C$9,J305+E306,IF(B306&lt;='Mon prêt'!$C$10,E306,'Mon prêt'!$C$22)))</f>
        <v>886.71</v>
      </c>
      <c r="E306" s="18">
        <f>IF($B306="","",ROUND(J305*'Mon prêt'!$C$8/12,2))</f>
        <v>4.93</v>
      </c>
      <c r="F306" s="18">
        <f t="shared" si="24"/>
        <v>881.78000000000009</v>
      </c>
      <c r="G306" s="18">
        <f>IF($B306="","",ROUND(IF('Mon prêt'!$C$12=Paramètres!$B$36,'Mon prêt'!$C$7,J305)*'Mon prêt'!$C$13/12,2))</f>
        <v>42</v>
      </c>
      <c r="H306" s="18">
        <f t="shared" si="25"/>
        <v>928.71</v>
      </c>
      <c r="I306" s="18">
        <f t="shared" si="26"/>
        <v>179117.21000000002</v>
      </c>
      <c r="J306" s="31">
        <f t="shared" si="27"/>
        <v>882.79</v>
      </c>
      <c r="K306" s="18">
        <f t="shared" si="28"/>
        <v>928.71</v>
      </c>
      <c r="L306" s="18">
        <f t="shared" si="29"/>
        <v>886.71</v>
      </c>
    </row>
    <row r="307" spans="2:12" x14ac:dyDescent="0.35">
      <c r="B307" s="29">
        <f>IF(B306="","",IF(B306+1&gt;'Mon prêt'!$C$9,"",B306+1))</f>
        <v>300</v>
      </c>
      <c r="C307" s="30">
        <f>IF($B307="","",EDATE('Mon prêt'!$C$11,B307-1))</f>
        <v>55431</v>
      </c>
      <c r="D307" s="18">
        <f>IF($B307="","",IF(B307='Mon prêt'!$C$9,J306+E307,IF(B307&lt;='Mon prêt'!$C$10,E307,'Mon prêt'!$C$22)))</f>
        <v>885.25</v>
      </c>
      <c r="E307" s="18">
        <f>IF($B307="","",ROUND(J306*'Mon prêt'!$C$8/12,2))</f>
        <v>2.46</v>
      </c>
      <c r="F307" s="18">
        <f t="shared" si="24"/>
        <v>882.79</v>
      </c>
      <c r="G307" s="18">
        <f>IF($B307="","",ROUND(IF('Mon prêt'!$C$12=Paramètres!$B$36,'Mon prêt'!$C$7,J306)*'Mon prêt'!$C$13/12,2))</f>
        <v>42</v>
      </c>
      <c r="H307" s="18">
        <f t="shared" si="25"/>
        <v>927.25</v>
      </c>
      <c r="I307" s="18">
        <f t="shared" si="26"/>
        <v>180000.00000000003</v>
      </c>
      <c r="J307" s="31">
        <f t="shared" si="27"/>
        <v>0</v>
      </c>
      <c r="K307" s="18">
        <f t="shared" si="28"/>
        <v>927.25</v>
      </c>
      <c r="L307" s="18">
        <f t="shared" si="29"/>
        <v>885.25</v>
      </c>
    </row>
    <row r="308" spans="2:12" x14ac:dyDescent="0.35">
      <c r="B308" s="29" t="str">
        <f>IF(B307="","",IF(B307+1&gt;'Mon prêt'!$C$9,"",B307+1))</f>
        <v/>
      </c>
      <c r="C308" s="30" t="str">
        <f>IF($B308="","",EDATE('Mon prêt'!$C$11,B308-1))</f>
        <v/>
      </c>
      <c r="D308" s="18" t="str">
        <f>IF($B308="","",IF(B308='Mon prêt'!$C$9,J307+E308,IF(B308&lt;='Mon prêt'!$C$10,E308,'Mon prêt'!$C$22)))</f>
        <v/>
      </c>
      <c r="E308" s="18" t="str">
        <f>IF($B308="","",ROUND(J307*'Mon prêt'!$C$8/12,2))</f>
        <v/>
      </c>
      <c r="F308" s="18" t="str">
        <f t="shared" si="24"/>
        <v/>
      </c>
      <c r="G308" s="18" t="str">
        <f>IF($B308="","",ROUND(IF('Mon prêt'!$C$12=Paramètres!$B$36,'Mon prêt'!$C$7,J307)*'Mon prêt'!$C$13/12,2))</f>
        <v/>
      </c>
      <c r="H308" s="18" t="str">
        <f t="shared" si="25"/>
        <v/>
      </c>
      <c r="I308" s="18" t="str">
        <f t="shared" si="26"/>
        <v/>
      </c>
      <c r="J308" s="31" t="str">
        <f t="shared" si="27"/>
        <v/>
      </c>
      <c r="K308" s="18" t="str">
        <f t="shared" si="28"/>
        <v/>
      </c>
      <c r="L308" s="18" t="str">
        <f t="shared" si="29"/>
        <v/>
      </c>
    </row>
    <row r="309" spans="2:12" x14ac:dyDescent="0.35">
      <c r="B309" s="29" t="str">
        <f>IF(B308="","",IF(B308+1&gt;'Mon prêt'!$C$9,"",B308+1))</f>
        <v/>
      </c>
      <c r="C309" s="30" t="str">
        <f>IF($B309="","",EDATE('Mon prêt'!$C$11,B309-1))</f>
        <v/>
      </c>
      <c r="D309" s="18" t="str">
        <f>IF($B309="","",IF(B309='Mon prêt'!$C$9,J308+E309,IF(B309&lt;='Mon prêt'!$C$10,E309,'Mon prêt'!$C$22)))</f>
        <v/>
      </c>
      <c r="E309" s="18" t="str">
        <f>IF($B309="","",ROUND(J308*'Mon prêt'!$C$8/12,2))</f>
        <v/>
      </c>
      <c r="F309" s="18" t="str">
        <f t="shared" si="24"/>
        <v/>
      </c>
      <c r="G309" s="18" t="str">
        <f>IF($B309="","",ROUND(IF('Mon prêt'!$C$12=Paramètres!$B$36,'Mon prêt'!$C$7,J308)*'Mon prêt'!$C$13/12,2))</f>
        <v/>
      </c>
      <c r="H309" s="18" t="str">
        <f t="shared" si="25"/>
        <v/>
      </c>
      <c r="I309" s="18" t="str">
        <f t="shared" si="26"/>
        <v/>
      </c>
      <c r="J309" s="31" t="str">
        <f t="shared" si="27"/>
        <v/>
      </c>
      <c r="K309" s="18" t="str">
        <f t="shared" si="28"/>
        <v/>
      </c>
      <c r="L309" s="18" t="str">
        <f t="shared" si="29"/>
        <v/>
      </c>
    </row>
    <row r="310" spans="2:12" x14ac:dyDescent="0.35">
      <c r="B310" s="29" t="str">
        <f>IF(B309="","",IF(B309+1&gt;'Mon prêt'!$C$9,"",B309+1))</f>
        <v/>
      </c>
      <c r="C310" s="30" t="str">
        <f>IF($B310="","",EDATE('Mon prêt'!$C$11,B310-1))</f>
        <v/>
      </c>
      <c r="D310" s="18" t="str">
        <f>IF($B310="","",IF(B310='Mon prêt'!$C$9,J309+E310,IF(B310&lt;='Mon prêt'!$C$10,E310,'Mon prêt'!$C$22)))</f>
        <v/>
      </c>
      <c r="E310" s="18" t="str">
        <f>IF($B310="","",ROUND(J309*'Mon prêt'!$C$8/12,2))</f>
        <v/>
      </c>
      <c r="F310" s="18" t="str">
        <f t="shared" si="24"/>
        <v/>
      </c>
      <c r="G310" s="18" t="str">
        <f>IF($B310="","",ROUND(IF('Mon prêt'!$C$12=Paramètres!$B$36,'Mon prêt'!$C$7,J309)*'Mon prêt'!$C$13/12,2))</f>
        <v/>
      </c>
      <c r="H310" s="18" t="str">
        <f t="shared" si="25"/>
        <v/>
      </c>
      <c r="I310" s="18" t="str">
        <f t="shared" si="26"/>
        <v/>
      </c>
      <c r="J310" s="31" t="str">
        <f t="shared" si="27"/>
        <v/>
      </c>
      <c r="K310" s="18" t="str">
        <f t="shared" si="28"/>
        <v/>
      </c>
      <c r="L310" s="18" t="str">
        <f t="shared" si="29"/>
        <v/>
      </c>
    </row>
    <row r="311" spans="2:12" x14ac:dyDescent="0.35">
      <c r="B311" s="29" t="str">
        <f>IF(B310="","",IF(B310+1&gt;'Mon prêt'!$C$9,"",B310+1))</f>
        <v/>
      </c>
      <c r="C311" s="30" t="str">
        <f>IF($B311="","",EDATE('Mon prêt'!$C$11,B311-1))</f>
        <v/>
      </c>
      <c r="D311" s="18" t="str">
        <f>IF($B311="","",IF(B311='Mon prêt'!$C$9,J310+E311,IF(B311&lt;='Mon prêt'!$C$10,E311,'Mon prêt'!$C$22)))</f>
        <v/>
      </c>
      <c r="E311" s="18" t="str">
        <f>IF($B311="","",ROUND(J310*'Mon prêt'!$C$8/12,2))</f>
        <v/>
      </c>
      <c r="F311" s="18" t="str">
        <f t="shared" si="24"/>
        <v/>
      </c>
      <c r="G311" s="18" t="str">
        <f>IF($B311="","",ROUND(IF('Mon prêt'!$C$12=Paramètres!$B$36,'Mon prêt'!$C$7,J310)*'Mon prêt'!$C$13/12,2))</f>
        <v/>
      </c>
      <c r="H311" s="18" t="str">
        <f t="shared" si="25"/>
        <v/>
      </c>
      <c r="I311" s="18" t="str">
        <f t="shared" si="26"/>
        <v/>
      </c>
      <c r="J311" s="31" t="str">
        <f t="shared" si="27"/>
        <v/>
      </c>
      <c r="K311" s="18" t="str">
        <f t="shared" si="28"/>
        <v/>
      </c>
      <c r="L311" s="18" t="str">
        <f t="shared" si="29"/>
        <v/>
      </c>
    </row>
    <row r="312" spans="2:12" x14ac:dyDescent="0.35">
      <c r="B312" s="29" t="str">
        <f>IF(B311="","",IF(B311+1&gt;'Mon prêt'!$C$9,"",B311+1))</f>
        <v/>
      </c>
      <c r="C312" s="30" t="str">
        <f>IF($B312="","",EDATE('Mon prêt'!$C$11,B312-1))</f>
        <v/>
      </c>
      <c r="D312" s="18" t="str">
        <f>IF($B312="","",IF(B312='Mon prêt'!$C$9,J311+E312,IF(B312&lt;='Mon prêt'!$C$10,E312,'Mon prêt'!$C$22)))</f>
        <v/>
      </c>
      <c r="E312" s="18" t="str">
        <f>IF($B312="","",ROUND(J311*'Mon prêt'!$C$8/12,2))</f>
        <v/>
      </c>
      <c r="F312" s="18" t="str">
        <f t="shared" si="24"/>
        <v/>
      </c>
      <c r="G312" s="18" t="str">
        <f>IF($B312="","",ROUND(IF('Mon prêt'!$C$12=Paramètres!$B$36,'Mon prêt'!$C$7,J311)*'Mon prêt'!$C$13/12,2))</f>
        <v/>
      </c>
      <c r="H312" s="18" t="str">
        <f t="shared" si="25"/>
        <v/>
      </c>
      <c r="I312" s="18" t="str">
        <f t="shared" si="26"/>
        <v/>
      </c>
      <c r="J312" s="31" t="str">
        <f t="shared" si="27"/>
        <v/>
      </c>
      <c r="K312" s="18" t="str">
        <f t="shared" si="28"/>
        <v/>
      </c>
      <c r="L312" s="18" t="str">
        <f t="shared" si="29"/>
        <v/>
      </c>
    </row>
    <row r="313" spans="2:12" x14ac:dyDescent="0.35">
      <c r="B313" s="29" t="str">
        <f>IF(B312="","",IF(B312+1&gt;'Mon prêt'!$C$9,"",B312+1))</f>
        <v/>
      </c>
      <c r="C313" s="30" t="str">
        <f>IF($B313="","",EDATE('Mon prêt'!$C$11,B313-1))</f>
        <v/>
      </c>
      <c r="D313" s="18" t="str">
        <f>IF($B313="","",IF(B313='Mon prêt'!$C$9,J312+E313,IF(B313&lt;='Mon prêt'!$C$10,E313,'Mon prêt'!$C$22)))</f>
        <v/>
      </c>
      <c r="E313" s="18" t="str">
        <f>IF($B313="","",ROUND(J312*'Mon prêt'!$C$8/12,2))</f>
        <v/>
      </c>
      <c r="F313" s="18" t="str">
        <f t="shared" si="24"/>
        <v/>
      </c>
      <c r="G313" s="18" t="str">
        <f>IF($B313="","",ROUND(IF('Mon prêt'!$C$12=Paramètres!$B$36,'Mon prêt'!$C$7,J312)*'Mon prêt'!$C$13/12,2))</f>
        <v/>
      </c>
      <c r="H313" s="18" t="str">
        <f t="shared" si="25"/>
        <v/>
      </c>
      <c r="I313" s="18" t="str">
        <f t="shared" si="26"/>
        <v/>
      </c>
      <c r="J313" s="31" t="str">
        <f t="shared" si="27"/>
        <v/>
      </c>
      <c r="K313" s="18" t="str">
        <f t="shared" si="28"/>
        <v/>
      </c>
      <c r="L313" s="18" t="str">
        <f t="shared" si="29"/>
        <v/>
      </c>
    </row>
    <row r="314" spans="2:12" x14ac:dyDescent="0.35">
      <c r="B314" s="29" t="str">
        <f>IF(B313="","",IF(B313+1&gt;'Mon prêt'!$C$9,"",B313+1))</f>
        <v/>
      </c>
      <c r="C314" s="30" t="str">
        <f>IF($B314="","",EDATE('Mon prêt'!$C$11,B314-1))</f>
        <v/>
      </c>
      <c r="D314" s="18" t="str">
        <f>IF($B314="","",IF(B314='Mon prêt'!$C$9,J313+E314,IF(B314&lt;='Mon prêt'!$C$10,E314,'Mon prêt'!$C$22)))</f>
        <v/>
      </c>
      <c r="E314" s="18" t="str">
        <f>IF($B314="","",ROUND(J313*'Mon prêt'!$C$8/12,2))</f>
        <v/>
      </c>
      <c r="F314" s="18" t="str">
        <f t="shared" si="24"/>
        <v/>
      </c>
      <c r="G314" s="18" t="str">
        <f>IF($B314="","",ROUND(IF('Mon prêt'!$C$12=Paramètres!$B$36,'Mon prêt'!$C$7,J313)*'Mon prêt'!$C$13/12,2))</f>
        <v/>
      </c>
      <c r="H314" s="18" t="str">
        <f t="shared" si="25"/>
        <v/>
      </c>
      <c r="I314" s="18" t="str">
        <f t="shared" si="26"/>
        <v/>
      </c>
      <c r="J314" s="31" t="str">
        <f t="shared" si="27"/>
        <v/>
      </c>
      <c r="K314" s="18" t="str">
        <f t="shared" si="28"/>
        <v/>
      </c>
      <c r="L314" s="18" t="str">
        <f t="shared" si="29"/>
        <v/>
      </c>
    </row>
    <row r="315" spans="2:12" x14ac:dyDescent="0.35">
      <c r="B315" s="29" t="str">
        <f>IF(B314="","",IF(B314+1&gt;'Mon prêt'!$C$9,"",B314+1))</f>
        <v/>
      </c>
      <c r="C315" s="30" t="str">
        <f>IF($B315="","",EDATE('Mon prêt'!$C$11,B315-1))</f>
        <v/>
      </c>
      <c r="D315" s="18" t="str">
        <f>IF($B315="","",IF(B315='Mon prêt'!$C$9,J314+E315,IF(B315&lt;='Mon prêt'!$C$10,E315,'Mon prêt'!$C$22)))</f>
        <v/>
      </c>
      <c r="E315" s="18" t="str">
        <f>IF($B315="","",ROUND(J314*'Mon prêt'!$C$8/12,2))</f>
        <v/>
      </c>
      <c r="F315" s="18" t="str">
        <f t="shared" si="24"/>
        <v/>
      </c>
      <c r="G315" s="18" t="str">
        <f>IF($B315="","",ROUND(IF('Mon prêt'!$C$12=Paramètres!$B$36,'Mon prêt'!$C$7,J314)*'Mon prêt'!$C$13/12,2))</f>
        <v/>
      </c>
      <c r="H315" s="18" t="str">
        <f t="shared" si="25"/>
        <v/>
      </c>
      <c r="I315" s="18" t="str">
        <f t="shared" si="26"/>
        <v/>
      </c>
      <c r="J315" s="31" t="str">
        <f t="shared" si="27"/>
        <v/>
      </c>
      <c r="K315" s="18" t="str">
        <f t="shared" si="28"/>
        <v/>
      </c>
      <c r="L315" s="18" t="str">
        <f t="shared" si="29"/>
        <v/>
      </c>
    </row>
    <row r="316" spans="2:12" x14ac:dyDescent="0.35">
      <c r="B316" s="29" t="str">
        <f>IF(B315="","",IF(B315+1&gt;'Mon prêt'!$C$9,"",B315+1))</f>
        <v/>
      </c>
      <c r="C316" s="30" t="str">
        <f>IF($B316="","",EDATE('Mon prêt'!$C$11,B316-1))</f>
        <v/>
      </c>
      <c r="D316" s="18" t="str">
        <f>IF($B316="","",IF(B316='Mon prêt'!$C$9,J315+E316,IF(B316&lt;='Mon prêt'!$C$10,E316,'Mon prêt'!$C$22)))</f>
        <v/>
      </c>
      <c r="E316" s="18" t="str">
        <f>IF($B316="","",ROUND(J315*'Mon prêt'!$C$8/12,2))</f>
        <v/>
      </c>
      <c r="F316" s="18" t="str">
        <f t="shared" si="24"/>
        <v/>
      </c>
      <c r="G316" s="18" t="str">
        <f>IF($B316="","",ROUND(IF('Mon prêt'!$C$12=Paramètres!$B$36,'Mon prêt'!$C$7,J315)*'Mon prêt'!$C$13/12,2))</f>
        <v/>
      </c>
      <c r="H316" s="18" t="str">
        <f t="shared" si="25"/>
        <v/>
      </c>
      <c r="I316" s="18" t="str">
        <f t="shared" si="26"/>
        <v/>
      </c>
      <c r="J316" s="31" t="str">
        <f t="shared" si="27"/>
        <v/>
      </c>
      <c r="K316" s="18" t="str">
        <f t="shared" si="28"/>
        <v/>
      </c>
      <c r="L316" s="18" t="str">
        <f t="shared" si="29"/>
        <v/>
      </c>
    </row>
    <row r="317" spans="2:12" x14ac:dyDescent="0.35">
      <c r="B317" s="29" t="str">
        <f>IF(B316="","",IF(B316+1&gt;'Mon prêt'!$C$9,"",B316+1))</f>
        <v/>
      </c>
      <c r="C317" s="30" t="str">
        <f>IF($B317="","",EDATE('Mon prêt'!$C$11,B317-1))</f>
        <v/>
      </c>
      <c r="D317" s="18" t="str">
        <f>IF($B317="","",IF(B317='Mon prêt'!$C$9,J316+E317,IF(B317&lt;='Mon prêt'!$C$10,E317,'Mon prêt'!$C$22)))</f>
        <v/>
      </c>
      <c r="E317" s="18" t="str">
        <f>IF($B317="","",ROUND(J316*'Mon prêt'!$C$8/12,2))</f>
        <v/>
      </c>
      <c r="F317" s="18" t="str">
        <f t="shared" si="24"/>
        <v/>
      </c>
      <c r="G317" s="18" t="str">
        <f>IF($B317="","",ROUND(IF('Mon prêt'!$C$12=Paramètres!$B$36,'Mon prêt'!$C$7,J316)*'Mon prêt'!$C$13/12,2))</f>
        <v/>
      </c>
      <c r="H317" s="18" t="str">
        <f t="shared" si="25"/>
        <v/>
      </c>
      <c r="I317" s="18" t="str">
        <f t="shared" si="26"/>
        <v/>
      </c>
      <c r="J317" s="31" t="str">
        <f t="shared" si="27"/>
        <v/>
      </c>
      <c r="K317" s="18" t="str">
        <f t="shared" si="28"/>
        <v/>
      </c>
      <c r="L317" s="18" t="str">
        <f t="shared" si="29"/>
        <v/>
      </c>
    </row>
    <row r="318" spans="2:12" x14ac:dyDescent="0.35">
      <c r="B318" s="29" t="str">
        <f>IF(B317="","",IF(B317+1&gt;'Mon prêt'!$C$9,"",B317+1))</f>
        <v/>
      </c>
      <c r="C318" s="30" t="str">
        <f>IF($B318="","",EDATE('Mon prêt'!$C$11,B318-1))</f>
        <v/>
      </c>
      <c r="D318" s="18" t="str">
        <f>IF($B318="","",IF(B318='Mon prêt'!$C$9,J317+E318,IF(B318&lt;='Mon prêt'!$C$10,E318,'Mon prêt'!$C$22)))</f>
        <v/>
      </c>
      <c r="E318" s="18" t="str">
        <f>IF($B318="","",ROUND(J317*'Mon prêt'!$C$8/12,2))</f>
        <v/>
      </c>
      <c r="F318" s="18" t="str">
        <f t="shared" si="24"/>
        <v/>
      </c>
      <c r="G318" s="18" t="str">
        <f>IF($B318="","",ROUND(IF('Mon prêt'!$C$12=Paramètres!$B$36,'Mon prêt'!$C$7,J317)*'Mon prêt'!$C$13/12,2))</f>
        <v/>
      </c>
      <c r="H318" s="18" t="str">
        <f t="shared" si="25"/>
        <v/>
      </c>
      <c r="I318" s="18" t="str">
        <f t="shared" si="26"/>
        <v/>
      </c>
      <c r="J318" s="31" t="str">
        <f t="shared" si="27"/>
        <v/>
      </c>
      <c r="K318" s="18" t="str">
        <f t="shared" si="28"/>
        <v/>
      </c>
      <c r="L318" s="18" t="str">
        <f t="shared" si="29"/>
        <v/>
      </c>
    </row>
    <row r="319" spans="2:12" x14ac:dyDescent="0.35">
      <c r="B319" s="29" t="str">
        <f>IF(B318="","",IF(B318+1&gt;'Mon prêt'!$C$9,"",B318+1))</f>
        <v/>
      </c>
      <c r="C319" s="30" t="str">
        <f>IF($B319="","",EDATE('Mon prêt'!$C$11,B319-1))</f>
        <v/>
      </c>
      <c r="D319" s="18" t="str">
        <f>IF($B319="","",IF(B319='Mon prêt'!$C$9,J318+E319,IF(B319&lt;='Mon prêt'!$C$10,E319,'Mon prêt'!$C$22)))</f>
        <v/>
      </c>
      <c r="E319" s="18" t="str">
        <f>IF($B319="","",ROUND(J318*'Mon prêt'!$C$8/12,2))</f>
        <v/>
      </c>
      <c r="F319" s="18" t="str">
        <f t="shared" si="24"/>
        <v/>
      </c>
      <c r="G319" s="18" t="str">
        <f>IF($B319="","",ROUND(IF('Mon prêt'!$C$12=Paramètres!$B$36,'Mon prêt'!$C$7,J318)*'Mon prêt'!$C$13/12,2))</f>
        <v/>
      </c>
      <c r="H319" s="18" t="str">
        <f t="shared" si="25"/>
        <v/>
      </c>
      <c r="I319" s="18" t="str">
        <f t="shared" si="26"/>
        <v/>
      </c>
      <c r="J319" s="31" t="str">
        <f t="shared" si="27"/>
        <v/>
      </c>
      <c r="K319" s="18" t="str">
        <f t="shared" si="28"/>
        <v/>
      </c>
      <c r="L319" s="18" t="str">
        <f t="shared" si="29"/>
        <v/>
      </c>
    </row>
    <row r="320" spans="2:12" x14ac:dyDescent="0.35">
      <c r="B320" s="29" t="str">
        <f>IF(B319="","",IF(B319+1&gt;'Mon prêt'!$C$9,"",B319+1))</f>
        <v/>
      </c>
      <c r="C320" s="30" t="str">
        <f>IF($B320="","",EDATE('Mon prêt'!$C$11,B320-1))</f>
        <v/>
      </c>
      <c r="D320" s="18" t="str">
        <f>IF($B320="","",IF(B320='Mon prêt'!$C$9,J319+E320,IF(B320&lt;='Mon prêt'!$C$10,E320,'Mon prêt'!$C$22)))</f>
        <v/>
      </c>
      <c r="E320" s="18" t="str">
        <f>IF($B320="","",ROUND(J319*'Mon prêt'!$C$8/12,2))</f>
        <v/>
      </c>
      <c r="F320" s="18" t="str">
        <f t="shared" si="24"/>
        <v/>
      </c>
      <c r="G320" s="18" t="str">
        <f>IF($B320="","",ROUND(IF('Mon prêt'!$C$12=Paramètres!$B$36,'Mon prêt'!$C$7,J319)*'Mon prêt'!$C$13/12,2))</f>
        <v/>
      </c>
      <c r="H320" s="18" t="str">
        <f t="shared" si="25"/>
        <v/>
      </c>
      <c r="I320" s="18" t="str">
        <f t="shared" si="26"/>
        <v/>
      </c>
      <c r="J320" s="31" t="str">
        <f t="shared" si="27"/>
        <v/>
      </c>
      <c r="K320" s="18" t="str">
        <f t="shared" si="28"/>
        <v/>
      </c>
      <c r="L320" s="18" t="str">
        <f t="shared" si="29"/>
        <v/>
      </c>
    </row>
    <row r="321" spans="2:12" x14ac:dyDescent="0.35">
      <c r="B321" s="29" t="str">
        <f>IF(B320="","",IF(B320+1&gt;'Mon prêt'!$C$9,"",B320+1))</f>
        <v/>
      </c>
      <c r="C321" s="30" t="str">
        <f>IF($B321="","",EDATE('Mon prêt'!$C$11,B321-1))</f>
        <v/>
      </c>
      <c r="D321" s="18" t="str">
        <f>IF($B321="","",IF(B321='Mon prêt'!$C$9,J320+E321,IF(B321&lt;='Mon prêt'!$C$10,E321,'Mon prêt'!$C$22)))</f>
        <v/>
      </c>
      <c r="E321" s="18" t="str">
        <f>IF($B321="","",ROUND(J320*'Mon prêt'!$C$8/12,2))</f>
        <v/>
      </c>
      <c r="F321" s="18" t="str">
        <f t="shared" si="24"/>
        <v/>
      </c>
      <c r="G321" s="18" t="str">
        <f>IF($B321="","",ROUND(IF('Mon prêt'!$C$12=Paramètres!$B$36,'Mon prêt'!$C$7,J320)*'Mon prêt'!$C$13/12,2))</f>
        <v/>
      </c>
      <c r="H321" s="18" t="str">
        <f t="shared" si="25"/>
        <v/>
      </c>
      <c r="I321" s="18" t="str">
        <f t="shared" si="26"/>
        <v/>
      </c>
      <c r="J321" s="31" t="str">
        <f t="shared" si="27"/>
        <v/>
      </c>
      <c r="K321" s="18" t="str">
        <f t="shared" si="28"/>
        <v/>
      </c>
      <c r="L321" s="18" t="str">
        <f t="shared" si="29"/>
        <v/>
      </c>
    </row>
    <row r="322" spans="2:12" x14ac:dyDescent="0.35">
      <c r="B322" s="29" t="str">
        <f>IF(B321="","",IF(B321+1&gt;'Mon prêt'!$C$9,"",B321+1))</f>
        <v/>
      </c>
      <c r="C322" s="30" t="str">
        <f>IF($B322="","",EDATE('Mon prêt'!$C$11,B322-1))</f>
        <v/>
      </c>
      <c r="D322" s="18" t="str">
        <f>IF($B322="","",IF(B322='Mon prêt'!$C$9,J321+E322,IF(B322&lt;='Mon prêt'!$C$10,E322,'Mon prêt'!$C$22)))</f>
        <v/>
      </c>
      <c r="E322" s="18" t="str">
        <f>IF($B322="","",ROUND(J321*'Mon prêt'!$C$8/12,2))</f>
        <v/>
      </c>
      <c r="F322" s="18" t="str">
        <f t="shared" si="24"/>
        <v/>
      </c>
      <c r="G322" s="18" t="str">
        <f>IF($B322="","",ROUND(IF('Mon prêt'!$C$12=Paramètres!$B$36,'Mon prêt'!$C$7,J321)*'Mon prêt'!$C$13/12,2))</f>
        <v/>
      </c>
      <c r="H322" s="18" t="str">
        <f t="shared" si="25"/>
        <v/>
      </c>
      <c r="I322" s="18" t="str">
        <f t="shared" si="26"/>
        <v/>
      </c>
      <c r="J322" s="31" t="str">
        <f t="shared" si="27"/>
        <v/>
      </c>
      <c r="K322" s="18" t="str">
        <f t="shared" si="28"/>
        <v/>
      </c>
      <c r="L322" s="18" t="str">
        <f t="shared" si="29"/>
        <v/>
      </c>
    </row>
    <row r="323" spans="2:12" x14ac:dyDescent="0.35">
      <c r="B323" s="29" t="str">
        <f>IF(B322="","",IF(B322+1&gt;'Mon prêt'!$C$9,"",B322+1))</f>
        <v/>
      </c>
      <c r="C323" s="30" t="str">
        <f>IF($B323="","",EDATE('Mon prêt'!$C$11,B323-1))</f>
        <v/>
      </c>
      <c r="D323" s="18" t="str">
        <f>IF($B323="","",IF(B323='Mon prêt'!$C$9,J322+E323,IF(B323&lt;='Mon prêt'!$C$10,E323,'Mon prêt'!$C$22)))</f>
        <v/>
      </c>
      <c r="E323" s="18" t="str">
        <f>IF($B323="","",ROUND(J322*'Mon prêt'!$C$8/12,2))</f>
        <v/>
      </c>
      <c r="F323" s="18" t="str">
        <f t="shared" si="24"/>
        <v/>
      </c>
      <c r="G323" s="18" t="str">
        <f>IF($B323="","",ROUND(IF('Mon prêt'!$C$12=Paramètres!$B$36,'Mon prêt'!$C$7,J322)*'Mon prêt'!$C$13/12,2))</f>
        <v/>
      </c>
      <c r="H323" s="18" t="str">
        <f t="shared" si="25"/>
        <v/>
      </c>
      <c r="I323" s="18" t="str">
        <f t="shared" si="26"/>
        <v/>
      </c>
      <c r="J323" s="31" t="str">
        <f t="shared" si="27"/>
        <v/>
      </c>
      <c r="K323" s="18" t="str">
        <f t="shared" si="28"/>
        <v/>
      </c>
      <c r="L323" s="18" t="str">
        <f t="shared" si="29"/>
        <v/>
      </c>
    </row>
    <row r="324" spans="2:12" x14ac:dyDescent="0.35">
      <c r="B324" s="29" t="str">
        <f>IF(B323="","",IF(B323+1&gt;'Mon prêt'!$C$9,"",B323+1))</f>
        <v/>
      </c>
      <c r="C324" s="30" t="str">
        <f>IF($B324="","",EDATE('Mon prêt'!$C$11,B324-1))</f>
        <v/>
      </c>
      <c r="D324" s="18" t="str">
        <f>IF($B324="","",IF(B324='Mon prêt'!$C$9,J323+E324,IF(B324&lt;='Mon prêt'!$C$10,E324,'Mon prêt'!$C$22)))</f>
        <v/>
      </c>
      <c r="E324" s="18" t="str">
        <f>IF($B324="","",ROUND(J323*'Mon prêt'!$C$8/12,2))</f>
        <v/>
      </c>
      <c r="F324" s="18" t="str">
        <f t="shared" si="24"/>
        <v/>
      </c>
      <c r="G324" s="18" t="str">
        <f>IF($B324="","",ROUND(IF('Mon prêt'!$C$12=Paramètres!$B$36,'Mon prêt'!$C$7,J323)*'Mon prêt'!$C$13/12,2))</f>
        <v/>
      </c>
      <c r="H324" s="18" t="str">
        <f t="shared" si="25"/>
        <v/>
      </c>
      <c r="I324" s="18" t="str">
        <f t="shared" si="26"/>
        <v/>
      </c>
      <c r="J324" s="31" t="str">
        <f t="shared" si="27"/>
        <v/>
      </c>
      <c r="K324" s="18" t="str">
        <f t="shared" si="28"/>
        <v/>
      </c>
      <c r="L324" s="18" t="str">
        <f t="shared" si="29"/>
        <v/>
      </c>
    </row>
    <row r="325" spans="2:12" x14ac:dyDescent="0.35">
      <c r="B325" s="29" t="str">
        <f>IF(B324="","",IF(B324+1&gt;'Mon prêt'!$C$9,"",B324+1))</f>
        <v/>
      </c>
      <c r="C325" s="30" t="str">
        <f>IF($B325="","",EDATE('Mon prêt'!$C$11,B325-1))</f>
        <v/>
      </c>
      <c r="D325" s="18" t="str">
        <f>IF($B325="","",IF(B325='Mon prêt'!$C$9,J324+E325,IF(B325&lt;='Mon prêt'!$C$10,E325,'Mon prêt'!$C$22)))</f>
        <v/>
      </c>
      <c r="E325" s="18" t="str">
        <f>IF($B325="","",ROUND(J324*'Mon prêt'!$C$8/12,2))</f>
        <v/>
      </c>
      <c r="F325" s="18" t="str">
        <f t="shared" si="24"/>
        <v/>
      </c>
      <c r="G325" s="18" t="str">
        <f>IF($B325="","",ROUND(IF('Mon prêt'!$C$12=Paramètres!$B$36,'Mon prêt'!$C$7,J324)*'Mon prêt'!$C$13/12,2))</f>
        <v/>
      </c>
      <c r="H325" s="18" t="str">
        <f t="shared" si="25"/>
        <v/>
      </c>
      <c r="I325" s="18" t="str">
        <f t="shared" si="26"/>
        <v/>
      </c>
      <c r="J325" s="31" t="str">
        <f t="shared" si="27"/>
        <v/>
      </c>
      <c r="K325" s="18" t="str">
        <f t="shared" si="28"/>
        <v/>
      </c>
      <c r="L325" s="18" t="str">
        <f t="shared" si="29"/>
        <v/>
      </c>
    </row>
    <row r="326" spans="2:12" x14ac:dyDescent="0.35">
      <c r="B326" s="29" t="str">
        <f>IF(B325="","",IF(B325+1&gt;'Mon prêt'!$C$9,"",B325+1))</f>
        <v/>
      </c>
      <c r="C326" s="30" t="str">
        <f>IF($B326="","",EDATE('Mon prêt'!$C$11,B326-1))</f>
        <v/>
      </c>
      <c r="D326" s="18" t="str">
        <f>IF($B326="","",IF(B326='Mon prêt'!$C$9,J325+E326,IF(B326&lt;='Mon prêt'!$C$10,E326,'Mon prêt'!$C$22)))</f>
        <v/>
      </c>
      <c r="E326" s="18" t="str">
        <f>IF($B326="","",ROUND(J325*'Mon prêt'!$C$8/12,2))</f>
        <v/>
      </c>
      <c r="F326" s="18" t="str">
        <f t="shared" si="24"/>
        <v/>
      </c>
      <c r="G326" s="18" t="str">
        <f>IF($B326="","",ROUND(IF('Mon prêt'!$C$12=Paramètres!$B$36,'Mon prêt'!$C$7,J325)*'Mon prêt'!$C$13/12,2))</f>
        <v/>
      </c>
      <c r="H326" s="18" t="str">
        <f t="shared" si="25"/>
        <v/>
      </c>
      <c r="I326" s="18" t="str">
        <f t="shared" si="26"/>
        <v/>
      </c>
      <c r="J326" s="31" t="str">
        <f t="shared" si="27"/>
        <v/>
      </c>
      <c r="K326" s="18" t="str">
        <f t="shared" si="28"/>
        <v/>
      </c>
      <c r="L326" s="18" t="str">
        <f t="shared" si="29"/>
        <v/>
      </c>
    </row>
    <row r="327" spans="2:12" x14ac:dyDescent="0.35">
      <c r="B327" s="29" t="str">
        <f>IF(B326="","",IF(B326+1&gt;'Mon prêt'!$C$9,"",B326+1))</f>
        <v/>
      </c>
      <c r="C327" s="30" t="str">
        <f>IF($B327="","",EDATE('Mon prêt'!$C$11,B327-1))</f>
        <v/>
      </c>
      <c r="D327" s="18" t="str">
        <f>IF($B327="","",IF(B327='Mon prêt'!$C$9,J326+E327,IF(B327&lt;='Mon prêt'!$C$10,E327,'Mon prêt'!$C$22)))</f>
        <v/>
      </c>
      <c r="E327" s="18" t="str">
        <f>IF($B327="","",ROUND(J326*'Mon prêt'!$C$8/12,2))</f>
        <v/>
      </c>
      <c r="F327" s="18" t="str">
        <f t="shared" si="24"/>
        <v/>
      </c>
      <c r="G327" s="18" t="str">
        <f>IF($B327="","",ROUND(IF('Mon prêt'!$C$12=Paramètres!$B$36,'Mon prêt'!$C$7,J326)*'Mon prêt'!$C$13/12,2))</f>
        <v/>
      </c>
      <c r="H327" s="18" t="str">
        <f t="shared" si="25"/>
        <v/>
      </c>
      <c r="I327" s="18" t="str">
        <f t="shared" si="26"/>
        <v/>
      </c>
      <c r="J327" s="31" t="str">
        <f t="shared" si="27"/>
        <v/>
      </c>
      <c r="K327" s="18" t="str">
        <f t="shared" si="28"/>
        <v/>
      </c>
      <c r="L327" s="18" t="str">
        <f t="shared" si="29"/>
        <v/>
      </c>
    </row>
    <row r="328" spans="2:12" x14ac:dyDescent="0.35">
      <c r="B328" s="29" t="str">
        <f>IF(B327="","",IF(B327+1&gt;'Mon prêt'!$C$9,"",B327+1))</f>
        <v/>
      </c>
      <c r="C328" s="30" t="str">
        <f>IF($B328="","",EDATE('Mon prêt'!$C$11,B328-1))</f>
        <v/>
      </c>
      <c r="D328" s="18" t="str">
        <f>IF($B328="","",IF(B328='Mon prêt'!$C$9,J327+E328,IF(B328&lt;='Mon prêt'!$C$10,E328,'Mon prêt'!$C$22)))</f>
        <v/>
      </c>
      <c r="E328" s="18" t="str">
        <f>IF($B328="","",ROUND(J327*'Mon prêt'!$C$8/12,2))</f>
        <v/>
      </c>
      <c r="F328" s="18" t="str">
        <f t="shared" ref="F328:F391" si="30">IF($B328="","",D328-E328)</f>
        <v/>
      </c>
      <c r="G328" s="18" t="str">
        <f>IF($B328="","",ROUND(IF('Mon prêt'!$C$12=Paramètres!$B$36,'Mon prêt'!$C$7,J327)*'Mon prêt'!$C$13/12,2))</f>
        <v/>
      </c>
      <c r="H328" s="18" t="str">
        <f t="shared" ref="H328:H391" si="31">IF($B328="","",D328+G328)</f>
        <v/>
      </c>
      <c r="I328" s="18" t="str">
        <f t="shared" ref="I328:I367" si="32">IF($B328="","",I327+F328)</f>
        <v/>
      </c>
      <c r="J328" s="31" t="str">
        <f t="shared" ref="J328:J367" si="33">IF($B328="","",ROUND(J327-F328,2))</f>
        <v/>
      </c>
      <c r="K328" s="18" t="str">
        <f t="shared" ref="K328:K367" si="34">IF($B328="","",H328)</f>
        <v/>
      </c>
      <c r="L328" s="18" t="str">
        <f t="shared" ref="L328:L367" si="35">IF($B328="","",D328)</f>
        <v/>
      </c>
    </row>
    <row r="329" spans="2:12" x14ac:dyDescent="0.35">
      <c r="B329" s="29" t="str">
        <f>IF(B328="","",IF(B328+1&gt;'Mon prêt'!$C$9,"",B328+1))</f>
        <v/>
      </c>
      <c r="C329" s="30" t="str">
        <f>IF($B329="","",EDATE('Mon prêt'!$C$11,B329-1))</f>
        <v/>
      </c>
      <c r="D329" s="18" t="str">
        <f>IF($B329="","",IF(B329='Mon prêt'!$C$9,J328+E329,IF(B329&lt;='Mon prêt'!$C$10,E329,'Mon prêt'!$C$22)))</f>
        <v/>
      </c>
      <c r="E329" s="18" t="str">
        <f>IF($B329="","",ROUND(J328*'Mon prêt'!$C$8/12,2))</f>
        <v/>
      </c>
      <c r="F329" s="18" t="str">
        <f t="shared" si="30"/>
        <v/>
      </c>
      <c r="G329" s="18" t="str">
        <f>IF($B329="","",ROUND(IF('Mon prêt'!$C$12=Paramètres!$B$36,'Mon prêt'!$C$7,J328)*'Mon prêt'!$C$13/12,2))</f>
        <v/>
      </c>
      <c r="H329" s="18" t="str">
        <f t="shared" si="31"/>
        <v/>
      </c>
      <c r="I329" s="18" t="str">
        <f t="shared" si="32"/>
        <v/>
      </c>
      <c r="J329" s="31" t="str">
        <f t="shared" si="33"/>
        <v/>
      </c>
      <c r="K329" s="18" t="str">
        <f t="shared" si="34"/>
        <v/>
      </c>
      <c r="L329" s="18" t="str">
        <f t="shared" si="35"/>
        <v/>
      </c>
    </row>
    <row r="330" spans="2:12" x14ac:dyDescent="0.35">
      <c r="B330" s="29" t="str">
        <f>IF(B329="","",IF(B329+1&gt;'Mon prêt'!$C$9,"",B329+1))</f>
        <v/>
      </c>
      <c r="C330" s="30" t="str">
        <f>IF($B330="","",EDATE('Mon prêt'!$C$11,B330-1))</f>
        <v/>
      </c>
      <c r="D330" s="18" t="str">
        <f>IF($B330="","",IF(B330='Mon prêt'!$C$9,J329+E330,IF(B330&lt;='Mon prêt'!$C$10,E330,'Mon prêt'!$C$22)))</f>
        <v/>
      </c>
      <c r="E330" s="18" t="str">
        <f>IF($B330="","",ROUND(J329*'Mon prêt'!$C$8/12,2))</f>
        <v/>
      </c>
      <c r="F330" s="18" t="str">
        <f t="shared" si="30"/>
        <v/>
      </c>
      <c r="G330" s="18" t="str">
        <f>IF($B330="","",ROUND(IF('Mon prêt'!$C$12=Paramètres!$B$36,'Mon prêt'!$C$7,J329)*'Mon prêt'!$C$13/12,2))</f>
        <v/>
      </c>
      <c r="H330" s="18" t="str">
        <f t="shared" si="31"/>
        <v/>
      </c>
      <c r="I330" s="18" t="str">
        <f t="shared" si="32"/>
        <v/>
      </c>
      <c r="J330" s="31" t="str">
        <f t="shared" si="33"/>
        <v/>
      </c>
      <c r="K330" s="18" t="str">
        <f t="shared" si="34"/>
        <v/>
      </c>
      <c r="L330" s="18" t="str">
        <f t="shared" si="35"/>
        <v/>
      </c>
    </row>
    <row r="331" spans="2:12" x14ac:dyDescent="0.35">
      <c r="B331" s="29" t="str">
        <f>IF(B330="","",IF(B330+1&gt;'Mon prêt'!$C$9,"",B330+1))</f>
        <v/>
      </c>
      <c r="C331" s="30" t="str">
        <f>IF($B331="","",EDATE('Mon prêt'!$C$11,B331-1))</f>
        <v/>
      </c>
      <c r="D331" s="18" t="str">
        <f>IF($B331="","",IF(B331='Mon prêt'!$C$9,J330+E331,IF(B331&lt;='Mon prêt'!$C$10,E331,'Mon prêt'!$C$22)))</f>
        <v/>
      </c>
      <c r="E331" s="18" t="str">
        <f>IF($B331="","",ROUND(J330*'Mon prêt'!$C$8/12,2))</f>
        <v/>
      </c>
      <c r="F331" s="18" t="str">
        <f t="shared" si="30"/>
        <v/>
      </c>
      <c r="G331" s="18" t="str">
        <f>IF($B331="","",ROUND(IF('Mon prêt'!$C$12=Paramètres!$B$36,'Mon prêt'!$C$7,J330)*'Mon prêt'!$C$13/12,2))</f>
        <v/>
      </c>
      <c r="H331" s="18" t="str">
        <f t="shared" si="31"/>
        <v/>
      </c>
      <c r="I331" s="18" t="str">
        <f t="shared" si="32"/>
        <v/>
      </c>
      <c r="J331" s="31" t="str">
        <f t="shared" si="33"/>
        <v/>
      </c>
      <c r="K331" s="18" t="str">
        <f t="shared" si="34"/>
        <v/>
      </c>
      <c r="L331" s="18" t="str">
        <f t="shared" si="35"/>
        <v/>
      </c>
    </row>
    <row r="332" spans="2:12" x14ac:dyDescent="0.35">
      <c r="B332" s="29" t="str">
        <f>IF(B331="","",IF(B331+1&gt;'Mon prêt'!$C$9,"",B331+1))</f>
        <v/>
      </c>
      <c r="C332" s="30" t="str">
        <f>IF($B332="","",EDATE('Mon prêt'!$C$11,B332-1))</f>
        <v/>
      </c>
      <c r="D332" s="18" t="str">
        <f>IF($B332="","",IF(B332='Mon prêt'!$C$9,J331+E332,IF(B332&lt;='Mon prêt'!$C$10,E332,'Mon prêt'!$C$22)))</f>
        <v/>
      </c>
      <c r="E332" s="18" t="str">
        <f>IF($B332="","",ROUND(J331*'Mon prêt'!$C$8/12,2))</f>
        <v/>
      </c>
      <c r="F332" s="18" t="str">
        <f t="shared" si="30"/>
        <v/>
      </c>
      <c r="G332" s="18" t="str">
        <f>IF($B332="","",ROUND(IF('Mon prêt'!$C$12=Paramètres!$B$36,'Mon prêt'!$C$7,J331)*'Mon prêt'!$C$13/12,2))</f>
        <v/>
      </c>
      <c r="H332" s="18" t="str">
        <f t="shared" si="31"/>
        <v/>
      </c>
      <c r="I332" s="18" t="str">
        <f t="shared" si="32"/>
        <v/>
      </c>
      <c r="J332" s="31" t="str">
        <f t="shared" si="33"/>
        <v/>
      </c>
      <c r="K332" s="18" t="str">
        <f t="shared" si="34"/>
        <v/>
      </c>
      <c r="L332" s="18" t="str">
        <f t="shared" si="35"/>
        <v/>
      </c>
    </row>
    <row r="333" spans="2:12" x14ac:dyDescent="0.35">
      <c r="B333" s="29" t="str">
        <f>IF(B332="","",IF(B332+1&gt;'Mon prêt'!$C$9,"",B332+1))</f>
        <v/>
      </c>
      <c r="C333" s="30" t="str">
        <f>IF($B333="","",EDATE('Mon prêt'!$C$11,B333-1))</f>
        <v/>
      </c>
      <c r="D333" s="18" t="str">
        <f>IF($B333="","",IF(B333='Mon prêt'!$C$9,J332+E333,IF(B333&lt;='Mon prêt'!$C$10,E333,'Mon prêt'!$C$22)))</f>
        <v/>
      </c>
      <c r="E333" s="18" t="str">
        <f>IF($B333="","",ROUND(J332*'Mon prêt'!$C$8/12,2))</f>
        <v/>
      </c>
      <c r="F333" s="18" t="str">
        <f t="shared" si="30"/>
        <v/>
      </c>
      <c r="G333" s="18" t="str">
        <f>IF($B333="","",ROUND(IF('Mon prêt'!$C$12=Paramètres!$B$36,'Mon prêt'!$C$7,J332)*'Mon prêt'!$C$13/12,2))</f>
        <v/>
      </c>
      <c r="H333" s="18" t="str">
        <f t="shared" si="31"/>
        <v/>
      </c>
      <c r="I333" s="18" t="str">
        <f t="shared" si="32"/>
        <v/>
      </c>
      <c r="J333" s="31" t="str">
        <f t="shared" si="33"/>
        <v/>
      </c>
      <c r="K333" s="18" t="str">
        <f t="shared" si="34"/>
        <v/>
      </c>
      <c r="L333" s="18" t="str">
        <f t="shared" si="35"/>
        <v/>
      </c>
    </row>
    <row r="334" spans="2:12" x14ac:dyDescent="0.35">
      <c r="B334" s="29" t="str">
        <f>IF(B333="","",IF(B333+1&gt;'Mon prêt'!$C$9,"",B333+1))</f>
        <v/>
      </c>
      <c r="C334" s="30" t="str">
        <f>IF($B334="","",EDATE('Mon prêt'!$C$11,B334-1))</f>
        <v/>
      </c>
      <c r="D334" s="18" t="str">
        <f>IF($B334="","",IF(B334='Mon prêt'!$C$9,J333+E334,IF(B334&lt;='Mon prêt'!$C$10,E334,'Mon prêt'!$C$22)))</f>
        <v/>
      </c>
      <c r="E334" s="18" t="str">
        <f>IF($B334="","",ROUND(J333*'Mon prêt'!$C$8/12,2))</f>
        <v/>
      </c>
      <c r="F334" s="18" t="str">
        <f t="shared" si="30"/>
        <v/>
      </c>
      <c r="G334" s="18" t="str">
        <f>IF($B334="","",ROUND(IF('Mon prêt'!$C$12=Paramètres!$B$36,'Mon prêt'!$C$7,J333)*'Mon prêt'!$C$13/12,2))</f>
        <v/>
      </c>
      <c r="H334" s="18" t="str">
        <f t="shared" si="31"/>
        <v/>
      </c>
      <c r="I334" s="18" t="str">
        <f t="shared" si="32"/>
        <v/>
      </c>
      <c r="J334" s="31" t="str">
        <f t="shared" si="33"/>
        <v/>
      </c>
      <c r="K334" s="18" t="str">
        <f t="shared" si="34"/>
        <v/>
      </c>
      <c r="L334" s="18" t="str">
        <f t="shared" si="35"/>
        <v/>
      </c>
    </row>
    <row r="335" spans="2:12" x14ac:dyDescent="0.35">
      <c r="B335" s="29" t="str">
        <f>IF(B334="","",IF(B334+1&gt;'Mon prêt'!$C$9,"",B334+1))</f>
        <v/>
      </c>
      <c r="C335" s="30" t="str">
        <f>IF($B335="","",EDATE('Mon prêt'!$C$11,B335-1))</f>
        <v/>
      </c>
      <c r="D335" s="18" t="str">
        <f>IF($B335="","",IF(B335='Mon prêt'!$C$9,J334+E335,IF(B335&lt;='Mon prêt'!$C$10,E335,'Mon prêt'!$C$22)))</f>
        <v/>
      </c>
      <c r="E335" s="18" t="str">
        <f>IF($B335="","",ROUND(J334*'Mon prêt'!$C$8/12,2))</f>
        <v/>
      </c>
      <c r="F335" s="18" t="str">
        <f t="shared" si="30"/>
        <v/>
      </c>
      <c r="G335" s="18" t="str">
        <f>IF($B335="","",ROUND(IF('Mon prêt'!$C$12=Paramètres!$B$36,'Mon prêt'!$C$7,J334)*'Mon prêt'!$C$13/12,2))</f>
        <v/>
      </c>
      <c r="H335" s="18" t="str">
        <f t="shared" si="31"/>
        <v/>
      </c>
      <c r="I335" s="18" t="str">
        <f t="shared" si="32"/>
        <v/>
      </c>
      <c r="J335" s="31" t="str">
        <f t="shared" si="33"/>
        <v/>
      </c>
      <c r="K335" s="18" t="str">
        <f t="shared" si="34"/>
        <v/>
      </c>
      <c r="L335" s="18" t="str">
        <f t="shared" si="35"/>
        <v/>
      </c>
    </row>
    <row r="336" spans="2:12" x14ac:dyDescent="0.35">
      <c r="B336" s="29" t="str">
        <f>IF(B335="","",IF(B335+1&gt;'Mon prêt'!$C$9,"",B335+1))</f>
        <v/>
      </c>
      <c r="C336" s="30" t="str">
        <f>IF($B336="","",EDATE('Mon prêt'!$C$11,B336-1))</f>
        <v/>
      </c>
      <c r="D336" s="18" t="str">
        <f>IF($B336="","",IF(B336='Mon prêt'!$C$9,J335+E336,IF(B336&lt;='Mon prêt'!$C$10,E336,'Mon prêt'!$C$22)))</f>
        <v/>
      </c>
      <c r="E336" s="18" t="str">
        <f>IF($B336="","",ROUND(J335*'Mon prêt'!$C$8/12,2))</f>
        <v/>
      </c>
      <c r="F336" s="18" t="str">
        <f t="shared" si="30"/>
        <v/>
      </c>
      <c r="G336" s="18" t="str">
        <f>IF($B336="","",ROUND(IF('Mon prêt'!$C$12=Paramètres!$B$36,'Mon prêt'!$C$7,J335)*'Mon prêt'!$C$13/12,2))</f>
        <v/>
      </c>
      <c r="H336" s="18" t="str">
        <f t="shared" si="31"/>
        <v/>
      </c>
      <c r="I336" s="18" t="str">
        <f t="shared" si="32"/>
        <v/>
      </c>
      <c r="J336" s="31" t="str">
        <f t="shared" si="33"/>
        <v/>
      </c>
      <c r="K336" s="18" t="str">
        <f t="shared" si="34"/>
        <v/>
      </c>
      <c r="L336" s="18" t="str">
        <f t="shared" si="35"/>
        <v/>
      </c>
    </row>
    <row r="337" spans="2:12" x14ac:dyDescent="0.35">
      <c r="B337" s="29" t="str">
        <f>IF(B336="","",IF(B336+1&gt;'Mon prêt'!$C$9,"",B336+1))</f>
        <v/>
      </c>
      <c r="C337" s="30" t="str">
        <f>IF($B337="","",EDATE('Mon prêt'!$C$11,B337-1))</f>
        <v/>
      </c>
      <c r="D337" s="18" t="str">
        <f>IF($B337="","",IF(B337='Mon prêt'!$C$9,J336+E337,IF(B337&lt;='Mon prêt'!$C$10,E337,'Mon prêt'!$C$22)))</f>
        <v/>
      </c>
      <c r="E337" s="18" t="str">
        <f>IF($B337="","",ROUND(J336*'Mon prêt'!$C$8/12,2))</f>
        <v/>
      </c>
      <c r="F337" s="18" t="str">
        <f t="shared" si="30"/>
        <v/>
      </c>
      <c r="G337" s="18" t="str">
        <f>IF($B337="","",ROUND(IF('Mon prêt'!$C$12=Paramètres!$B$36,'Mon prêt'!$C$7,J336)*'Mon prêt'!$C$13/12,2))</f>
        <v/>
      </c>
      <c r="H337" s="18" t="str">
        <f t="shared" si="31"/>
        <v/>
      </c>
      <c r="I337" s="18" t="str">
        <f t="shared" si="32"/>
        <v/>
      </c>
      <c r="J337" s="31" t="str">
        <f t="shared" si="33"/>
        <v/>
      </c>
      <c r="K337" s="18" t="str">
        <f t="shared" si="34"/>
        <v/>
      </c>
      <c r="L337" s="18" t="str">
        <f t="shared" si="35"/>
        <v/>
      </c>
    </row>
    <row r="338" spans="2:12" x14ac:dyDescent="0.35">
      <c r="B338" s="29" t="str">
        <f>IF(B337="","",IF(B337+1&gt;'Mon prêt'!$C$9,"",B337+1))</f>
        <v/>
      </c>
      <c r="C338" s="30" t="str">
        <f>IF($B338="","",EDATE('Mon prêt'!$C$11,B338-1))</f>
        <v/>
      </c>
      <c r="D338" s="18" t="str">
        <f>IF($B338="","",IF(B338='Mon prêt'!$C$9,J337+E338,IF(B338&lt;='Mon prêt'!$C$10,E338,'Mon prêt'!$C$22)))</f>
        <v/>
      </c>
      <c r="E338" s="18" t="str">
        <f>IF($B338="","",ROUND(J337*'Mon prêt'!$C$8/12,2))</f>
        <v/>
      </c>
      <c r="F338" s="18" t="str">
        <f t="shared" si="30"/>
        <v/>
      </c>
      <c r="G338" s="18" t="str">
        <f>IF($B338="","",ROUND(IF('Mon prêt'!$C$12=Paramètres!$B$36,'Mon prêt'!$C$7,J337)*'Mon prêt'!$C$13/12,2))</f>
        <v/>
      </c>
      <c r="H338" s="18" t="str">
        <f t="shared" si="31"/>
        <v/>
      </c>
      <c r="I338" s="18" t="str">
        <f t="shared" si="32"/>
        <v/>
      </c>
      <c r="J338" s="31" t="str">
        <f t="shared" si="33"/>
        <v/>
      </c>
      <c r="K338" s="18" t="str">
        <f t="shared" si="34"/>
        <v/>
      </c>
      <c r="L338" s="18" t="str">
        <f t="shared" si="35"/>
        <v/>
      </c>
    </row>
    <row r="339" spans="2:12" x14ac:dyDescent="0.35">
      <c r="B339" s="29" t="str">
        <f>IF(B338="","",IF(B338+1&gt;'Mon prêt'!$C$9,"",B338+1))</f>
        <v/>
      </c>
      <c r="C339" s="30" t="str">
        <f>IF($B339="","",EDATE('Mon prêt'!$C$11,B339-1))</f>
        <v/>
      </c>
      <c r="D339" s="18" t="str">
        <f>IF($B339="","",IF(B339='Mon prêt'!$C$9,J338+E339,IF(B339&lt;='Mon prêt'!$C$10,E339,'Mon prêt'!$C$22)))</f>
        <v/>
      </c>
      <c r="E339" s="18" t="str">
        <f>IF($B339="","",ROUND(J338*'Mon prêt'!$C$8/12,2))</f>
        <v/>
      </c>
      <c r="F339" s="18" t="str">
        <f t="shared" si="30"/>
        <v/>
      </c>
      <c r="G339" s="18" t="str">
        <f>IF($B339="","",ROUND(IF('Mon prêt'!$C$12=Paramètres!$B$36,'Mon prêt'!$C$7,J338)*'Mon prêt'!$C$13/12,2))</f>
        <v/>
      </c>
      <c r="H339" s="18" t="str">
        <f t="shared" si="31"/>
        <v/>
      </c>
      <c r="I339" s="18" t="str">
        <f t="shared" si="32"/>
        <v/>
      </c>
      <c r="J339" s="31" t="str">
        <f t="shared" si="33"/>
        <v/>
      </c>
      <c r="K339" s="18" t="str">
        <f t="shared" si="34"/>
        <v/>
      </c>
      <c r="L339" s="18" t="str">
        <f t="shared" si="35"/>
        <v/>
      </c>
    </row>
    <row r="340" spans="2:12" x14ac:dyDescent="0.35">
      <c r="B340" s="29" t="str">
        <f>IF(B339="","",IF(B339+1&gt;'Mon prêt'!$C$9,"",B339+1))</f>
        <v/>
      </c>
      <c r="C340" s="30" t="str">
        <f>IF($B340="","",EDATE('Mon prêt'!$C$11,B340-1))</f>
        <v/>
      </c>
      <c r="D340" s="18" t="str">
        <f>IF($B340="","",IF(B340='Mon prêt'!$C$9,J339+E340,IF(B340&lt;='Mon prêt'!$C$10,E340,'Mon prêt'!$C$22)))</f>
        <v/>
      </c>
      <c r="E340" s="18" t="str">
        <f>IF($B340="","",ROUND(J339*'Mon prêt'!$C$8/12,2))</f>
        <v/>
      </c>
      <c r="F340" s="18" t="str">
        <f t="shared" si="30"/>
        <v/>
      </c>
      <c r="G340" s="18" t="str">
        <f>IF($B340="","",ROUND(IF('Mon prêt'!$C$12=Paramètres!$B$36,'Mon prêt'!$C$7,J339)*'Mon prêt'!$C$13/12,2))</f>
        <v/>
      </c>
      <c r="H340" s="18" t="str">
        <f t="shared" si="31"/>
        <v/>
      </c>
      <c r="I340" s="18" t="str">
        <f t="shared" si="32"/>
        <v/>
      </c>
      <c r="J340" s="31" t="str">
        <f t="shared" si="33"/>
        <v/>
      </c>
      <c r="K340" s="18" t="str">
        <f t="shared" si="34"/>
        <v/>
      </c>
      <c r="L340" s="18" t="str">
        <f t="shared" si="35"/>
        <v/>
      </c>
    </row>
    <row r="341" spans="2:12" x14ac:dyDescent="0.35">
      <c r="B341" s="29" t="str">
        <f>IF(B340="","",IF(B340+1&gt;'Mon prêt'!$C$9,"",B340+1))</f>
        <v/>
      </c>
      <c r="C341" s="30" t="str">
        <f>IF($B341="","",EDATE('Mon prêt'!$C$11,B341-1))</f>
        <v/>
      </c>
      <c r="D341" s="18" t="str">
        <f>IF($B341="","",IF(B341='Mon prêt'!$C$9,J340+E341,IF(B341&lt;='Mon prêt'!$C$10,E341,'Mon prêt'!$C$22)))</f>
        <v/>
      </c>
      <c r="E341" s="18" t="str">
        <f>IF($B341="","",ROUND(J340*'Mon prêt'!$C$8/12,2))</f>
        <v/>
      </c>
      <c r="F341" s="18" t="str">
        <f t="shared" si="30"/>
        <v/>
      </c>
      <c r="G341" s="18" t="str">
        <f>IF($B341="","",ROUND(IF('Mon prêt'!$C$12=Paramètres!$B$36,'Mon prêt'!$C$7,J340)*'Mon prêt'!$C$13/12,2))</f>
        <v/>
      </c>
      <c r="H341" s="18" t="str">
        <f t="shared" si="31"/>
        <v/>
      </c>
      <c r="I341" s="18" t="str">
        <f t="shared" si="32"/>
        <v/>
      </c>
      <c r="J341" s="31" t="str">
        <f t="shared" si="33"/>
        <v/>
      </c>
      <c r="K341" s="18" t="str">
        <f t="shared" si="34"/>
        <v/>
      </c>
      <c r="L341" s="18" t="str">
        <f t="shared" si="35"/>
        <v/>
      </c>
    </row>
    <row r="342" spans="2:12" x14ac:dyDescent="0.35">
      <c r="B342" s="29" t="str">
        <f>IF(B341="","",IF(B341+1&gt;'Mon prêt'!$C$9,"",B341+1))</f>
        <v/>
      </c>
      <c r="C342" s="30" t="str">
        <f>IF($B342="","",EDATE('Mon prêt'!$C$11,B342-1))</f>
        <v/>
      </c>
      <c r="D342" s="18" t="str">
        <f>IF($B342="","",IF(B342='Mon prêt'!$C$9,J341+E342,IF(B342&lt;='Mon prêt'!$C$10,E342,'Mon prêt'!$C$22)))</f>
        <v/>
      </c>
      <c r="E342" s="18" t="str">
        <f>IF($B342="","",ROUND(J341*'Mon prêt'!$C$8/12,2))</f>
        <v/>
      </c>
      <c r="F342" s="18" t="str">
        <f t="shared" si="30"/>
        <v/>
      </c>
      <c r="G342" s="18" t="str">
        <f>IF($B342="","",ROUND(IF('Mon prêt'!$C$12=Paramètres!$B$36,'Mon prêt'!$C$7,J341)*'Mon prêt'!$C$13/12,2))</f>
        <v/>
      </c>
      <c r="H342" s="18" t="str">
        <f t="shared" si="31"/>
        <v/>
      </c>
      <c r="I342" s="18" t="str">
        <f t="shared" si="32"/>
        <v/>
      </c>
      <c r="J342" s="31" t="str">
        <f t="shared" si="33"/>
        <v/>
      </c>
      <c r="K342" s="18" t="str">
        <f t="shared" si="34"/>
        <v/>
      </c>
      <c r="L342" s="18" t="str">
        <f t="shared" si="35"/>
        <v/>
      </c>
    </row>
    <row r="343" spans="2:12" x14ac:dyDescent="0.35">
      <c r="B343" s="29" t="str">
        <f>IF(B342="","",IF(B342+1&gt;'Mon prêt'!$C$9,"",B342+1))</f>
        <v/>
      </c>
      <c r="C343" s="30" t="str">
        <f>IF($B343="","",EDATE('Mon prêt'!$C$11,B343-1))</f>
        <v/>
      </c>
      <c r="D343" s="18" t="str">
        <f>IF($B343="","",IF(B343='Mon prêt'!$C$9,J342+E343,IF(B343&lt;='Mon prêt'!$C$10,E343,'Mon prêt'!$C$22)))</f>
        <v/>
      </c>
      <c r="E343" s="18" t="str">
        <f>IF($B343="","",ROUND(J342*'Mon prêt'!$C$8/12,2))</f>
        <v/>
      </c>
      <c r="F343" s="18" t="str">
        <f t="shared" si="30"/>
        <v/>
      </c>
      <c r="G343" s="18" t="str">
        <f>IF($B343="","",ROUND(IF('Mon prêt'!$C$12=Paramètres!$B$36,'Mon prêt'!$C$7,J342)*'Mon prêt'!$C$13/12,2))</f>
        <v/>
      </c>
      <c r="H343" s="18" t="str">
        <f t="shared" si="31"/>
        <v/>
      </c>
      <c r="I343" s="18" t="str">
        <f t="shared" si="32"/>
        <v/>
      </c>
      <c r="J343" s="31" t="str">
        <f t="shared" si="33"/>
        <v/>
      </c>
      <c r="K343" s="18" t="str">
        <f t="shared" si="34"/>
        <v/>
      </c>
      <c r="L343" s="18" t="str">
        <f t="shared" si="35"/>
        <v/>
      </c>
    </row>
    <row r="344" spans="2:12" x14ac:dyDescent="0.35">
      <c r="B344" s="29" t="str">
        <f>IF(B343="","",IF(B343+1&gt;'Mon prêt'!$C$9,"",B343+1))</f>
        <v/>
      </c>
      <c r="C344" s="30" t="str">
        <f>IF($B344="","",EDATE('Mon prêt'!$C$11,B344-1))</f>
        <v/>
      </c>
      <c r="D344" s="18" t="str">
        <f>IF($B344="","",IF(B344='Mon prêt'!$C$9,J343+E344,IF(B344&lt;='Mon prêt'!$C$10,E344,'Mon prêt'!$C$22)))</f>
        <v/>
      </c>
      <c r="E344" s="18" t="str">
        <f>IF($B344="","",ROUND(J343*'Mon prêt'!$C$8/12,2))</f>
        <v/>
      </c>
      <c r="F344" s="18" t="str">
        <f t="shared" si="30"/>
        <v/>
      </c>
      <c r="G344" s="18" t="str">
        <f>IF($B344="","",ROUND(IF('Mon prêt'!$C$12=Paramètres!$B$36,'Mon prêt'!$C$7,J343)*'Mon prêt'!$C$13/12,2))</f>
        <v/>
      </c>
      <c r="H344" s="18" t="str">
        <f t="shared" si="31"/>
        <v/>
      </c>
      <c r="I344" s="18" t="str">
        <f t="shared" si="32"/>
        <v/>
      </c>
      <c r="J344" s="31" t="str">
        <f t="shared" si="33"/>
        <v/>
      </c>
      <c r="K344" s="18" t="str">
        <f t="shared" si="34"/>
        <v/>
      </c>
      <c r="L344" s="18" t="str">
        <f t="shared" si="35"/>
        <v/>
      </c>
    </row>
    <row r="345" spans="2:12" x14ac:dyDescent="0.35">
      <c r="B345" s="29" t="str">
        <f>IF(B344="","",IF(B344+1&gt;'Mon prêt'!$C$9,"",B344+1))</f>
        <v/>
      </c>
      <c r="C345" s="30" t="str">
        <f>IF($B345="","",EDATE('Mon prêt'!$C$11,B345-1))</f>
        <v/>
      </c>
      <c r="D345" s="18" t="str">
        <f>IF($B345="","",IF(B345='Mon prêt'!$C$9,J344+E345,IF(B345&lt;='Mon prêt'!$C$10,E345,'Mon prêt'!$C$22)))</f>
        <v/>
      </c>
      <c r="E345" s="18" t="str">
        <f>IF($B345="","",ROUND(J344*'Mon prêt'!$C$8/12,2))</f>
        <v/>
      </c>
      <c r="F345" s="18" t="str">
        <f t="shared" si="30"/>
        <v/>
      </c>
      <c r="G345" s="18" t="str">
        <f>IF($B345="","",ROUND(IF('Mon prêt'!$C$12=Paramètres!$B$36,'Mon prêt'!$C$7,J344)*'Mon prêt'!$C$13/12,2))</f>
        <v/>
      </c>
      <c r="H345" s="18" t="str">
        <f t="shared" si="31"/>
        <v/>
      </c>
      <c r="I345" s="18" t="str">
        <f t="shared" si="32"/>
        <v/>
      </c>
      <c r="J345" s="31" t="str">
        <f t="shared" si="33"/>
        <v/>
      </c>
      <c r="K345" s="18" t="str">
        <f t="shared" si="34"/>
        <v/>
      </c>
      <c r="L345" s="18" t="str">
        <f t="shared" si="35"/>
        <v/>
      </c>
    </row>
    <row r="346" spans="2:12" x14ac:dyDescent="0.35">
      <c r="B346" s="29" t="str">
        <f>IF(B345="","",IF(B345+1&gt;'Mon prêt'!$C$9,"",B345+1))</f>
        <v/>
      </c>
      <c r="C346" s="30" t="str">
        <f>IF($B346="","",EDATE('Mon prêt'!$C$11,B346-1))</f>
        <v/>
      </c>
      <c r="D346" s="18" t="str">
        <f>IF($B346="","",IF(B346='Mon prêt'!$C$9,J345+E346,IF(B346&lt;='Mon prêt'!$C$10,E346,'Mon prêt'!$C$22)))</f>
        <v/>
      </c>
      <c r="E346" s="18" t="str">
        <f>IF($B346="","",ROUND(J345*'Mon prêt'!$C$8/12,2))</f>
        <v/>
      </c>
      <c r="F346" s="18" t="str">
        <f t="shared" si="30"/>
        <v/>
      </c>
      <c r="G346" s="18" t="str">
        <f>IF($B346="","",ROUND(IF('Mon prêt'!$C$12=Paramètres!$B$36,'Mon prêt'!$C$7,J345)*'Mon prêt'!$C$13/12,2))</f>
        <v/>
      </c>
      <c r="H346" s="18" t="str">
        <f t="shared" si="31"/>
        <v/>
      </c>
      <c r="I346" s="18" t="str">
        <f t="shared" si="32"/>
        <v/>
      </c>
      <c r="J346" s="31" t="str">
        <f t="shared" si="33"/>
        <v/>
      </c>
      <c r="K346" s="18" t="str">
        <f t="shared" si="34"/>
        <v/>
      </c>
      <c r="L346" s="18" t="str">
        <f t="shared" si="35"/>
        <v/>
      </c>
    </row>
    <row r="347" spans="2:12" x14ac:dyDescent="0.35">
      <c r="B347" s="29" t="str">
        <f>IF(B346="","",IF(B346+1&gt;'Mon prêt'!$C$9,"",B346+1))</f>
        <v/>
      </c>
      <c r="C347" s="30" t="str">
        <f>IF($B347="","",EDATE('Mon prêt'!$C$11,B347-1))</f>
        <v/>
      </c>
      <c r="D347" s="18" t="str">
        <f>IF($B347="","",IF(B347='Mon prêt'!$C$9,J346+E347,IF(B347&lt;='Mon prêt'!$C$10,E347,'Mon prêt'!$C$22)))</f>
        <v/>
      </c>
      <c r="E347" s="18" t="str">
        <f>IF($B347="","",ROUND(J346*'Mon prêt'!$C$8/12,2))</f>
        <v/>
      </c>
      <c r="F347" s="18" t="str">
        <f t="shared" si="30"/>
        <v/>
      </c>
      <c r="G347" s="18" t="str">
        <f>IF($B347="","",ROUND(IF('Mon prêt'!$C$12=Paramètres!$B$36,'Mon prêt'!$C$7,J346)*'Mon prêt'!$C$13/12,2))</f>
        <v/>
      </c>
      <c r="H347" s="18" t="str">
        <f t="shared" si="31"/>
        <v/>
      </c>
      <c r="I347" s="18" t="str">
        <f t="shared" si="32"/>
        <v/>
      </c>
      <c r="J347" s="31" t="str">
        <f t="shared" si="33"/>
        <v/>
      </c>
      <c r="K347" s="18" t="str">
        <f t="shared" si="34"/>
        <v/>
      </c>
      <c r="L347" s="18" t="str">
        <f t="shared" si="35"/>
        <v/>
      </c>
    </row>
    <row r="348" spans="2:12" x14ac:dyDescent="0.35">
      <c r="B348" s="29" t="str">
        <f>IF(B347="","",IF(B347+1&gt;'Mon prêt'!$C$9,"",B347+1))</f>
        <v/>
      </c>
      <c r="C348" s="30" t="str">
        <f>IF($B348="","",EDATE('Mon prêt'!$C$11,B348-1))</f>
        <v/>
      </c>
      <c r="D348" s="18" t="str">
        <f>IF($B348="","",IF(B348='Mon prêt'!$C$9,J347+E348,IF(B348&lt;='Mon prêt'!$C$10,E348,'Mon prêt'!$C$22)))</f>
        <v/>
      </c>
      <c r="E348" s="18" t="str">
        <f>IF($B348="","",ROUND(J347*'Mon prêt'!$C$8/12,2))</f>
        <v/>
      </c>
      <c r="F348" s="18" t="str">
        <f t="shared" si="30"/>
        <v/>
      </c>
      <c r="G348" s="18" t="str">
        <f>IF($B348="","",ROUND(IF('Mon prêt'!$C$12=Paramètres!$B$36,'Mon prêt'!$C$7,J347)*'Mon prêt'!$C$13/12,2))</f>
        <v/>
      </c>
      <c r="H348" s="18" t="str">
        <f t="shared" si="31"/>
        <v/>
      </c>
      <c r="I348" s="18" t="str">
        <f t="shared" si="32"/>
        <v/>
      </c>
      <c r="J348" s="31" t="str">
        <f t="shared" si="33"/>
        <v/>
      </c>
      <c r="K348" s="18" t="str">
        <f t="shared" si="34"/>
        <v/>
      </c>
      <c r="L348" s="18" t="str">
        <f t="shared" si="35"/>
        <v/>
      </c>
    </row>
    <row r="349" spans="2:12" x14ac:dyDescent="0.35">
      <c r="B349" s="29" t="str">
        <f>IF(B348="","",IF(B348+1&gt;'Mon prêt'!$C$9,"",B348+1))</f>
        <v/>
      </c>
      <c r="C349" s="30" t="str">
        <f>IF($B349="","",EDATE('Mon prêt'!$C$11,B349-1))</f>
        <v/>
      </c>
      <c r="D349" s="18" t="str">
        <f>IF($B349="","",IF(B349='Mon prêt'!$C$9,J348+E349,IF(B349&lt;='Mon prêt'!$C$10,E349,'Mon prêt'!$C$22)))</f>
        <v/>
      </c>
      <c r="E349" s="18" t="str">
        <f>IF($B349="","",ROUND(J348*'Mon prêt'!$C$8/12,2))</f>
        <v/>
      </c>
      <c r="F349" s="18" t="str">
        <f t="shared" si="30"/>
        <v/>
      </c>
      <c r="G349" s="18" t="str">
        <f>IF($B349="","",ROUND(IF('Mon prêt'!$C$12=Paramètres!$B$36,'Mon prêt'!$C$7,J348)*'Mon prêt'!$C$13/12,2))</f>
        <v/>
      </c>
      <c r="H349" s="18" t="str">
        <f t="shared" si="31"/>
        <v/>
      </c>
      <c r="I349" s="18" t="str">
        <f t="shared" si="32"/>
        <v/>
      </c>
      <c r="J349" s="31" t="str">
        <f t="shared" si="33"/>
        <v/>
      </c>
      <c r="K349" s="18" t="str">
        <f t="shared" si="34"/>
        <v/>
      </c>
      <c r="L349" s="18" t="str">
        <f t="shared" si="35"/>
        <v/>
      </c>
    </row>
    <row r="350" spans="2:12" x14ac:dyDescent="0.35">
      <c r="B350" s="29" t="str">
        <f>IF(B349="","",IF(B349+1&gt;'Mon prêt'!$C$9,"",B349+1))</f>
        <v/>
      </c>
      <c r="C350" s="30" t="str">
        <f>IF($B350="","",EDATE('Mon prêt'!$C$11,B350-1))</f>
        <v/>
      </c>
      <c r="D350" s="18" t="str">
        <f>IF($B350="","",IF(B350='Mon prêt'!$C$9,J349+E350,IF(B350&lt;='Mon prêt'!$C$10,E350,'Mon prêt'!$C$22)))</f>
        <v/>
      </c>
      <c r="E350" s="18" t="str">
        <f>IF($B350="","",ROUND(J349*'Mon prêt'!$C$8/12,2))</f>
        <v/>
      </c>
      <c r="F350" s="18" t="str">
        <f t="shared" si="30"/>
        <v/>
      </c>
      <c r="G350" s="18" t="str">
        <f>IF($B350="","",ROUND(IF('Mon prêt'!$C$12=Paramètres!$B$36,'Mon prêt'!$C$7,J349)*'Mon prêt'!$C$13/12,2))</f>
        <v/>
      </c>
      <c r="H350" s="18" t="str">
        <f t="shared" si="31"/>
        <v/>
      </c>
      <c r="I350" s="18" t="str">
        <f t="shared" si="32"/>
        <v/>
      </c>
      <c r="J350" s="31" t="str">
        <f t="shared" si="33"/>
        <v/>
      </c>
      <c r="K350" s="18" t="str">
        <f t="shared" si="34"/>
        <v/>
      </c>
      <c r="L350" s="18" t="str">
        <f t="shared" si="35"/>
        <v/>
      </c>
    </row>
    <row r="351" spans="2:12" x14ac:dyDescent="0.35">
      <c r="B351" s="29" t="str">
        <f>IF(B350="","",IF(B350+1&gt;'Mon prêt'!$C$9,"",B350+1))</f>
        <v/>
      </c>
      <c r="C351" s="30" t="str">
        <f>IF($B351="","",EDATE('Mon prêt'!$C$11,B351-1))</f>
        <v/>
      </c>
      <c r="D351" s="18" t="str">
        <f>IF($B351="","",IF(B351='Mon prêt'!$C$9,J350+E351,IF(B351&lt;='Mon prêt'!$C$10,E351,'Mon prêt'!$C$22)))</f>
        <v/>
      </c>
      <c r="E351" s="18" t="str">
        <f>IF($B351="","",ROUND(J350*'Mon prêt'!$C$8/12,2))</f>
        <v/>
      </c>
      <c r="F351" s="18" t="str">
        <f t="shared" si="30"/>
        <v/>
      </c>
      <c r="G351" s="18" t="str">
        <f>IF($B351="","",ROUND(IF('Mon prêt'!$C$12=Paramètres!$B$36,'Mon prêt'!$C$7,J350)*'Mon prêt'!$C$13/12,2))</f>
        <v/>
      </c>
      <c r="H351" s="18" t="str">
        <f t="shared" si="31"/>
        <v/>
      </c>
      <c r="I351" s="18" t="str">
        <f t="shared" si="32"/>
        <v/>
      </c>
      <c r="J351" s="31" t="str">
        <f t="shared" si="33"/>
        <v/>
      </c>
      <c r="K351" s="18" t="str">
        <f t="shared" si="34"/>
        <v/>
      </c>
      <c r="L351" s="18" t="str">
        <f t="shared" si="35"/>
        <v/>
      </c>
    </row>
    <row r="352" spans="2:12" x14ac:dyDescent="0.35">
      <c r="B352" s="29" t="str">
        <f>IF(B351="","",IF(B351+1&gt;'Mon prêt'!$C$9,"",B351+1))</f>
        <v/>
      </c>
      <c r="C352" s="30" t="str">
        <f>IF($B352="","",EDATE('Mon prêt'!$C$11,B352-1))</f>
        <v/>
      </c>
      <c r="D352" s="18" t="str">
        <f>IF($B352="","",IF(B352='Mon prêt'!$C$9,J351+E352,IF(B352&lt;='Mon prêt'!$C$10,E352,'Mon prêt'!$C$22)))</f>
        <v/>
      </c>
      <c r="E352" s="18" t="str">
        <f>IF($B352="","",ROUND(J351*'Mon prêt'!$C$8/12,2))</f>
        <v/>
      </c>
      <c r="F352" s="18" t="str">
        <f t="shared" si="30"/>
        <v/>
      </c>
      <c r="G352" s="18" t="str">
        <f>IF($B352="","",ROUND(IF('Mon prêt'!$C$12=Paramètres!$B$36,'Mon prêt'!$C$7,J351)*'Mon prêt'!$C$13/12,2))</f>
        <v/>
      </c>
      <c r="H352" s="18" t="str">
        <f t="shared" si="31"/>
        <v/>
      </c>
      <c r="I352" s="18" t="str">
        <f t="shared" si="32"/>
        <v/>
      </c>
      <c r="J352" s="31" t="str">
        <f t="shared" si="33"/>
        <v/>
      </c>
      <c r="K352" s="18" t="str">
        <f t="shared" si="34"/>
        <v/>
      </c>
      <c r="L352" s="18" t="str">
        <f t="shared" si="35"/>
        <v/>
      </c>
    </row>
    <row r="353" spans="2:12" x14ac:dyDescent="0.35">
      <c r="B353" s="29" t="str">
        <f>IF(B352="","",IF(B352+1&gt;'Mon prêt'!$C$9,"",B352+1))</f>
        <v/>
      </c>
      <c r="C353" s="30" t="str">
        <f>IF($B353="","",EDATE('Mon prêt'!$C$11,B353-1))</f>
        <v/>
      </c>
      <c r="D353" s="18" t="str">
        <f>IF($B353="","",IF(B353='Mon prêt'!$C$9,J352+E353,IF(B353&lt;='Mon prêt'!$C$10,E353,'Mon prêt'!$C$22)))</f>
        <v/>
      </c>
      <c r="E353" s="18" t="str">
        <f>IF($B353="","",ROUND(J352*'Mon prêt'!$C$8/12,2))</f>
        <v/>
      </c>
      <c r="F353" s="18" t="str">
        <f t="shared" si="30"/>
        <v/>
      </c>
      <c r="G353" s="18" t="str">
        <f>IF($B353="","",ROUND(IF('Mon prêt'!$C$12=Paramètres!$B$36,'Mon prêt'!$C$7,J352)*'Mon prêt'!$C$13/12,2))</f>
        <v/>
      </c>
      <c r="H353" s="18" t="str">
        <f t="shared" si="31"/>
        <v/>
      </c>
      <c r="I353" s="18" t="str">
        <f t="shared" si="32"/>
        <v/>
      </c>
      <c r="J353" s="31" t="str">
        <f t="shared" si="33"/>
        <v/>
      </c>
      <c r="K353" s="18" t="str">
        <f t="shared" si="34"/>
        <v/>
      </c>
      <c r="L353" s="18" t="str">
        <f t="shared" si="35"/>
        <v/>
      </c>
    </row>
    <row r="354" spans="2:12" x14ac:dyDescent="0.35">
      <c r="B354" s="29" t="str">
        <f>IF(B353="","",IF(B353+1&gt;'Mon prêt'!$C$9,"",B353+1))</f>
        <v/>
      </c>
      <c r="C354" s="30" t="str">
        <f>IF($B354="","",EDATE('Mon prêt'!$C$11,B354-1))</f>
        <v/>
      </c>
      <c r="D354" s="18" t="str">
        <f>IF($B354="","",IF(B354='Mon prêt'!$C$9,J353+E354,IF(B354&lt;='Mon prêt'!$C$10,E354,'Mon prêt'!$C$22)))</f>
        <v/>
      </c>
      <c r="E354" s="18" t="str">
        <f>IF($B354="","",ROUND(J353*'Mon prêt'!$C$8/12,2))</f>
        <v/>
      </c>
      <c r="F354" s="18" t="str">
        <f t="shared" si="30"/>
        <v/>
      </c>
      <c r="G354" s="18" t="str">
        <f>IF($B354="","",ROUND(IF('Mon prêt'!$C$12=Paramètres!$B$36,'Mon prêt'!$C$7,J353)*'Mon prêt'!$C$13/12,2))</f>
        <v/>
      </c>
      <c r="H354" s="18" t="str">
        <f t="shared" si="31"/>
        <v/>
      </c>
      <c r="I354" s="18" t="str">
        <f t="shared" si="32"/>
        <v/>
      </c>
      <c r="J354" s="31" t="str">
        <f t="shared" si="33"/>
        <v/>
      </c>
      <c r="K354" s="18" t="str">
        <f t="shared" si="34"/>
        <v/>
      </c>
      <c r="L354" s="18" t="str">
        <f t="shared" si="35"/>
        <v/>
      </c>
    </row>
    <row r="355" spans="2:12" x14ac:dyDescent="0.35">
      <c r="B355" s="29" t="str">
        <f>IF(B354="","",IF(B354+1&gt;'Mon prêt'!$C$9,"",B354+1))</f>
        <v/>
      </c>
      <c r="C355" s="30" t="str">
        <f>IF($B355="","",EDATE('Mon prêt'!$C$11,B355-1))</f>
        <v/>
      </c>
      <c r="D355" s="18" t="str">
        <f>IF($B355="","",IF(B355='Mon prêt'!$C$9,J354+E355,IF(B355&lt;='Mon prêt'!$C$10,E355,'Mon prêt'!$C$22)))</f>
        <v/>
      </c>
      <c r="E355" s="18" t="str">
        <f>IF($B355="","",ROUND(J354*'Mon prêt'!$C$8/12,2))</f>
        <v/>
      </c>
      <c r="F355" s="18" t="str">
        <f t="shared" si="30"/>
        <v/>
      </c>
      <c r="G355" s="18" t="str">
        <f>IF($B355="","",ROUND(IF('Mon prêt'!$C$12=Paramètres!$B$36,'Mon prêt'!$C$7,J354)*'Mon prêt'!$C$13/12,2))</f>
        <v/>
      </c>
      <c r="H355" s="18" t="str">
        <f t="shared" si="31"/>
        <v/>
      </c>
      <c r="I355" s="18" t="str">
        <f t="shared" si="32"/>
        <v/>
      </c>
      <c r="J355" s="31" t="str">
        <f t="shared" si="33"/>
        <v/>
      </c>
      <c r="K355" s="18" t="str">
        <f t="shared" si="34"/>
        <v/>
      </c>
      <c r="L355" s="18" t="str">
        <f t="shared" si="35"/>
        <v/>
      </c>
    </row>
    <row r="356" spans="2:12" x14ac:dyDescent="0.35">
      <c r="B356" s="29" t="str">
        <f>IF(B355="","",IF(B355+1&gt;'Mon prêt'!$C$9,"",B355+1))</f>
        <v/>
      </c>
      <c r="C356" s="30" t="str">
        <f>IF($B356="","",EDATE('Mon prêt'!$C$11,B356-1))</f>
        <v/>
      </c>
      <c r="D356" s="18" t="str">
        <f>IF($B356="","",IF(B356='Mon prêt'!$C$9,J355+E356,IF(B356&lt;='Mon prêt'!$C$10,E356,'Mon prêt'!$C$22)))</f>
        <v/>
      </c>
      <c r="E356" s="18" t="str">
        <f>IF($B356="","",ROUND(J355*'Mon prêt'!$C$8/12,2))</f>
        <v/>
      </c>
      <c r="F356" s="18" t="str">
        <f t="shared" si="30"/>
        <v/>
      </c>
      <c r="G356" s="18" t="str">
        <f>IF($B356="","",ROUND(IF('Mon prêt'!$C$12=Paramètres!$B$36,'Mon prêt'!$C$7,J355)*'Mon prêt'!$C$13/12,2))</f>
        <v/>
      </c>
      <c r="H356" s="18" t="str">
        <f t="shared" si="31"/>
        <v/>
      </c>
      <c r="I356" s="18" t="str">
        <f t="shared" si="32"/>
        <v/>
      </c>
      <c r="J356" s="31" t="str">
        <f t="shared" si="33"/>
        <v/>
      </c>
      <c r="K356" s="18" t="str">
        <f t="shared" si="34"/>
        <v/>
      </c>
      <c r="L356" s="18" t="str">
        <f t="shared" si="35"/>
        <v/>
      </c>
    </row>
    <row r="357" spans="2:12" x14ac:dyDescent="0.35">
      <c r="B357" s="29" t="str">
        <f>IF(B356="","",IF(B356+1&gt;'Mon prêt'!$C$9,"",B356+1))</f>
        <v/>
      </c>
      <c r="C357" s="30" t="str">
        <f>IF($B357="","",EDATE('Mon prêt'!$C$11,B357-1))</f>
        <v/>
      </c>
      <c r="D357" s="18" t="str">
        <f>IF($B357="","",IF(B357='Mon prêt'!$C$9,J356+E357,IF(B357&lt;='Mon prêt'!$C$10,E357,'Mon prêt'!$C$22)))</f>
        <v/>
      </c>
      <c r="E357" s="18" t="str">
        <f>IF($B357="","",ROUND(J356*'Mon prêt'!$C$8/12,2))</f>
        <v/>
      </c>
      <c r="F357" s="18" t="str">
        <f t="shared" si="30"/>
        <v/>
      </c>
      <c r="G357" s="18" t="str">
        <f>IF($B357="","",ROUND(IF('Mon prêt'!$C$12=Paramètres!$B$36,'Mon prêt'!$C$7,J356)*'Mon prêt'!$C$13/12,2))</f>
        <v/>
      </c>
      <c r="H357" s="18" t="str">
        <f t="shared" si="31"/>
        <v/>
      </c>
      <c r="I357" s="18" t="str">
        <f t="shared" si="32"/>
        <v/>
      </c>
      <c r="J357" s="31" t="str">
        <f t="shared" si="33"/>
        <v/>
      </c>
      <c r="K357" s="18" t="str">
        <f t="shared" si="34"/>
        <v/>
      </c>
      <c r="L357" s="18" t="str">
        <f t="shared" si="35"/>
        <v/>
      </c>
    </row>
    <row r="358" spans="2:12" x14ac:dyDescent="0.35">
      <c r="B358" s="29" t="str">
        <f>IF(B357="","",IF(B357+1&gt;'Mon prêt'!$C$9,"",B357+1))</f>
        <v/>
      </c>
      <c r="C358" s="30" t="str">
        <f>IF($B358="","",EDATE('Mon prêt'!$C$11,B358-1))</f>
        <v/>
      </c>
      <c r="D358" s="18" t="str">
        <f>IF($B358="","",IF(B358='Mon prêt'!$C$9,J357+E358,IF(B358&lt;='Mon prêt'!$C$10,E358,'Mon prêt'!$C$22)))</f>
        <v/>
      </c>
      <c r="E358" s="18" t="str">
        <f>IF($B358="","",ROUND(J357*'Mon prêt'!$C$8/12,2))</f>
        <v/>
      </c>
      <c r="F358" s="18" t="str">
        <f t="shared" si="30"/>
        <v/>
      </c>
      <c r="G358" s="18" t="str">
        <f>IF($B358="","",ROUND(IF('Mon prêt'!$C$12=Paramètres!$B$36,'Mon prêt'!$C$7,J357)*'Mon prêt'!$C$13/12,2))</f>
        <v/>
      </c>
      <c r="H358" s="18" t="str">
        <f t="shared" si="31"/>
        <v/>
      </c>
      <c r="I358" s="18" t="str">
        <f t="shared" si="32"/>
        <v/>
      </c>
      <c r="J358" s="31" t="str">
        <f t="shared" si="33"/>
        <v/>
      </c>
      <c r="K358" s="18" t="str">
        <f t="shared" si="34"/>
        <v/>
      </c>
      <c r="L358" s="18" t="str">
        <f t="shared" si="35"/>
        <v/>
      </c>
    </row>
    <row r="359" spans="2:12" x14ac:dyDescent="0.35">
      <c r="B359" s="29" t="str">
        <f>IF(B358="","",IF(B358+1&gt;'Mon prêt'!$C$9,"",B358+1))</f>
        <v/>
      </c>
      <c r="C359" s="30" t="str">
        <f>IF($B359="","",EDATE('Mon prêt'!$C$11,B359-1))</f>
        <v/>
      </c>
      <c r="D359" s="18" t="str">
        <f>IF($B359="","",IF(B359='Mon prêt'!$C$9,J358+E359,IF(B359&lt;='Mon prêt'!$C$10,E359,'Mon prêt'!$C$22)))</f>
        <v/>
      </c>
      <c r="E359" s="18" t="str">
        <f>IF($B359="","",ROUND(J358*'Mon prêt'!$C$8/12,2))</f>
        <v/>
      </c>
      <c r="F359" s="18" t="str">
        <f t="shared" si="30"/>
        <v/>
      </c>
      <c r="G359" s="18" t="str">
        <f>IF($B359="","",ROUND(IF('Mon prêt'!$C$12=Paramètres!$B$36,'Mon prêt'!$C$7,J358)*'Mon prêt'!$C$13/12,2))</f>
        <v/>
      </c>
      <c r="H359" s="18" t="str">
        <f t="shared" si="31"/>
        <v/>
      </c>
      <c r="I359" s="18" t="str">
        <f t="shared" si="32"/>
        <v/>
      </c>
      <c r="J359" s="31" t="str">
        <f t="shared" si="33"/>
        <v/>
      </c>
      <c r="K359" s="18" t="str">
        <f t="shared" si="34"/>
        <v/>
      </c>
      <c r="L359" s="18" t="str">
        <f t="shared" si="35"/>
        <v/>
      </c>
    </row>
    <row r="360" spans="2:12" x14ac:dyDescent="0.35">
      <c r="B360" s="29" t="str">
        <f>IF(B359="","",IF(B359+1&gt;'Mon prêt'!$C$9,"",B359+1))</f>
        <v/>
      </c>
      <c r="C360" s="30" t="str">
        <f>IF($B360="","",EDATE('Mon prêt'!$C$11,B360-1))</f>
        <v/>
      </c>
      <c r="D360" s="18" t="str">
        <f>IF($B360="","",IF(B360='Mon prêt'!$C$9,J359+E360,IF(B360&lt;='Mon prêt'!$C$10,E360,'Mon prêt'!$C$22)))</f>
        <v/>
      </c>
      <c r="E360" s="18" t="str">
        <f>IF($B360="","",ROUND(J359*'Mon prêt'!$C$8/12,2))</f>
        <v/>
      </c>
      <c r="F360" s="18" t="str">
        <f t="shared" si="30"/>
        <v/>
      </c>
      <c r="G360" s="18" t="str">
        <f>IF($B360="","",ROUND(IF('Mon prêt'!$C$12=Paramètres!$B$36,'Mon prêt'!$C$7,J359)*'Mon prêt'!$C$13/12,2))</f>
        <v/>
      </c>
      <c r="H360" s="18" t="str">
        <f t="shared" si="31"/>
        <v/>
      </c>
      <c r="I360" s="18" t="str">
        <f t="shared" si="32"/>
        <v/>
      </c>
      <c r="J360" s="31" t="str">
        <f t="shared" si="33"/>
        <v/>
      </c>
      <c r="K360" s="18" t="str">
        <f t="shared" si="34"/>
        <v/>
      </c>
      <c r="L360" s="18" t="str">
        <f t="shared" si="35"/>
        <v/>
      </c>
    </row>
    <row r="361" spans="2:12" x14ac:dyDescent="0.35">
      <c r="B361" s="29" t="str">
        <f>IF(B360="","",IF(B360+1&gt;'Mon prêt'!$C$9,"",B360+1))</f>
        <v/>
      </c>
      <c r="C361" s="30" t="str">
        <f>IF($B361="","",EDATE('Mon prêt'!$C$11,B361-1))</f>
        <v/>
      </c>
      <c r="D361" s="18" t="str">
        <f>IF($B361="","",IF(B361='Mon prêt'!$C$9,J360+E361,IF(B361&lt;='Mon prêt'!$C$10,E361,'Mon prêt'!$C$22)))</f>
        <v/>
      </c>
      <c r="E361" s="18" t="str">
        <f>IF($B361="","",ROUND(J360*'Mon prêt'!$C$8/12,2))</f>
        <v/>
      </c>
      <c r="F361" s="18" t="str">
        <f t="shared" si="30"/>
        <v/>
      </c>
      <c r="G361" s="18" t="str">
        <f>IF($B361="","",ROUND(IF('Mon prêt'!$C$12=Paramètres!$B$36,'Mon prêt'!$C$7,J360)*'Mon prêt'!$C$13/12,2))</f>
        <v/>
      </c>
      <c r="H361" s="18" t="str">
        <f t="shared" si="31"/>
        <v/>
      </c>
      <c r="I361" s="18" t="str">
        <f t="shared" si="32"/>
        <v/>
      </c>
      <c r="J361" s="31" t="str">
        <f t="shared" si="33"/>
        <v/>
      </c>
      <c r="K361" s="18" t="str">
        <f t="shared" si="34"/>
        <v/>
      </c>
      <c r="L361" s="18" t="str">
        <f t="shared" si="35"/>
        <v/>
      </c>
    </row>
    <row r="362" spans="2:12" x14ac:dyDescent="0.35">
      <c r="B362" s="29" t="str">
        <f>IF(B361="","",IF(B361+1&gt;'Mon prêt'!$C$9,"",B361+1))</f>
        <v/>
      </c>
      <c r="C362" s="30" t="str">
        <f>IF($B362="","",EDATE('Mon prêt'!$C$11,B362-1))</f>
        <v/>
      </c>
      <c r="D362" s="18" t="str">
        <f>IF($B362="","",IF(B362='Mon prêt'!$C$9,J361+E362,IF(B362&lt;='Mon prêt'!$C$10,E362,'Mon prêt'!$C$22)))</f>
        <v/>
      </c>
      <c r="E362" s="18" t="str">
        <f>IF($B362="","",ROUND(J361*'Mon prêt'!$C$8/12,2))</f>
        <v/>
      </c>
      <c r="F362" s="18" t="str">
        <f t="shared" si="30"/>
        <v/>
      </c>
      <c r="G362" s="18" t="str">
        <f>IF($B362="","",ROUND(IF('Mon prêt'!$C$12=Paramètres!$B$36,'Mon prêt'!$C$7,J361)*'Mon prêt'!$C$13/12,2))</f>
        <v/>
      </c>
      <c r="H362" s="18" t="str">
        <f t="shared" si="31"/>
        <v/>
      </c>
      <c r="I362" s="18" t="str">
        <f t="shared" si="32"/>
        <v/>
      </c>
      <c r="J362" s="31" t="str">
        <f t="shared" si="33"/>
        <v/>
      </c>
      <c r="K362" s="18" t="str">
        <f t="shared" si="34"/>
        <v/>
      </c>
      <c r="L362" s="18" t="str">
        <f t="shared" si="35"/>
        <v/>
      </c>
    </row>
    <row r="363" spans="2:12" x14ac:dyDescent="0.35">
      <c r="B363" s="29" t="str">
        <f>IF(B362="","",IF(B362+1&gt;'Mon prêt'!$C$9,"",B362+1))</f>
        <v/>
      </c>
      <c r="C363" s="30" t="str">
        <f>IF($B363="","",EDATE('Mon prêt'!$C$11,B363-1))</f>
        <v/>
      </c>
      <c r="D363" s="18" t="str">
        <f>IF($B363="","",IF(B363='Mon prêt'!$C$9,J362+E363,IF(B363&lt;='Mon prêt'!$C$10,E363,'Mon prêt'!$C$22)))</f>
        <v/>
      </c>
      <c r="E363" s="18" t="str">
        <f>IF($B363="","",ROUND(J362*'Mon prêt'!$C$8/12,2))</f>
        <v/>
      </c>
      <c r="F363" s="18" t="str">
        <f t="shared" si="30"/>
        <v/>
      </c>
      <c r="G363" s="18" t="str">
        <f>IF($B363="","",ROUND(IF('Mon prêt'!$C$12=Paramètres!$B$36,'Mon prêt'!$C$7,J362)*'Mon prêt'!$C$13/12,2))</f>
        <v/>
      </c>
      <c r="H363" s="18" t="str">
        <f t="shared" si="31"/>
        <v/>
      </c>
      <c r="I363" s="18" t="str">
        <f t="shared" si="32"/>
        <v/>
      </c>
      <c r="J363" s="31" t="str">
        <f t="shared" si="33"/>
        <v/>
      </c>
      <c r="K363" s="18" t="str">
        <f t="shared" si="34"/>
        <v/>
      </c>
      <c r="L363" s="18" t="str">
        <f t="shared" si="35"/>
        <v/>
      </c>
    </row>
    <row r="364" spans="2:12" x14ac:dyDescent="0.35">
      <c r="B364" s="29" t="str">
        <f>IF(B363="","",IF(B363+1&gt;'Mon prêt'!$C$9,"",B363+1))</f>
        <v/>
      </c>
      <c r="C364" s="30" t="str">
        <f>IF($B364="","",EDATE('Mon prêt'!$C$11,B364-1))</f>
        <v/>
      </c>
      <c r="D364" s="18" t="str">
        <f>IF($B364="","",IF(B364='Mon prêt'!$C$9,J363+E364,IF(B364&lt;='Mon prêt'!$C$10,E364,'Mon prêt'!$C$22)))</f>
        <v/>
      </c>
      <c r="E364" s="18" t="str">
        <f>IF($B364="","",ROUND(J363*'Mon prêt'!$C$8/12,2))</f>
        <v/>
      </c>
      <c r="F364" s="18" t="str">
        <f t="shared" si="30"/>
        <v/>
      </c>
      <c r="G364" s="18" t="str">
        <f>IF($B364="","",ROUND(IF('Mon prêt'!$C$12=Paramètres!$B$36,'Mon prêt'!$C$7,J363)*'Mon prêt'!$C$13/12,2))</f>
        <v/>
      </c>
      <c r="H364" s="18" t="str">
        <f t="shared" si="31"/>
        <v/>
      </c>
      <c r="I364" s="18" t="str">
        <f t="shared" si="32"/>
        <v/>
      </c>
      <c r="J364" s="31" t="str">
        <f t="shared" si="33"/>
        <v/>
      </c>
      <c r="K364" s="18" t="str">
        <f t="shared" si="34"/>
        <v/>
      </c>
      <c r="L364" s="18" t="str">
        <f t="shared" si="35"/>
        <v/>
      </c>
    </row>
    <row r="365" spans="2:12" x14ac:dyDescent="0.35">
      <c r="B365" s="29" t="str">
        <f>IF(B364="","",IF(B364+1&gt;'Mon prêt'!$C$9,"",B364+1))</f>
        <v/>
      </c>
      <c r="C365" s="30" t="str">
        <f>IF($B365="","",EDATE('Mon prêt'!$C$11,B365-1))</f>
        <v/>
      </c>
      <c r="D365" s="18" t="str">
        <f>IF($B365="","",IF(B365='Mon prêt'!$C$9,J364+E365,IF(B365&lt;='Mon prêt'!$C$10,E365,'Mon prêt'!$C$22)))</f>
        <v/>
      </c>
      <c r="E365" s="18" t="str">
        <f>IF($B365="","",ROUND(J364*'Mon prêt'!$C$8/12,2))</f>
        <v/>
      </c>
      <c r="F365" s="18" t="str">
        <f t="shared" si="30"/>
        <v/>
      </c>
      <c r="G365" s="18" t="str">
        <f>IF($B365="","",ROUND(IF('Mon prêt'!$C$12=Paramètres!$B$36,'Mon prêt'!$C$7,J364)*'Mon prêt'!$C$13/12,2))</f>
        <v/>
      </c>
      <c r="H365" s="18" t="str">
        <f t="shared" si="31"/>
        <v/>
      </c>
      <c r="I365" s="18" t="str">
        <f t="shared" si="32"/>
        <v/>
      </c>
      <c r="J365" s="31" t="str">
        <f t="shared" si="33"/>
        <v/>
      </c>
      <c r="K365" s="18" t="str">
        <f t="shared" si="34"/>
        <v/>
      </c>
      <c r="L365" s="18" t="str">
        <f t="shared" si="35"/>
        <v/>
      </c>
    </row>
    <row r="366" spans="2:12" x14ac:dyDescent="0.35">
      <c r="B366" s="29" t="str">
        <f>IF(B365="","",IF(B365+1&gt;'Mon prêt'!$C$9,"",B365+1))</f>
        <v/>
      </c>
      <c r="C366" s="30" t="str">
        <f>IF($B366="","",EDATE('Mon prêt'!$C$11,B366-1))</f>
        <v/>
      </c>
      <c r="D366" s="18" t="str">
        <f>IF($B366="","",IF(B366='Mon prêt'!$C$9,J365+E366,IF(B366&lt;='Mon prêt'!$C$10,E366,'Mon prêt'!$C$22)))</f>
        <v/>
      </c>
      <c r="E366" s="18" t="str">
        <f>IF($B366="","",ROUND(J365*'Mon prêt'!$C$8/12,2))</f>
        <v/>
      </c>
      <c r="F366" s="18" t="str">
        <f t="shared" si="30"/>
        <v/>
      </c>
      <c r="G366" s="18" t="str">
        <f>IF($B366="","",ROUND(IF('Mon prêt'!$C$12=Paramètres!$B$36,'Mon prêt'!$C$7,J365)*'Mon prêt'!$C$13/12,2))</f>
        <v/>
      </c>
      <c r="H366" s="18" t="str">
        <f t="shared" si="31"/>
        <v/>
      </c>
      <c r="I366" s="18" t="str">
        <f t="shared" si="32"/>
        <v/>
      </c>
      <c r="J366" s="31" t="str">
        <f t="shared" si="33"/>
        <v/>
      </c>
      <c r="K366" s="18" t="str">
        <f t="shared" si="34"/>
        <v/>
      </c>
      <c r="L366" s="18" t="str">
        <f t="shared" si="35"/>
        <v/>
      </c>
    </row>
    <row r="367" spans="2:12" x14ac:dyDescent="0.35">
      <c r="B367" s="29" t="str">
        <f>IF(B366="","",IF(B366+1&gt;'Mon prêt'!$C$9,"",B366+1))</f>
        <v/>
      </c>
      <c r="C367" s="30" t="str">
        <f>IF($B367="","",EDATE('Mon prêt'!$C$11,B367-1))</f>
        <v/>
      </c>
      <c r="D367" s="18" t="str">
        <f>IF($B367="","",IF(B367='Mon prêt'!$C$9,J366+E367,IF(B367&lt;='Mon prêt'!$C$10,E367,'Mon prêt'!$C$22)))</f>
        <v/>
      </c>
      <c r="E367" s="18" t="str">
        <f>IF($B367="","",ROUND(J366*'Mon prêt'!$C$8/12,2))</f>
        <v/>
      </c>
      <c r="F367" s="18" t="str">
        <f t="shared" si="30"/>
        <v/>
      </c>
      <c r="G367" s="18" t="str">
        <f>IF($B367="","",ROUND(IF('Mon prêt'!$C$12=Paramètres!$B$36,'Mon prêt'!$C$7,J366)*'Mon prêt'!$C$13/12,2))</f>
        <v/>
      </c>
      <c r="H367" s="18" t="str">
        <f t="shared" si="31"/>
        <v/>
      </c>
      <c r="I367" s="18" t="str">
        <f t="shared" si="32"/>
        <v/>
      </c>
      <c r="J367" s="31" t="str">
        <f t="shared" si="33"/>
        <v/>
      </c>
      <c r="K367" s="18" t="str">
        <f t="shared" si="34"/>
        <v/>
      </c>
      <c r="L367" s="18" t="str">
        <f t="shared" si="35"/>
        <v/>
      </c>
    </row>
    <row r="369" spans="2:12" ht="36" customHeight="1" x14ac:dyDescent="0.35">
      <c r="B369" s="43" t="s">
        <v>219</v>
      </c>
      <c r="C369" s="39"/>
      <c r="D369" s="39"/>
      <c r="E369" s="39"/>
      <c r="F369" s="39"/>
      <c r="G369" s="39"/>
      <c r="H369" s="39"/>
      <c r="I369" s="39"/>
      <c r="J369" s="39"/>
      <c r="K369" s="39"/>
      <c r="L369" s="39"/>
    </row>
  </sheetData>
  <sheetProtection sheet="1" formatColumns="0" formatRows="0"/>
  <mergeCells count="1">
    <mergeCell ref="B369:L369"/>
  </mergeCells>
  <conditionalFormatting sqref="E4">
    <cfRule type="cellIs" dxfId="8" priority="1" operator="equal">
      <formula>"OK"</formula>
    </cfRule>
    <cfRule type="cellIs" dxfId="7" priority="2" operator="equal">
      <formula>"À CORRIGER"</formula>
    </cfRule>
  </conditionalFormatting>
  <pageMargins left="0.75" right="0.75" top="1" bottom="1" header="0.5" footer="0.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B8578"/>
  </sheetPr>
  <dimension ref="B1:F49"/>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50" customWidth="1"/>
    <col min="3" max="5" width="19" customWidth="1"/>
    <col min="6" max="6" width="88" customWidth="1"/>
  </cols>
  <sheetData>
    <row r="1" spans="2:6" ht="20" customHeight="1" x14ac:dyDescent="0.35">
      <c r="B1" s="1" t="s">
        <v>0</v>
      </c>
      <c r="C1" s="1"/>
      <c r="D1" s="1"/>
      <c r="E1" s="1"/>
      <c r="F1" s="1"/>
    </row>
    <row r="2" spans="2:6" ht="26" customHeight="1" x14ac:dyDescent="0.35">
      <c r="B2" s="2" t="s">
        <v>314</v>
      </c>
    </row>
    <row r="3" spans="2:6" x14ac:dyDescent="0.35">
      <c r="B3" s="3" t="s">
        <v>315</v>
      </c>
    </row>
    <row r="5" spans="2:6" x14ac:dyDescent="0.35">
      <c r="B5" s="9" t="s">
        <v>221</v>
      </c>
    </row>
    <row r="6" spans="2:6" ht="18" customHeight="1" x14ac:dyDescent="0.35">
      <c r="B6" s="1" t="s">
        <v>316</v>
      </c>
      <c r="C6" s="1"/>
      <c r="D6" s="1"/>
      <c r="E6" s="1"/>
      <c r="F6" s="1"/>
    </row>
    <row r="7" spans="2:6" ht="30" customHeight="1" x14ac:dyDescent="0.35">
      <c r="B7" s="28"/>
      <c r="C7" s="28" t="s">
        <v>317</v>
      </c>
      <c r="D7" s="28" t="s">
        <v>318</v>
      </c>
      <c r="E7" s="28" t="s">
        <v>319</v>
      </c>
      <c r="F7" s="28"/>
    </row>
    <row r="8" spans="2:6" x14ac:dyDescent="0.35">
      <c r="B8" s="10" t="s">
        <v>320</v>
      </c>
      <c r="C8" s="15" t="s">
        <v>321</v>
      </c>
      <c r="D8" s="15" t="s">
        <v>322</v>
      </c>
      <c r="E8" s="15" t="s">
        <v>323</v>
      </c>
      <c r="F8" s="9" t="s">
        <v>324</v>
      </c>
    </row>
    <row r="9" spans="2:6" x14ac:dyDescent="0.35">
      <c r="B9" s="10" t="s">
        <v>223</v>
      </c>
      <c r="C9" s="11">
        <v>180000</v>
      </c>
      <c r="D9" s="11">
        <v>180000</v>
      </c>
      <c r="E9" s="11">
        <v>180000</v>
      </c>
      <c r="F9" s="9" t="s">
        <v>325</v>
      </c>
    </row>
    <row r="10" spans="2:6" x14ac:dyDescent="0.35">
      <c r="B10" s="10" t="s">
        <v>225</v>
      </c>
      <c r="C10" s="12">
        <v>3.2500000000000001E-2</v>
      </c>
      <c r="D10" s="12">
        <v>3.4000000000000002E-2</v>
      </c>
      <c r="E10" s="12">
        <v>3.5499999999999997E-2</v>
      </c>
      <c r="F10" s="9" t="s">
        <v>326</v>
      </c>
    </row>
    <row r="11" spans="2:6" x14ac:dyDescent="0.35">
      <c r="B11" s="10" t="s">
        <v>327</v>
      </c>
      <c r="C11" s="13">
        <v>300</v>
      </c>
      <c r="D11" s="13">
        <v>300</v>
      </c>
      <c r="E11" s="13">
        <v>300</v>
      </c>
      <c r="F11" s="9" t="s">
        <v>328</v>
      </c>
    </row>
    <row r="12" spans="2:6" x14ac:dyDescent="0.35">
      <c r="B12" s="10" t="s">
        <v>233</v>
      </c>
      <c r="C12" s="15" t="s">
        <v>234</v>
      </c>
      <c r="D12" s="15" t="s">
        <v>309</v>
      </c>
      <c r="E12" s="15" t="s">
        <v>234</v>
      </c>
      <c r="F12" s="9" t="s">
        <v>329</v>
      </c>
    </row>
    <row r="13" spans="2:6" x14ac:dyDescent="0.35">
      <c r="B13" s="10" t="s">
        <v>236</v>
      </c>
      <c r="C13" s="12">
        <v>4.1999999999999997E-3</v>
      </c>
      <c r="D13" s="12">
        <v>1.8E-3</v>
      </c>
      <c r="E13" s="12">
        <v>2E-3</v>
      </c>
      <c r="F13" s="9" t="s">
        <v>330</v>
      </c>
    </row>
    <row r="14" spans="2:6" x14ac:dyDescent="0.35">
      <c r="B14" s="10" t="s">
        <v>238</v>
      </c>
      <c r="C14" s="11">
        <v>1500</v>
      </c>
      <c r="D14" s="11">
        <v>900</v>
      </c>
      <c r="E14" s="11">
        <v>0</v>
      </c>
      <c r="F14" s="9" t="s">
        <v>331</v>
      </c>
    </row>
    <row r="15" spans="2:6" x14ac:dyDescent="0.35">
      <c r="B15" s="10" t="s">
        <v>240</v>
      </c>
      <c r="C15" s="11">
        <v>2100</v>
      </c>
      <c r="D15" s="11">
        <v>2100</v>
      </c>
      <c r="E15" s="11">
        <v>2700</v>
      </c>
      <c r="F15" s="9" t="s">
        <v>332</v>
      </c>
    </row>
    <row r="16" spans="2:6" x14ac:dyDescent="0.35">
      <c r="B16" s="10" t="s">
        <v>333</v>
      </c>
      <c r="C16" s="11">
        <v>1500</v>
      </c>
      <c r="D16" s="11">
        <v>1500</v>
      </c>
      <c r="E16" s="11">
        <v>0</v>
      </c>
      <c r="F16" s="9" t="s">
        <v>334</v>
      </c>
    </row>
    <row r="17" spans="2:6" x14ac:dyDescent="0.35">
      <c r="B17" s="10" t="s">
        <v>335</v>
      </c>
      <c r="C17" s="16" t="str">
        <f>IF(COUNT(C$9:C$11)&gt;0,IF(AND(ISNUMBER(C$9),C$9&gt;0,ISNUMBER(C$10),C$10&gt;=0,C$10&lt;=Paramètres!$C$23,OR(C$10=0,C$10&gt;=Paramètres!$C$22),ISNUMBER(C$11),C$11&gt;=1,C$11&lt;=360,C$11=INT(N(C$11)),NOT(ISNA(MATCH(C$12,Paramètres!$B$36:$B$37,0))),ISNUMBER(C$13),C$13&gt;=0,C$13&lt;=Paramètres!$C$24,OR(C$14="",AND(ISNUMBER(C$14),C$14&gt;=0)),OR(C$15="",AND(ISNUMBER(C$15),C$15&gt;=0)),OR(C$16="",AND(ISNUMBER(C$16),C$16&gt;=0,C$16&lt;=N(C$15))),COUNT(Paramètres!$C$8:$C$17)=10,COUNT(Paramètres!$C$21:$C$32)=12),"OK","À CORRIGER"),"non renseignée")</f>
        <v>OK</v>
      </c>
      <c r="D17" s="16" t="str">
        <f>IF(COUNT(D$9:D$11)&gt;0,IF(AND(ISNUMBER(D$9),D$9&gt;0,ISNUMBER(D$10),D$10&gt;=0,D$10&lt;=Paramètres!$C$23,OR(D$10=0,D$10&gt;=Paramètres!$C$22),ISNUMBER(D$11),D$11&gt;=1,D$11&lt;=360,D$11=INT(N(D$11)),NOT(ISNA(MATCH(D$12,Paramètres!$B$36:$B$37,0))),ISNUMBER(D$13),D$13&gt;=0,D$13&lt;=Paramètres!$C$24,OR(D$14="",AND(ISNUMBER(D$14),D$14&gt;=0)),OR(D$15="",AND(ISNUMBER(D$15),D$15&gt;=0)),OR(D$16="",AND(ISNUMBER(D$16),D$16&gt;=0,D$16&lt;=N(D$15))),COUNT(Paramètres!$C$8:$C$17)=10,COUNT(Paramètres!$C$21:$C$32)=12),"OK","À CORRIGER"),"non renseignée")</f>
        <v>OK</v>
      </c>
      <c r="E17" s="16" t="str">
        <f>IF(COUNT(E$9:E$11)&gt;0,IF(AND(ISNUMBER(E$9),E$9&gt;0,ISNUMBER(E$10),E$10&gt;=0,E$10&lt;=Paramètres!$C$23,OR(E$10=0,E$10&gt;=Paramètres!$C$22),ISNUMBER(E$11),E$11&gt;=1,E$11&lt;=360,E$11=INT(N(E$11)),NOT(ISNA(MATCH(E$12,Paramètres!$B$36:$B$37,0))),ISNUMBER(E$13),E$13&gt;=0,E$13&lt;=Paramètres!$C$24,OR(E$14="",AND(ISNUMBER(E$14),E$14&gt;=0)),OR(E$15="",AND(ISNUMBER(E$15),E$15&gt;=0)),OR(E$16="",AND(ISNUMBER(E$16),E$16&gt;=0,E$16&lt;=N(E$15))),COUNT(Paramètres!$C$8:$C$17)=10,COUNT(Paramètres!$C$21:$C$32)=12),"OK","À CORRIGER"),"non renseignée")</f>
        <v>OK</v>
      </c>
      <c r="F17" s="9" t="s">
        <v>336</v>
      </c>
    </row>
    <row r="19" spans="2:6" ht="18" customHeight="1" x14ac:dyDescent="0.35">
      <c r="B19" s="1" t="s">
        <v>337</v>
      </c>
      <c r="C19" s="1"/>
      <c r="D19" s="1"/>
      <c r="E19" s="1"/>
      <c r="F19" s="1"/>
    </row>
    <row r="20" spans="2:6" x14ac:dyDescent="0.35">
      <c r="B20" s="10" t="s">
        <v>338</v>
      </c>
      <c r="C20" s="18">
        <f>IF(C$17&lt;&gt;"OK","",ROUND(IF(C$10=0,C$9/C$11,C$9*(C$10/12)/(1-(1+C$10/12)^(-C$11))),2))</f>
        <v>877.17</v>
      </c>
      <c r="D20" s="18">
        <f>IF(D$17&lt;&gt;"OK","",ROUND(IF(D$10=0,D$9/D$11,D$9*(D$10/12)/(1-(1+D$10/12)^(-D$11))),2))</f>
        <v>891.5</v>
      </c>
      <c r="E20" s="18">
        <f>IF(E$17&lt;&gt;"OK","",ROUND(IF(E$10=0,E$9/E$11,E$9*(E$10/12)/(1-(1+E$10/12)^(-E$11))),2))</f>
        <v>905.96</v>
      </c>
      <c r="F20" s="9" t="s">
        <v>339</v>
      </c>
    </row>
    <row r="21" spans="2:6" x14ac:dyDescent="0.35">
      <c r="B21" s="10" t="s">
        <v>255</v>
      </c>
      <c r="C21" s="18">
        <f>IF(C$17&lt;&gt;"OK","",ROUND(C$9*C$13/12,2))</f>
        <v>63</v>
      </c>
      <c r="D21" s="18">
        <f>IF(D$17&lt;&gt;"OK","",ROUND(D$9*D$13/12,2))</f>
        <v>27</v>
      </c>
      <c r="E21" s="18">
        <f>IF(E$17&lt;&gt;"OK","",ROUND(E$9*E$13/12,2))</f>
        <v>30</v>
      </c>
      <c r="F21" s="9" t="s">
        <v>340</v>
      </c>
    </row>
    <row r="22" spans="2:6" x14ac:dyDescent="0.35">
      <c r="B22" s="19" t="s">
        <v>341</v>
      </c>
      <c r="C22" s="26">
        <f>IF(C$17&lt;&gt;"OK","",C$20+C$21)</f>
        <v>940.17</v>
      </c>
      <c r="D22" s="26">
        <f>IF(D$17&lt;&gt;"OK","",D$20+D$21)</f>
        <v>918.5</v>
      </c>
      <c r="E22" s="26">
        <f>IF(E$17&lt;&gt;"OK","",E$20+E$21)</f>
        <v>935.96</v>
      </c>
      <c r="F22" s="9" t="s">
        <v>342</v>
      </c>
    </row>
    <row r="23" spans="2:6" x14ac:dyDescent="0.35">
      <c r="B23" s="10" t="s">
        <v>258</v>
      </c>
      <c r="C23" s="21">
        <f>IF(C$17&lt;&gt;"OK","",SUM('Détail des offres'!$C$8:$C$367))</f>
        <v>83150.64999999998</v>
      </c>
      <c r="D23" s="21">
        <f>IF(D$17&lt;&gt;"OK","",SUM('Détail des offres'!$I$8:$I$367))</f>
        <v>87448.890000000029</v>
      </c>
      <c r="E23" s="21">
        <f>IF(E$17&lt;&gt;"OK","",SUM('Détail des offres'!$O$8:$O$367))</f>
        <v>91786.310000000027</v>
      </c>
      <c r="F23" s="9" t="s">
        <v>343</v>
      </c>
    </row>
    <row r="24" spans="2:6" x14ac:dyDescent="0.35">
      <c r="B24" s="10" t="s">
        <v>260</v>
      </c>
      <c r="C24" s="21">
        <f>IF(C$17&lt;&gt;"OK","",SUM('Détail des offres'!$E$8:$E$367))</f>
        <v>18900</v>
      </c>
      <c r="D24" s="21">
        <f>IF(D$17&lt;&gt;"OK","",SUM('Détail des offres'!$K$8:$K$367))</f>
        <v>4629.6500000000042</v>
      </c>
      <c r="E24" s="21">
        <f>IF(E$17&lt;&gt;"OK","",SUM('Détail des offres'!$Q$8:$Q$367))</f>
        <v>9000</v>
      </c>
    </row>
    <row r="25" spans="2:6" x14ac:dyDescent="0.35">
      <c r="B25" s="19" t="s">
        <v>130</v>
      </c>
      <c r="C25" s="24">
        <f>IF(C$17&lt;&gt;"OK","",C$23+C$24+C$14+C$15)</f>
        <v>105650.64999999998</v>
      </c>
      <c r="D25" s="24">
        <f>IF(D$17&lt;&gt;"OK","",D$23+D$24+D$14+D$15)</f>
        <v>95078.540000000037</v>
      </c>
      <c r="E25" s="24">
        <f>IF(E$17&lt;&gt;"OK","",E$23+E$24+E$14+E$15)</f>
        <v>103486.31000000003</v>
      </c>
      <c r="F25" s="9" t="s">
        <v>344</v>
      </c>
    </row>
    <row r="26" spans="2:6" x14ac:dyDescent="0.35">
      <c r="B26" s="10" t="s">
        <v>265</v>
      </c>
      <c r="C26" s="21">
        <f>IF(C$17&lt;&gt;"OK","",C$16*Paramètres!$C$21)</f>
        <v>1050</v>
      </c>
      <c r="D26" s="21">
        <f>IF(D$17&lt;&gt;"OK","",D$16*Paramètres!$C$21)</f>
        <v>1050</v>
      </c>
      <c r="E26" s="21">
        <f>IF(E$17&lt;&gt;"OK","",E$16*Paramètres!$C$21)</f>
        <v>0</v>
      </c>
      <c r="F26" s="9" t="s">
        <v>345</v>
      </c>
    </row>
    <row r="27" spans="2:6" x14ac:dyDescent="0.35">
      <c r="B27" s="10" t="s">
        <v>267</v>
      </c>
      <c r="C27" s="21">
        <f>IF(C$17&lt;&gt;"OK","",C$25-C$26)</f>
        <v>104600.64999999998</v>
      </c>
      <c r="D27" s="21">
        <f>IF(D$17&lt;&gt;"OK","",D$25-D$26)</f>
        <v>94028.540000000037</v>
      </c>
      <c r="E27" s="21">
        <f>IF(E$17&lt;&gt;"OK","",E$25-E$26)</f>
        <v>103486.31000000003</v>
      </c>
    </row>
    <row r="28" spans="2:6" ht="21" customHeight="1" x14ac:dyDescent="0.35">
      <c r="B28" s="19" t="s">
        <v>126</v>
      </c>
      <c r="C28" s="25">
        <f>IF(C$17&lt;&gt;"OK","",(1+IRR('Détail des offres'!$G$7:$G$367,C$10/12))^12-1)</f>
        <v>4.1704834905049726E-2</v>
      </c>
      <c r="D28" s="25">
        <f>IF(D$17&lt;&gt;"OK","",(1+IRR('Détail des offres'!$M$7:$M$367,D$10/12))^12-1)</f>
        <v>3.803672089748944E-2</v>
      </c>
      <c r="E28" s="25">
        <f>IF(E$17&lt;&gt;"OK","",(1+IRR('Détail des offres'!$S$7:$S$367,E$10/12))^12-1)</f>
        <v>4.0752349762461115E-2</v>
      </c>
      <c r="F28" s="9" t="s">
        <v>346</v>
      </c>
    </row>
    <row r="29" spans="2:6" x14ac:dyDescent="0.35">
      <c r="B29" s="10" t="s">
        <v>271</v>
      </c>
      <c r="C29" s="23">
        <f>IF(C$17&lt;&gt;"OK","",(1+IRR('Détail des offres'!$H$7:$H$367,C$10/12))^12-1)</f>
        <v>3.4918625565761419E-2</v>
      </c>
      <c r="D29" s="23">
        <f>IF(D$17&lt;&gt;"OK","",(1+IRR('Détail des offres'!$N$7:$N$367,D$10/12))^12-1)</f>
        <v>3.615283182906337E-2</v>
      </c>
      <c r="E29" s="23">
        <f>IF(E$17&lt;&gt;"OK","",(1+IRR('Détail des offres'!$T$7:$T$367,E$10/12))^12-1)</f>
        <v>3.7550075591327614E-2</v>
      </c>
      <c r="F29" s="9" t="s">
        <v>347</v>
      </c>
    </row>
    <row r="30" spans="2:6" x14ac:dyDescent="0.35">
      <c r="B30" s="10" t="s">
        <v>348</v>
      </c>
      <c r="C30" s="23">
        <f>IF(C$17&lt;&gt;"OK","",IF(C$11&lt;Paramètres!$C$11,Paramètres!$C$8,IF(C$11&lt;Paramètres!$C$12,Paramètres!$C$9,Paramètres!$C$10)))</f>
        <v>5.2900000000000003E-2</v>
      </c>
      <c r="D30" s="23">
        <f>IF(D$17&lt;&gt;"OK","",IF(D$11&lt;Paramètres!$C$11,Paramètres!$C$8,IF(D$11&lt;Paramètres!$C$12,Paramètres!$C$9,Paramètres!$C$10)))</f>
        <v>5.2900000000000003E-2</v>
      </c>
      <c r="E30" s="23">
        <f>IF(E$17&lt;&gt;"OK","",IF(E$11&lt;Paramètres!$C$11,Paramètres!$C$8,IF(E$11&lt;Paramètres!$C$12,Paramètres!$C$9,Paramètres!$C$10)))</f>
        <v>5.2900000000000003E-2</v>
      </c>
      <c r="F30" s="9" t="s">
        <v>349</v>
      </c>
    </row>
    <row r="31" spans="2:6" x14ac:dyDescent="0.35">
      <c r="B31" s="10" t="s">
        <v>277</v>
      </c>
      <c r="C31" s="16" t="str">
        <f>IF(C$17="OK",IF(C$28&lt;=C$30,"OK","DÉPASSÉ"),"")</f>
        <v>OK</v>
      </c>
      <c r="D31" s="16" t="str">
        <f>IF(D$17="OK",IF(D$28&lt;=D$30,"OK","DÉPASSÉ"),"")</f>
        <v>OK</v>
      </c>
      <c r="E31" s="16" t="str">
        <f>IF(E$17="OK",IF(E$28&lt;=E$30,"OK","DÉPASSÉ"),"")</f>
        <v>OK</v>
      </c>
      <c r="F31" s="9" t="s">
        <v>350</v>
      </c>
    </row>
    <row r="33" spans="2:6" ht="18" customHeight="1" x14ac:dyDescent="0.35">
      <c r="B33" s="1" t="s">
        <v>351</v>
      </c>
      <c r="C33" s="1"/>
      <c r="D33" s="1"/>
      <c r="E33" s="1"/>
      <c r="F33" s="1"/>
    </row>
    <row r="34" spans="2:6" x14ac:dyDescent="0.35">
      <c r="B34" s="10" t="s">
        <v>352</v>
      </c>
      <c r="C34" s="29">
        <f>IF(C$28="","",1+SUMPRODUCT(--($C$28:$E$28&lt;C$28)))</f>
        <v>3</v>
      </c>
      <c r="D34" s="29">
        <f>IF(D$28="","",1+SUMPRODUCT(--($C$28:$E$28&lt;D$28)))</f>
        <v>1</v>
      </c>
      <c r="E34" s="29">
        <f>IF(E$28="","",1+SUMPRODUCT(--($C$28:$E$28&lt;E$28)))</f>
        <v>2</v>
      </c>
      <c r="F34" s="9" t="s">
        <v>353</v>
      </c>
    </row>
    <row r="35" spans="2:6" x14ac:dyDescent="0.35">
      <c r="B35" s="10" t="s">
        <v>354</v>
      </c>
      <c r="C35" s="29">
        <f>IF(C$25="","",1+SUMPRODUCT(--($C$25:$E$25&lt;C$25)))</f>
        <v>3</v>
      </c>
      <c r="D35" s="29">
        <f>IF(D$25="","",1+SUMPRODUCT(--($C$25:$E$25&lt;D$25)))</f>
        <v>1</v>
      </c>
      <c r="E35" s="29">
        <f>IF(E$25="","",1+SUMPRODUCT(--($C$25:$E$25&lt;E$25)))</f>
        <v>2</v>
      </c>
      <c r="F35" s="9" t="s">
        <v>355</v>
      </c>
    </row>
    <row r="36" spans="2:6" x14ac:dyDescent="0.35">
      <c r="B36" s="10" t="s">
        <v>356</v>
      </c>
      <c r="C36" s="23">
        <f>IF(C$28="","",C$28-MIN($C$28:$E$28))</f>
        <v>3.6681140075602858E-3</v>
      </c>
      <c r="D36" s="23">
        <f>IF(D$28="","",D$28-MIN($C$28:$E$28))</f>
        <v>0</v>
      </c>
      <c r="E36" s="23">
        <f>IF(E$28="","",E$28-MIN($C$28:$E$28))</f>
        <v>2.7156288649716753E-3</v>
      </c>
      <c r="F36" s="9" t="s">
        <v>357</v>
      </c>
    </row>
    <row r="37" spans="2:6" x14ac:dyDescent="0.35">
      <c r="B37" s="10" t="s">
        <v>358</v>
      </c>
      <c r="C37" s="21">
        <f>IF(C$25="","",C$25-MIN($C$25:$E$25))</f>
        <v>10572.109999999942</v>
      </c>
      <c r="D37" s="21">
        <f>IF(D$25="","",D$25-MIN($C$25:$E$25))</f>
        <v>0</v>
      </c>
      <c r="E37" s="21">
        <f>IF(E$25="","",E$25-MIN($C$25:$E$25))</f>
        <v>8407.7699999999895</v>
      </c>
      <c r="F37" s="9" t="s">
        <v>359</v>
      </c>
    </row>
    <row r="38" spans="2:6" x14ac:dyDescent="0.35">
      <c r="B38" s="10" t="s">
        <v>360</v>
      </c>
      <c r="C38" s="18">
        <f>IF(C$22="","",C$22-MIN($C$22:$E$22))</f>
        <v>21.669999999999959</v>
      </c>
      <c r="D38" s="18">
        <f>IF(D$22="","",D$22-MIN($C$22:$E$22))</f>
        <v>0</v>
      </c>
      <c r="E38" s="18">
        <f>IF(E$22="","",E$22-MIN($C$22:$E$22))</f>
        <v>17.460000000000036</v>
      </c>
      <c r="F38" s="9" t="s">
        <v>361</v>
      </c>
    </row>
    <row r="39" spans="2:6" x14ac:dyDescent="0.35">
      <c r="B39" s="10" t="s">
        <v>362</v>
      </c>
      <c r="C39" s="32">
        <f>IF(C$17&lt;&gt;"OK","",C$11)</f>
        <v>300</v>
      </c>
      <c r="D39" s="32">
        <f>IF(D$17&lt;&gt;"OK","",D$11)</f>
        <v>300</v>
      </c>
      <c r="E39" s="32">
        <f>IF(E$17&lt;&gt;"OK","",E$11)</f>
        <v>300</v>
      </c>
      <c r="F39" s="9" t="s">
        <v>363</v>
      </c>
    </row>
    <row r="41" spans="2:6" ht="18" customHeight="1" x14ac:dyDescent="0.35">
      <c r="B41" s="1" t="s">
        <v>364</v>
      </c>
      <c r="C41" s="1"/>
      <c r="D41" s="1"/>
      <c r="E41" s="1"/>
      <c r="F41" s="1"/>
    </row>
    <row r="42" spans="2:6" x14ac:dyDescent="0.35">
      <c r="B42" s="10" t="s">
        <v>365</v>
      </c>
      <c r="C42" s="29">
        <f>COUNTIF($C$17:$E$17,"OK")</f>
        <v>3</v>
      </c>
      <c r="F42" s="9" t="s">
        <v>366</v>
      </c>
    </row>
    <row r="43" spans="2:6" x14ac:dyDescent="0.35">
      <c r="B43" s="10" t="s">
        <v>367</v>
      </c>
      <c r="C43" s="16" t="str">
        <f>IF($C$42&gt;=2,IF(COUNTIF($C$39:$E$39,MAX($C$39:$E$39))=$C$42,"OK","DIFFÉRENTES"),"")</f>
        <v>OK</v>
      </c>
      <c r="F43" s="9" t="s">
        <v>368</v>
      </c>
    </row>
    <row r="44" spans="2:6" x14ac:dyDescent="0.35">
      <c r="B44" s="19" t="s">
        <v>369</v>
      </c>
      <c r="C44" s="33" t="str">
        <f>IF($C$42&lt;2,"Renseignez au moins deux offres",INDEX($C$7:$E$7,MATCH(MIN($C$28:$E$28),$C$28:$E$28,0))&amp;IF(INDEX($C$8:$E$8,MATCH(MIN($C$28:$E$28),$C$28:$E$28,0))="",""," : "&amp;INDEX($C$8:$E$8,MATCH(MIN($C$28:$E$28),$C$28:$E$28,0))))</f>
        <v>Offre B : Banque 2</v>
      </c>
      <c r="F44" s="9" t="s">
        <v>370</v>
      </c>
    </row>
    <row r="45" spans="2:6" x14ac:dyDescent="0.35">
      <c r="B45" s="19" t="s">
        <v>371</v>
      </c>
      <c r="C45" s="33" t="str">
        <f>IF($C$42&lt;2,"Renseignez au moins deux offres",IF($C$43&lt;&gt;"OK","Durées différentes : comparez le TAEG",INDEX($C$7:$E$7,MATCH(MIN($C$25:$E$25),$C$25:$E$25,0))&amp;IF(INDEX($C$8:$E$8,MATCH(MIN($C$25:$E$25),$C$25:$E$25,0))="",""," : "&amp;INDEX($C$8:$E$8,MATCH(MIN($C$25:$E$25),$C$25:$E$25,0)))))</f>
        <v>Offre B : Banque 2</v>
      </c>
      <c r="F45" s="9" t="s">
        <v>372</v>
      </c>
    </row>
    <row r="46" spans="2:6" x14ac:dyDescent="0.35">
      <c r="B46" s="10" t="s">
        <v>373</v>
      </c>
      <c r="C46" s="21">
        <f>IF(OR($C$42&lt;2,$C$43&lt;&gt;"OK"),"",MAX($C$25:$E$25)-MIN($C$25:$E$25))</f>
        <v>10572.109999999942</v>
      </c>
      <c r="F46" s="9" t="s">
        <v>374</v>
      </c>
    </row>
    <row r="47" spans="2:6" x14ac:dyDescent="0.35">
      <c r="B47" s="10" t="s">
        <v>375</v>
      </c>
      <c r="C47" s="32">
        <f>IF($C$42=0,"",MAX($C$39:$E$39))</f>
        <v>300</v>
      </c>
      <c r="F47" s="9" t="s">
        <v>376</v>
      </c>
    </row>
    <row r="49" spans="2:6" ht="36" customHeight="1" x14ac:dyDescent="0.35">
      <c r="B49" s="43" t="s">
        <v>219</v>
      </c>
      <c r="C49" s="39"/>
      <c r="D49" s="39"/>
      <c r="E49" s="39"/>
      <c r="F49" s="39"/>
    </row>
  </sheetData>
  <sheetProtection sheet="1" formatColumns="0" formatRows="0"/>
  <mergeCells count="1">
    <mergeCell ref="B49:F49"/>
  </mergeCells>
  <conditionalFormatting sqref="C43">
    <cfRule type="cellIs" dxfId="6" priority="15" operator="equal">
      <formula>"OK"</formula>
    </cfRule>
    <cfRule type="cellIs" dxfId="5" priority="16" operator="equal">
      <formula>"DIFFÉRENTES"</formula>
    </cfRule>
  </conditionalFormatting>
  <conditionalFormatting sqref="C17:E17">
    <cfRule type="cellIs" dxfId="4" priority="1" operator="equal">
      <formula>"OK"</formula>
    </cfRule>
    <cfRule type="cellIs" dxfId="3" priority="2" operator="equal">
      <formula>"À CORRIGER"</formula>
    </cfRule>
  </conditionalFormatting>
  <conditionalFormatting sqref="C31:E31">
    <cfRule type="cellIs" dxfId="2" priority="7" operator="equal">
      <formula>"OK"</formula>
    </cfRule>
    <cfRule type="cellIs" dxfId="1" priority="8" operator="equal">
      <formula>"DÉPASSÉ"</formula>
    </cfRule>
  </conditionalFormatting>
  <conditionalFormatting sqref="C34:E35">
    <cfRule type="cellIs" dxfId="0" priority="13" operator="equal">
      <formula>1</formula>
    </cfRule>
  </conditionalFormatting>
  <dataValidations count="3">
    <dataValidation type="decimal" operator="greaterThanOrEqual" allowBlank="1" showErrorMessage="1" errorTitle="Saisie" error="Valeur hors des bornes admises." sqref="C14:E15 C9:E9" xr:uid="{00000000-0002-0000-0300-000001000000}">
      <formula1>0</formula1>
    </dataValidation>
    <dataValidation type="whole" allowBlank="1" showErrorMessage="1" errorTitle="Saisie" error="Durée en mois entiers, de 1 à 360." sqref="C11:E11" xr:uid="{00000000-0002-0000-0300-000003000000}">
      <formula1>1</formula1>
      <formula2>360</formula2>
    </dataValidation>
    <dataValidation type="decimal" allowBlank="1" showErrorMessage="1" errorTitle="Saisie" error="Au plus les frais de garantie de l'offre." sqref="C16:E16" xr:uid="{00000000-0002-0000-0300-000007000000}">
      <formula1>0</formula1>
      <formula2>C15</formula2>
    </dataValidation>
  </dataValidation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Choisir dans la liste" error="Choisissez l'assiette dans la liste (onglet Paramètres)." xr:uid="{00000000-0002-0000-0300-000000000000}">
          <x14:formula1>
            <xm:f>Paramètres!$B$36:$B$37</xm:f>
          </x14:formula1>
          <xm:sqref>C12:E12</xm:sqref>
        </x14:dataValidation>
        <x14:dataValidation type="decimal" allowBlank="1" showErrorMessage="1" errorTitle="Saisie" error="Taux nominal entre 0 % et le plafond de saisie de Paramètres (20 %). Tapez 3,25 pour 3,25 %." xr:uid="{00000000-0002-0000-0300-000002000000}">
          <x14:formula1>
            <xm:f>0</xm:f>
          </x14:formula1>
          <x14:formula2>
            <xm:f>Paramètres!$C$23</xm:f>
          </x14:formula2>
          <xm:sqref>C10:E10</xm:sqref>
        </x14:dataValidation>
        <x14:dataValidation type="decimal" allowBlank="1" showErrorMessage="1" errorTitle="Saisie" error="Taux d'assurance entre 0 % et le plafond de saisie de Paramètres (5 %)." xr:uid="{00000000-0002-0000-0300-000004000000}">
          <x14:formula1>
            <xm:f>0</xm:f>
          </x14:formula1>
          <x14:formula2>
            <xm:f>Paramètres!$C$24</xm:f>
          </x14:formula2>
          <xm:sqref>C13:E13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T369"/>
  <sheetViews>
    <sheetView showGridLines="0" workbookViewId="0">
      <pane xSplit="2" ySplit="7" topLeftCell="C8" activePane="bottomRight" state="frozen"/>
      <selection pane="topRight" activeCell="B1" sqref="B1"/>
      <selection pane="bottomLeft"/>
      <selection pane="bottomRight"/>
    </sheetView>
  </sheetViews>
  <sheetFormatPr baseColWidth="10" defaultColWidth="8.7265625" defaultRowHeight="14.5" x14ac:dyDescent="0.35"/>
  <cols>
    <col min="1" max="1" width="2" customWidth="1"/>
    <col min="2" max="2" width="7" customWidth="1"/>
    <col min="3" max="21" width="13.453125" customWidth="1"/>
  </cols>
  <sheetData>
    <row r="1" spans="2:20" ht="20" customHeight="1" x14ac:dyDescent="0.35">
      <c r="B1" s="1" t="s">
        <v>0</v>
      </c>
      <c r="C1" s="1"/>
      <c r="D1" s="1"/>
      <c r="E1" s="1"/>
      <c r="F1" s="1"/>
      <c r="G1" s="1"/>
      <c r="H1" s="1"/>
      <c r="I1" s="1"/>
      <c r="J1" s="1"/>
      <c r="K1" s="1"/>
      <c r="L1" s="1"/>
      <c r="M1" s="1"/>
      <c r="N1" s="1"/>
      <c r="O1" s="1"/>
      <c r="P1" s="1"/>
      <c r="Q1" s="1"/>
      <c r="R1" s="1"/>
      <c r="S1" s="1"/>
      <c r="T1" s="1"/>
    </row>
    <row r="2" spans="2:20" ht="26" customHeight="1" x14ac:dyDescent="0.35">
      <c r="B2" s="2" t="s">
        <v>377</v>
      </c>
    </row>
    <row r="3" spans="2:20" x14ac:dyDescent="0.35">
      <c r="B3" s="3" t="s">
        <v>378</v>
      </c>
    </row>
    <row r="5" spans="2:20" ht="18" customHeight="1" x14ac:dyDescent="0.35">
      <c r="B5" s="10"/>
      <c r="C5" s="1" t="str">
        <f>"Offre A"&amp;IF(Comparateur!C$8="",""," : "&amp;Comparateur!C$8)</f>
        <v>Offre A : Banque 1</v>
      </c>
      <c r="D5" s="1"/>
      <c r="E5" s="1"/>
      <c r="F5" s="1"/>
      <c r="G5" s="1"/>
      <c r="H5" s="1"/>
      <c r="I5" s="1" t="str">
        <f>"Offre B"&amp;IF(Comparateur!D$8="",""," : "&amp;Comparateur!D$8)</f>
        <v>Offre B : Banque 2</v>
      </c>
      <c r="J5" s="1"/>
      <c r="K5" s="1"/>
      <c r="L5" s="1"/>
      <c r="M5" s="1"/>
      <c r="N5" s="1"/>
      <c r="O5" s="1" t="str">
        <f>"Offre C"&amp;IF(Comparateur!E$8="",""," : "&amp;Comparateur!E$8)</f>
        <v>Offre C : Banque 3</v>
      </c>
      <c r="P5" s="1"/>
      <c r="Q5" s="1"/>
      <c r="R5" s="1"/>
      <c r="S5" s="1"/>
      <c r="T5" s="1"/>
    </row>
    <row r="6" spans="2:20" ht="30" customHeight="1" x14ac:dyDescent="0.35">
      <c r="B6" s="28" t="s">
        <v>301</v>
      </c>
      <c r="C6" s="28" t="s">
        <v>304</v>
      </c>
      <c r="D6" s="28" t="s">
        <v>305</v>
      </c>
      <c r="E6" s="28" t="s">
        <v>306</v>
      </c>
      <c r="F6" s="28" t="s">
        <v>309</v>
      </c>
      <c r="G6" s="28" t="s">
        <v>310</v>
      </c>
      <c r="H6" s="28" t="s">
        <v>311</v>
      </c>
      <c r="I6" s="28" t="s">
        <v>304</v>
      </c>
      <c r="J6" s="28" t="s">
        <v>305</v>
      </c>
      <c r="K6" s="28" t="s">
        <v>306</v>
      </c>
      <c r="L6" s="28" t="s">
        <v>309</v>
      </c>
      <c r="M6" s="28" t="s">
        <v>310</v>
      </c>
      <c r="N6" s="28" t="s">
        <v>311</v>
      </c>
      <c r="O6" s="28" t="s">
        <v>304</v>
      </c>
      <c r="P6" s="28" t="s">
        <v>305</v>
      </c>
      <c r="Q6" s="28" t="s">
        <v>306</v>
      </c>
      <c r="R6" s="28" t="s">
        <v>309</v>
      </c>
      <c r="S6" s="28" t="s">
        <v>310</v>
      </c>
      <c r="T6" s="28" t="s">
        <v>311</v>
      </c>
    </row>
    <row r="7" spans="2:20" x14ac:dyDescent="0.35">
      <c r="B7" s="29">
        <f>IF(Comparateur!$C$47="","",0)</f>
        <v>0</v>
      </c>
      <c r="F7" s="18">
        <f>IF(Comparateur!C$17="OK",Comparateur!C$9,"")</f>
        <v>180000</v>
      </c>
      <c r="G7" s="18">
        <f>IF(Comparateur!C$17="OK",-(Comparateur!C$9-Comparateur!C$14-Comparateur!C$15),"")</f>
        <v>-176400</v>
      </c>
      <c r="H7" s="18">
        <f>IF(Comparateur!C$17="OK",-(Comparateur!C$9-Comparateur!C$14-Comparateur!C$15),"")</f>
        <v>-176400</v>
      </c>
      <c r="L7" s="18">
        <f>IF(Comparateur!D$17="OK",Comparateur!D$9,"")</f>
        <v>180000</v>
      </c>
      <c r="M7" s="18">
        <f>IF(Comparateur!D$17="OK",-(Comparateur!D$9-Comparateur!D$14-Comparateur!D$15),"")</f>
        <v>-177000</v>
      </c>
      <c r="N7" s="18">
        <f>IF(Comparateur!D$17="OK",-(Comparateur!D$9-Comparateur!D$14-Comparateur!D$15),"")</f>
        <v>-177000</v>
      </c>
      <c r="R7" s="18">
        <f>IF(Comparateur!E$17="OK",Comparateur!E$9,"")</f>
        <v>180000</v>
      </c>
      <c r="S7" s="18">
        <f>IF(Comparateur!E$17="OK",-(Comparateur!E$9-Comparateur!E$14-Comparateur!E$15),"")</f>
        <v>-177300</v>
      </c>
      <c r="T7" s="18">
        <f>IF(Comparateur!E$17="OK",-(Comparateur!E$9-Comparateur!E$14-Comparateur!E$15),"")</f>
        <v>-177300</v>
      </c>
    </row>
    <row r="8" spans="2:20" x14ac:dyDescent="0.35">
      <c r="B8" s="29">
        <f>IF(B7="","",IF(B7+1&gt;Comparateur!$C$47,"",B7+1))</f>
        <v>1</v>
      </c>
      <c r="C8" s="18">
        <f>IF(OR($B8="",Comparateur!C$17&lt;&gt;"OK",$B8&gt;Comparateur!C$11),"",ROUND(F7*Comparateur!C$10/12,2))</f>
        <v>487.5</v>
      </c>
      <c r="D8" s="18">
        <f>IF(C8="","",IF($B8=Comparateur!C$11,F7,Comparateur!C$20-C8))</f>
        <v>389.66999999999996</v>
      </c>
      <c r="E8" s="18">
        <f>IF(C8="","",ROUND(IF(Comparateur!C$12=Paramètres!$B$36,Comparateur!C$9,F7)*Comparateur!C$13/12,2))</f>
        <v>63</v>
      </c>
      <c r="F8" s="31">
        <f t="shared" ref="F8:F71" si="0">IF(C8="","",ROUND(F7-D8,2))</f>
        <v>179610.33</v>
      </c>
      <c r="G8" s="18">
        <f t="shared" ref="G8:G71" si="1">IF(C8="","",C8+D8+E8)</f>
        <v>940.17</v>
      </c>
      <c r="H8" s="18">
        <f t="shared" ref="H8:H71" si="2">IF(C8="","",C8+D8)</f>
        <v>877.17</v>
      </c>
      <c r="I8" s="18">
        <f>IF(OR($B8="",Comparateur!D$17&lt;&gt;"OK",$B8&gt;Comparateur!D$11),"",ROUND(L7*Comparateur!D$10/12,2))</f>
        <v>510</v>
      </c>
      <c r="J8" s="18">
        <f>IF(I8="","",IF($B8=Comparateur!D$11,L7,Comparateur!D$20-I8))</f>
        <v>381.5</v>
      </c>
      <c r="K8" s="18">
        <f>IF(I8="","",ROUND(IF(Comparateur!D$12=Paramètres!$B$36,Comparateur!D$9,L7)*Comparateur!D$13/12,2))</f>
        <v>27</v>
      </c>
      <c r="L8" s="31">
        <f t="shared" ref="L8:L71" si="3">IF(I8="","",ROUND(L7-J8,2))</f>
        <v>179618.5</v>
      </c>
      <c r="M8" s="18">
        <f t="shared" ref="M8:M71" si="4">IF(I8="","",I8+J8+K8)</f>
        <v>918.5</v>
      </c>
      <c r="N8" s="18">
        <f t="shared" ref="N8:N71" si="5">IF(I8="","",I8+J8)</f>
        <v>891.5</v>
      </c>
      <c r="O8" s="18">
        <f>IF(OR($B8="",Comparateur!E$17&lt;&gt;"OK",$B8&gt;Comparateur!E$11),"",ROUND(R7*Comparateur!E$10/12,2))</f>
        <v>532.5</v>
      </c>
      <c r="P8" s="18">
        <f>IF(O8="","",IF($B8=Comparateur!E$11,R7,Comparateur!E$20-O8))</f>
        <v>373.46000000000004</v>
      </c>
      <c r="Q8" s="18">
        <f>IF(O8="","",ROUND(IF(Comparateur!E$12=Paramètres!$B$36,Comparateur!E$9,R7)*Comparateur!E$13/12,2))</f>
        <v>30</v>
      </c>
      <c r="R8" s="31">
        <f t="shared" ref="R8:R71" si="6">IF(O8="","",ROUND(R7-P8,2))</f>
        <v>179626.54</v>
      </c>
      <c r="S8" s="18">
        <f t="shared" ref="S8:S71" si="7">IF(O8="","",O8+P8+Q8)</f>
        <v>935.96</v>
      </c>
      <c r="T8" s="18">
        <f t="shared" ref="T8:T71" si="8">IF(O8="","",O8+P8)</f>
        <v>905.96</v>
      </c>
    </row>
    <row r="9" spans="2:20" x14ac:dyDescent="0.35">
      <c r="B9" s="29">
        <f>IF(B8="","",IF(B8+1&gt;Comparateur!$C$47,"",B8+1))</f>
        <v>2</v>
      </c>
      <c r="C9" s="18">
        <f>IF(OR($B9="",Comparateur!C$17&lt;&gt;"OK",$B9&gt;Comparateur!C$11),"",ROUND(F8*Comparateur!C$10/12,2))</f>
        <v>486.44</v>
      </c>
      <c r="D9" s="18">
        <f>IF(C9="","",IF($B9=Comparateur!C$11,F8,Comparateur!C$20-C9))</f>
        <v>390.72999999999996</v>
      </c>
      <c r="E9" s="18">
        <f>IF(C9="","",ROUND(IF(Comparateur!C$12=Paramètres!$B$36,Comparateur!C$9,F8)*Comparateur!C$13/12,2))</f>
        <v>63</v>
      </c>
      <c r="F9" s="31">
        <f t="shared" si="0"/>
        <v>179219.6</v>
      </c>
      <c r="G9" s="18">
        <f t="shared" si="1"/>
        <v>940.17</v>
      </c>
      <c r="H9" s="18">
        <f t="shared" si="2"/>
        <v>877.17</v>
      </c>
      <c r="I9" s="18">
        <f>IF(OR($B9="",Comparateur!D$17&lt;&gt;"OK",$B9&gt;Comparateur!D$11),"",ROUND(L8*Comparateur!D$10/12,2))</f>
        <v>508.92</v>
      </c>
      <c r="J9" s="18">
        <f>IF(I9="","",IF($B9=Comparateur!D$11,L8,Comparateur!D$20-I9))</f>
        <v>382.58</v>
      </c>
      <c r="K9" s="18">
        <f>IF(I9="","",ROUND(IF(Comparateur!D$12=Paramètres!$B$36,Comparateur!D$9,L8)*Comparateur!D$13/12,2))</f>
        <v>26.94</v>
      </c>
      <c r="L9" s="31">
        <f t="shared" si="3"/>
        <v>179235.92</v>
      </c>
      <c r="M9" s="18">
        <f t="shared" si="4"/>
        <v>918.44</v>
      </c>
      <c r="N9" s="18">
        <f t="shared" si="5"/>
        <v>891.5</v>
      </c>
      <c r="O9" s="18">
        <f>IF(OR($B9="",Comparateur!E$17&lt;&gt;"OK",$B9&gt;Comparateur!E$11),"",ROUND(R8*Comparateur!E$10/12,2))</f>
        <v>531.4</v>
      </c>
      <c r="P9" s="18">
        <f>IF(O9="","",IF($B9=Comparateur!E$11,R8,Comparateur!E$20-O9))</f>
        <v>374.56000000000006</v>
      </c>
      <c r="Q9" s="18">
        <f>IF(O9="","",ROUND(IF(Comparateur!E$12=Paramètres!$B$36,Comparateur!E$9,R8)*Comparateur!E$13/12,2))</f>
        <v>30</v>
      </c>
      <c r="R9" s="31">
        <f t="shared" si="6"/>
        <v>179251.98</v>
      </c>
      <c r="S9" s="18">
        <f t="shared" si="7"/>
        <v>935.96</v>
      </c>
      <c r="T9" s="18">
        <f t="shared" si="8"/>
        <v>905.96</v>
      </c>
    </row>
    <row r="10" spans="2:20" x14ac:dyDescent="0.35">
      <c r="B10" s="29">
        <f>IF(B9="","",IF(B9+1&gt;Comparateur!$C$47,"",B9+1))</f>
        <v>3</v>
      </c>
      <c r="C10" s="18">
        <f>IF(OR($B10="",Comparateur!C$17&lt;&gt;"OK",$B10&gt;Comparateur!C$11),"",ROUND(F9*Comparateur!C$10/12,2))</f>
        <v>485.39</v>
      </c>
      <c r="D10" s="18">
        <f>IF(C10="","",IF($B10=Comparateur!C$11,F9,Comparateur!C$20-C10))</f>
        <v>391.78</v>
      </c>
      <c r="E10" s="18">
        <f>IF(C10="","",ROUND(IF(Comparateur!C$12=Paramètres!$B$36,Comparateur!C$9,F9)*Comparateur!C$13/12,2))</f>
        <v>63</v>
      </c>
      <c r="F10" s="31">
        <f t="shared" si="0"/>
        <v>178827.82</v>
      </c>
      <c r="G10" s="18">
        <f t="shared" si="1"/>
        <v>940.17</v>
      </c>
      <c r="H10" s="18">
        <f t="shared" si="2"/>
        <v>877.17</v>
      </c>
      <c r="I10" s="18">
        <f>IF(OR($B10="",Comparateur!D$17&lt;&gt;"OK",$B10&gt;Comparateur!D$11),"",ROUND(L9*Comparateur!D$10/12,2))</f>
        <v>507.84</v>
      </c>
      <c r="J10" s="18">
        <f>IF(I10="","",IF($B10=Comparateur!D$11,L9,Comparateur!D$20-I10))</f>
        <v>383.66</v>
      </c>
      <c r="K10" s="18">
        <f>IF(I10="","",ROUND(IF(Comparateur!D$12=Paramètres!$B$36,Comparateur!D$9,L9)*Comparateur!D$13/12,2))</f>
        <v>26.89</v>
      </c>
      <c r="L10" s="31">
        <f t="shared" si="3"/>
        <v>178852.26</v>
      </c>
      <c r="M10" s="18">
        <f t="shared" si="4"/>
        <v>918.39</v>
      </c>
      <c r="N10" s="18">
        <f t="shared" si="5"/>
        <v>891.5</v>
      </c>
      <c r="O10" s="18">
        <f>IF(OR($B10="",Comparateur!E$17&lt;&gt;"OK",$B10&gt;Comparateur!E$11),"",ROUND(R9*Comparateur!E$10/12,2))</f>
        <v>530.29</v>
      </c>
      <c r="P10" s="18">
        <f>IF(O10="","",IF($B10=Comparateur!E$11,R9,Comparateur!E$20-O10))</f>
        <v>375.67000000000007</v>
      </c>
      <c r="Q10" s="18">
        <f>IF(O10="","",ROUND(IF(Comparateur!E$12=Paramètres!$B$36,Comparateur!E$9,R9)*Comparateur!E$13/12,2))</f>
        <v>30</v>
      </c>
      <c r="R10" s="31">
        <f t="shared" si="6"/>
        <v>178876.31</v>
      </c>
      <c r="S10" s="18">
        <f t="shared" si="7"/>
        <v>935.96</v>
      </c>
      <c r="T10" s="18">
        <f t="shared" si="8"/>
        <v>905.96</v>
      </c>
    </row>
    <row r="11" spans="2:20" x14ac:dyDescent="0.35">
      <c r="B11" s="29">
        <f>IF(B10="","",IF(B10+1&gt;Comparateur!$C$47,"",B10+1))</f>
        <v>4</v>
      </c>
      <c r="C11" s="18">
        <f>IF(OR($B11="",Comparateur!C$17&lt;&gt;"OK",$B11&gt;Comparateur!C$11),"",ROUND(F10*Comparateur!C$10/12,2))</f>
        <v>484.33</v>
      </c>
      <c r="D11" s="18">
        <f>IF(C11="","",IF($B11=Comparateur!C$11,F10,Comparateur!C$20-C11))</f>
        <v>392.84</v>
      </c>
      <c r="E11" s="18">
        <f>IF(C11="","",ROUND(IF(Comparateur!C$12=Paramètres!$B$36,Comparateur!C$9,F10)*Comparateur!C$13/12,2))</f>
        <v>63</v>
      </c>
      <c r="F11" s="31">
        <f t="shared" si="0"/>
        <v>178434.98</v>
      </c>
      <c r="G11" s="18">
        <f t="shared" si="1"/>
        <v>940.17</v>
      </c>
      <c r="H11" s="18">
        <f t="shared" si="2"/>
        <v>877.17</v>
      </c>
      <c r="I11" s="18">
        <f>IF(OR($B11="",Comparateur!D$17&lt;&gt;"OK",$B11&gt;Comparateur!D$11),"",ROUND(L10*Comparateur!D$10/12,2))</f>
        <v>506.75</v>
      </c>
      <c r="J11" s="18">
        <f>IF(I11="","",IF($B11=Comparateur!D$11,L10,Comparateur!D$20-I11))</f>
        <v>384.75</v>
      </c>
      <c r="K11" s="18">
        <f>IF(I11="","",ROUND(IF(Comparateur!D$12=Paramètres!$B$36,Comparateur!D$9,L10)*Comparateur!D$13/12,2))</f>
        <v>26.83</v>
      </c>
      <c r="L11" s="31">
        <f t="shared" si="3"/>
        <v>178467.51</v>
      </c>
      <c r="M11" s="18">
        <f t="shared" si="4"/>
        <v>918.33</v>
      </c>
      <c r="N11" s="18">
        <f t="shared" si="5"/>
        <v>891.5</v>
      </c>
      <c r="O11" s="18">
        <f>IF(OR($B11="",Comparateur!E$17&lt;&gt;"OK",$B11&gt;Comparateur!E$11),"",ROUND(R10*Comparateur!E$10/12,2))</f>
        <v>529.17999999999995</v>
      </c>
      <c r="P11" s="18">
        <f>IF(O11="","",IF($B11=Comparateur!E$11,R10,Comparateur!E$20-O11))</f>
        <v>376.78000000000009</v>
      </c>
      <c r="Q11" s="18">
        <f>IF(O11="","",ROUND(IF(Comparateur!E$12=Paramètres!$B$36,Comparateur!E$9,R10)*Comparateur!E$13/12,2))</f>
        <v>30</v>
      </c>
      <c r="R11" s="31">
        <f t="shared" si="6"/>
        <v>178499.53</v>
      </c>
      <c r="S11" s="18">
        <f t="shared" si="7"/>
        <v>935.96</v>
      </c>
      <c r="T11" s="18">
        <f t="shared" si="8"/>
        <v>905.96</v>
      </c>
    </row>
    <row r="12" spans="2:20" x14ac:dyDescent="0.35">
      <c r="B12" s="29">
        <f>IF(B11="","",IF(B11+1&gt;Comparateur!$C$47,"",B11+1))</f>
        <v>5</v>
      </c>
      <c r="C12" s="18">
        <f>IF(OR($B12="",Comparateur!C$17&lt;&gt;"OK",$B12&gt;Comparateur!C$11),"",ROUND(F11*Comparateur!C$10/12,2))</f>
        <v>483.26</v>
      </c>
      <c r="D12" s="18">
        <f>IF(C12="","",IF($B12=Comparateur!C$11,F11,Comparateur!C$20-C12))</f>
        <v>393.90999999999997</v>
      </c>
      <c r="E12" s="18">
        <f>IF(C12="","",ROUND(IF(Comparateur!C$12=Paramètres!$B$36,Comparateur!C$9,F11)*Comparateur!C$13/12,2))</f>
        <v>63</v>
      </c>
      <c r="F12" s="31">
        <f t="shared" si="0"/>
        <v>178041.07</v>
      </c>
      <c r="G12" s="18">
        <f t="shared" si="1"/>
        <v>940.17</v>
      </c>
      <c r="H12" s="18">
        <f t="shared" si="2"/>
        <v>877.17</v>
      </c>
      <c r="I12" s="18">
        <f>IF(OR($B12="",Comparateur!D$17&lt;&gt;"OK",$B12&gt;Comparateur!D$11),"",ROUND(L11*Comparateur!D$10/12,2))</f>
        <v>505.66</v>
      </c>
      <c r="J12" s="18">
        <f>IF(I12="","",IF($B12=Comparateur!D$11,L11,Comparateur!D$20-I12))</f>
        <v>385.84</v>
      </c>
      <c r="K12" s="18">
        <f>IF(I12="","",ROUND(IF(Comparateur!D$12=Paramètres!$B$36,Comparateur!D$9,L11)*Comparateur!D$13/12,2))</f>
        <v>26.77</v>
      </c>
      <c r="L12" s="31">
        <f t="shared" si="3"/>
        <v>178081.67</v>
      </c>
      <c r="M12" s="18">
        <f t="shared" si="4"/>
        <v>918.27</v>
      </c>
      <c r="N12" s="18">
        <f t="shared" si="5"/>
        <v>891.5</v>
      </c>
      <c r="O12" s="18">
        <f>IF(OR($B12="",Comparateur!E$17&lt;&gt;"OK",$B12&gt;Comparateur!E$11),"",ROUND(R11*Comparateur!E$10/12,2))</f>
        <v>528.05999999999995</v>
      </c>
      <c r="P12" s="18">
        <f>IF(O12="","",IF($B12=Comparateur!E$11,R11,Comparateur!E$20-O12))</f>
        <v>377.90000000000009</v>
      </c>
      <c r="Q12" s="18">
        <f>IF(O12="","",ROUND(IF(Comparateur!E$12=Paramètres!$B$36,Comparateur!E$9,R11)*Comparateur!E$13/12,2))</f>
        <v>30</v>
      </c>
      <c r="R12" s="31">
        <f t="shared" si="6"/>
        <v>178121.63</v>
      </c>
      <c r="S12" s="18">
        <f t="shared" si="7"/>
        <v>935.96</v>
      </c>
      <c r="T12" s="18">
        <f t="shared" si="8"/>
        <v>905.96</v>
      </c>
    </row>
    <row r="13" spans="2:20" x14ac:dyDescent="0.35">
      <c r="B13" s="29">
        <f>IF(B12="","",IF(B12+1&gt;Comparateur!$C$47,"",B12+1))</f>
        <v>6</v>
      </c>
      <c r="C13" s="18">
        <f>IF(OR($B13="",Comparateur!C$17&lt;&gt;"OK",$B13&gt;Comparateur!C$11),"",ROUND(F12*Comparateur!C$10/12,2))</f>
        <v>482.19</v>
      </c>
      <c r="D13" s="18">
        <f>IF(C13="","",IF($B13=Comparateur!C$11,F12,Comparateur!C$20-C13))</f>
        <v>394.97999999999996</v>
      </c>
      <c r="E13" s="18">
        <f>IF(C13="","",ROUND(IF(Comparateur!C$12=Paramètres!$B$36,Comparateur!C$9,F12)*Comparateur!C$13/12,2))</f>
        <v>63</v>
      </c>
      <c r="F13" s="31">
        <f t="shared" si="0"/>
        <v>177646.09</v>
      </c>
      <c r="G13" s="18">
        <f t="shared" si="1"/>
        <v>940.17</v>
      </c>
      <c r="H13" s="18">
        <f t="shared" si="2"/>
        <v>877.17</v>
      </c>
      <c r="I13" s="18">
        <f>IF(OR($B13="",Comparateur!D$17&lt;&gt;"OK",$B13&gt;Comparateur!D$11),"",ROUND(L12*Comparateur!D$10/12,2))</f>
        <v>504.56</v>
      </c>
      <c r="J13" s="18">
        <f>IF(I13="","",IF($B13=Comparateur!D$11,L12,Comparateur!D$20-I13))</f>
        <v>386.94</v>
      </c>
      <c r="K13" s="18">
        <f>IF(I13="","",ROUND(IF(Comparateur!D$12=Paramètres!$B$36,Comparateur!D$9,L12)*Comparateur!D$13/12,2))</f>
        <v>26.71</v>
      </c>
      <c r="L13" s="31">
        <f t="shared" si="3"/>
        <v>177694.73</v>
      </c>
      <c r="M13" s="18">
        <f t="shared" si="4"/>
        <v>918.21</v>
      </c>
      <c r="N13" s="18">
        <f t="shared" si="5"/>
        <v>891.5</v>
      </c>
      <c r="O13" s="18">
        <f>IF(OR($B13="",Comparateur!E$17&lt;&gt;"OK",$B13&gt;Comparateur!E$11),"",ROUND(R12*Comparateur!E$10/12,2))</f>
        <v>526.94000000000005</v>
      </c>
      <c r="P13" s="18">
        <f>IF(O13="","",IF($B13=Comparateur!E$11,R12,Comparateur!E$20-O13))</f>
        <v>379.02</v>
      </c>
      <c r="Q13" s="18">
        <f>IF(O13="","",ROUND(IF(Comparateur!E$12=Paramètres!$B$36,Comparateur!E$9,R12)*Comparateur!E$13/12,2))</f>
        <v>30</v>
      </c>
      <c r="R13" s="31">
        <f t="shared" si="6"/>
        <v>177742.61</v>
      </c>
      <c r="S13" s="18">
        <f t="shared" si="7"/>
        <v>935.96</v>
      </c>
      <c r="T13" s="18">
        <f t="shared" si="8"/>
        <v>905.96</v>
      </c>
    </row>
    <row r="14" spans="2:20" x14ac:dyDescent="0.35">
      <c r="B14" s="29">
        <f>IF(B13="","",IF(B13+1&gt;Comparateur!$C$47,"",B13+1))</f>
        <v>7</v>
      </c>
      <c r="C14" s="18">
        <f>IF(OR($B14="",Comparateur!C$17&lt;&gt;"OK",$B14&gt;Comparateur!C$11),"",ROUND(F13*Comparateur!C$10/12,2))</f>
        <v>481.12</v>
      </c>
      <c r="D14" s="18">
        <f>IF(C14="","",IF($B14=Comparateur!C$11,F13,Comparateur!C$20-C14))</f>
        <v>396.04999999999995</v>
      </c>
      <c r="E14" s="18">
        <f>IF(C14="","",ROUND(IF(Comparateur!C$12=Paramètres!$B$36,Comparateur!C$9,F13)*Comparateur!C$13/12,2))</f>
        <v>63</v>
      </c>
      <c r="F14" s="31">
        <f t="shared" si="0"/>
        <v>177250.04</v>
      </c>
      <c r="G14" s="18">
        <f t="shared" si="1"/>
        <v>940.17</v>
      </c>
      <c r="H14" s="18">
        <f t="shared" si="2"/>
        <v>877.17</v>
      </c>
      <c r="I14" s="18">
        <f>IF(OR($B14="",Comparateur!D$17&lt;&gt;"OK",$B14&gt;Comparateur!D$11),"",ROUND(L13*Comparateur!D$10/12,2))</f>
        <v>503.47</v>
      </c>
      <c r="J14" s="18">
        <f>IF(I14="","",IF($B14=Comparateur!D$11,L13,Comparateur!D$20-I14))</f>
        <v>388.03</v>
      </c>
      <c r="K14" s="18">
        <f>IF(I14="","",ROUND(IF(Comparateur!D$12=Paramètres!$B$36,Comparateur!D$9,L13)*Comparateur!D$13/12,2))</f>
        <v>26.65</v>
      </c>
      <c r="L14" s="31">
        <f t="shared" si="3"/>
        <v>177306.7</v>
      </c>
      <c r="M14" s="18">
        <f t="shared" si="4"/>
        <v>918.15</v>
      </c>
      <c r="N14" s="18">
        <f t="shared" si="5"/>
        <v>891.5</v>
      </c>
      <c r="O14" s="18">
        <f>IF(OR($B14="",Comparateur!E$17&lt;&gt;"OK",$B14&gt;Comparateur!E$11),"",ROUND(R13*Comparateur!E$10/12,2))</f>
        <v>525.82000000000005</v>
      </c>
      <c r="P14" s="18">
        <f>IF(O14="","",IF($B14=Comparateur!E$11,R13,Comparateur!E$20-O14))</f>
        <v>380.14</v>
      </c>
      <c r="Q14" s="18">
        <f>IF(O14="","",ROUND(IF(Comparateur!E$12=Paramètres!$B$36,Comparateur!E$9,R13)*Comparateur!E$13/12,2))</f>
        <v>30</v>
      </c>
      <c r="R14" s="31">
        <f t="shared" si="6"/>
        <v>177362.47</v>
      </c>
      <c r="S14" s="18">
        <f t="shared" si="7"/>
        <v>935.96</v>
      </c>
      <c r="T14" s="18">
        <f t="shared" si="8"/>
        <v>905.96</v>
      </c>
    </row>
    <row r="15" spans="2:20" x14ac:dyDescent="0.35">
      <c r="B15" s="29">
        <f>IF(B14="","",IF(B14+1&gt;Comparateur!$C$47,"",B14+1))</f>
        <v>8</v>
      </c>
      <c r="C15" s="18">
        <f>IF(OR($B15="",Comparateur!C$17&lt;&gt;"OK",$B15&gt;Comparateur!C$11),"",ROUND(F14*Comparateur!C$10/12,2))</f>
        <v>480.05</v>
      </c>
      <c r="D15" s="18">
        <f>IF(C15="","",IF($B15=Comparateur!C$11,F14,Comparateur!C$20-C15))</f>
        <v>397.11999999999995</v>
      </c>
      <c r="E15" s="18">
        <f>IF(C15="","",ROUND(IF(Comparateur!C$12=Paramètres!$B$36,Comparateur!C$9,F14)*Comparateur!C$13/12,2))</f>
        <v>63</v>
      </c>
      <c r="F15" s="31">
        <f t="shared" si="0"/>
        <v>176852.92</v>
      </c>
      <c r="G15" s="18">
        <f t="shared" si="1"/>
        <v>940.17</v>
      </c>
      <c r="H15" s="18">
        <f t="shared" si="2"/>
        <v>877.17</v>
      </c>
      <c r="I15" s="18">
        <f>IF(OR($B15="",Comparateur!D$17&lt;&gt;"OK",$B15&gt;Comparateur!D$11),"",ROUND(L14*Comparateur!D$10/12,2))</f>
        <v>502.37</v>
      </c>
      <c r="J15" s="18">
        <f>IF(I15="","",IF($B15=Comparateur!D$11,L14,Comparateur!D$20-I15))</f>
        <v>389.13</v>
      </c>
      <c r="K15" s="18">
        <f>IF(I15="","",ROUND(IF(Comparateur!D$12=Paramètres!$B$36,Comparateur!D$9,L14)*Comparateur!D$13/12,2))</f>
        <v>26.6</v>
      </c>
      <c r="L15" s="31">
        <f t="shared" si="3"/>
        <v>176917.57</v>
      </c>
      <c r="M15" s="18">
        <f t="shared" si="4"/>
        <v>918.1</v>
      </c>
      <c r="N15" s="18">
        <f t="shared" si="5"/>
        <v>891.5</v>
      </c>
      <c r="O15" s="18">
        <f>IF(OR($B15="",Comparateur!E$17&lt;&gt;"OK",$B15&gt;Comparateur!E$11),"",ROUND(R14*Comparateur!E$10/12,2))</f>
        <v>524.70000000000005</v>
      </c>
      <c r="P15" s="18">
        <f>IF(O15="","",IF($B15=Comparateur!E$11,R14,Comparateur!E$20-O15))</f>
        <v>381.26</v>
      </c>
      <c r="Q15" s="18">
        <f>IF(O15="","",ROUND(IF(Comparateur!E$12=Paramètres!$B$36,Comparateur!E$9,R14)*Comparateur!E$13/12,2))</f>
        <v>30</v>
      </c>
      <c r="R15" s="31">
        <f t="shared" si="6"/>
        <v>176981.21</v>
      </c>
      <c r="S15" s="18">
        <f t="shared" si="7"/>
        <v>935.96</v>
      </c>
      <c r="T15" s="18">
        <f t="shared" si="8"/>
        <v>905.96</v>
      </c>
    </row>
    <row r="16" spans="2:20" x14ac:dyDescent="0.35">
      <c r="B16" s="29">
        <f>IF(B15="","",IF(B15+1&gt;Comparateur!$C$47,"",B15+1))</f>
        <v>9</v>
      </c>
      <c r="C16" s="18">
        <f>IF(OR($B16="",Comparateur!C$17&lt;&gt;"OK",$B16&gt;Comparateur!C$11),"",ROUND(F15*Comparateur!C$10/12,2))</f>
        <v>478.98</v>
      </c>
      <c r="D16" s="18">
        <f>IF(C16="","",IF($B16=Comparateur!C$11,F15,Comparateur!C$20-C16))</f>
        <v>398.18999999999994</v>
      </c>
      <c r="E16" s="18">
        <f>IF(C16="","",ROUND(IF(Comparateur!C$12=Paramètres!$B$36,Comparateur!C$9,F15)*Comparateur!C$13/12,2))</f>
        <v>63</v>
      </c>
      <c r="F16" s="31">
        <f t="shared" si="0"/>
        <v>176454.73</v>
      </c>
      <c r="G16" s="18">
        <f t="shared" si="1"/>
        <v>940.17</v>
      </c>
      <c r="H16" s="18">
        <f t="shared" si="2"/>
        <v>877.17</v>
      </c>
      <c r="I16" s="18">
        <f>IF(OR($B16="",Comparateur!D$17&lt;&gt;"OK",$B16&gt;Comparateur!D$11),"",ROUND(L15*Comparateur!D$10/12,2))</f>
        <v>501.27</v>
      </c>
      <c r="J16" s="18">
        <f>IF(I16="","",IF($B16=Comparateur!D$11,L15,Comparateur!D$20-I16))</f>
        <v>390.23</v>
      </c>
      <c r="K16" s="18">
        <f>IF(I16="","",ROUND(IF(Comparateur!D$12=Paramètres!$B$36,Comparateur!D$9,L15)*Comparateur!D$13/12,2))</f>
        <v>26.54</v>
      </c>
      <c r="L16" s="31">
        <f t="shared" si="3"/>
        <v>176527.34</v>
      </c>
      <c r="M16" s="18">
        <f t="shared" si="4"/>
        <v>918.04</v>
      </c>
      <c r="N16" s="18">
        <f t="shared" si="5"/>
        <v>891.5</v>
      </c>
      <c r="O16" s="18">
        <f>IF(OR($B16="",Comparateur!E$17&lt;&gt;"OK",$B16&gt;Comparateur!E$11),"",ROUND(R15*Comparateur!E$10/12,2))</f>
        <v>523.57000000000005</v>
      </c>
      <c r="P16" s="18">
        <f>IF(O16="","",IF($B16=Comparateur!E$11,R15,Comparateur!E$20-O16))</f>
        <v>382.39</v>
      </c>
      <c r="Q16" s="18">
        <f>IF(O16="","",ROUND(IF(Comparateur!E$12=Paramètres!$B$36,Comparateur!E$9,R15)*Comparateur!E$13/12,2))</f>
        <v>30</v>
      </c>
      <c r="R16" s="31">
        <f t="shared" si="6"/>
        <v>176598.82</v>
      </c>
      <c r="S16" s="18">
        <f t="shared" si="7"/>
        <v>935.96</v>
      </c>
      <c r="T16" s="18">
        <f t="shared" si="8"/>
        <v>905.96</v>
      </c>
    </row>
    <row r="17" spans="2:20" x14ac:dyDescent="0.35">
      <c r="B17" s="29">
        <f>IF(B16="","",IF(B16+1&gt;Comparateur!$C$47,"",B16+1))</f>
        <v>10</v>
      </c>
      <c r="C17" s="18">
        <f>IF(OR($B17="",Comparateur!C$17&lt;&gt;"OK",$B17&gt;Comparateur!C$11),"",ROUND(F16*Comparateur!C$10/12,2))</f>
        <v>477.9</v>
      </c>
      <c r="D17" s="18">
        <f>IF(C17="","",IF($B17=Comparateur!C$11,F16,Comparateur!C$20-C17))</f>
        <v>399.27</v>
      </c>
      <c r="E17" s="18">
        <f>IF(C17="","",ROUND(IF(Comparateur!C$12=Paramètres!$B$36,Comparateur!C$9,F16)*Comparateur!C$13/12,2))</f>
        <v>63</v>
      </c>
      <c r="F17" s="31">
        <f t="shared" si="0"/>
        <v>176055.46</v>
      </c>
      <c r="G17" s="18">
        <f t="shared" si="1"/>
        <v>940.17</v>
      </c>
      <c r="H17" s="18">
        <f t="shared" si="2"/>
        <v>877.17</v>
      </c>
      <c r="I17" s="18">
        <f>IF(OR($B17="",Comparateur!D$17&lt;&gt;"OK",$B17&gt;Comparateur!D$11),"",ROUND(L16*Comparateur!D$10/12,2))</f>
        <v>500.16</v>
      </c>
      <c r="J17" s="18">
        <f>IF(I17="","",IF($B17=Comparateur!D$11,L16,Comparateur!D$20-I17))</f>
        <v>391.34</v>
      </c>
      <c r="K17" s="18">
        <f>IF(I17="","",ROUND(IF(Comparateur!D$12=Paramètres!$B$36,Comparateur!D$9,L16)*Comparateur!D$13/12,2))</f>
        <v>26.48</v>
      </c>
      <c r="L17" s="31">
        <f t="shared" si="3"/>
        <v>176136</v>
      </c>
      <c r="M17" s="18">
        <f t="shared" si="4"/>
        <v>917.98</v>
      </c>
      <c r="N17" s="18">
        <f t="shared" si="5"/>
        <v>891.5</v>
      </c>
      <c r="O17" s="18">
        <f>IF(OR($B17="",Comparateur!E$17&lt;&gt;"OK",$B17&gt;Comparateur!E$11),"",ROUND(R16*Comparateur!E$10/12,2))</f>
        <v>522.44000000000005</v>
      </c>
      <c r="P17" s="18">
        <f>IF(O17="","",IF($B17=Comparateur!E$11,R16,Comparateur!E$20-O17))</f>
        <v>383.52</v>
      </c>
      <c r="Q17" s="18">
        <f>IF(O17="","",ROUND(IF(Comparateur!E$12=Paramètres!$B$36,Comparateur!E$9,R16)*Comparateur!E$13/12,2))</f>
        <v>30</v>
      </c>
      <c r="R17" s="31">
        <f t="shared" si="6"/>
        <v>176215.3</v>
      </c>
      <c r="S17" s="18">
        <f t="shared" si="7"/>
        <v>935.96</v>
      </c>
      <c r="T17" s="18">
        <f t="shared" si="8"/>
        <v>905.96</v>
      </c>
    </row>
    <row r="18" spans="2:20" x14ac:dyDescent="0.35">
      <c r="B18" s="29">
        <f>IF(B17="","",IF(B17+1&gt;Comparateur!$C$47,"",B17+1))</f>
        <v>11</v>
      </c>
      <c r="C18" s="18">
        <f>IF(OR($B18="",Comparateur!C$17&lt;&gt;"OK",$B18&gt;Comparateur!C$11),"",ROUND(F17*Comparateur!C$10/12,2))</f>
        <v>476.82</v>
      </c>
      <c r="D18" s="18">
        <f>IF(C18="","",IF($B18=Comparateur!C$11,F17,Comparateur!C$20-C18))</f>
        <v>400.34999999999997</v>
      </c>
      <c r="E18" s="18">
        <f>IF(C18="","",ROUND(IF(Comparateur!C$12=Paramètres!$B$36,Comparateur!C$9,F17)*Comparateur!C$13/12,2))</f>
        <v>63</v>
      </c>
      <c r="F18" s="31">
        <f t="shared" si="0"/>
        <v>175655.11</v>
      </c>
      <c r="G18" s="18">
        <f t="shared" si="1"/>
        <v>940.17</v>
      </c>
      <c r="H18" s="18">
        <f t="shared" si="2"/>
        <v>877.17</v>
      </c>
      <c r="I18" s="18">
        <f>IF(OR($B18="",Comparateur!D$17&lt;&gt;"OK",$B18&gt;Comparateur!D$11),"",ROUND(L17*Comparateur!D$10/12,2))</f>
        <v>499.05</v>
      </c>
      <c r="J18" s="18">
        <f>IF(I18="","",IF($B18=Comparateur!D$11,L17,Comparateur!D$20-I18))</f>
        <v>392.45</v>
      </c>
      <c r="K18" s="18">
        <f>IF(I18="","",ROUND(IF(Comparateur!D$12=Paramètres!$B$36,Comparateur!D$9,L17)*Comparateur!D$13/12,2))</f>
        <v>26.42</v>
      </c>
      <c r="L18" s="31">
        <f t="shared" si="3"/>
        <v>175743.55</v>
      </c>
      <c r="M18" s="18">
        <f t="shared" si="4"/>
        <v>917.92</v>
      </c>
      <c r="N18" s="18">
        <f t="shared" si="5"/>
        <v>891.5</v>
      </c>
      <c r="O18" s="18">
        <f>IF(OR($B18="",Comparateur!E$17&lt;&gt;"OK",$B18&gt;Comparateur!E$11),"",ROUND(R17*Comparateur!E$10/12,2))</f>
        <v>521.29999999999995</v>
      </c>
      <c r="P18" s="18">
        <f>IF(O18="","",IF($B18=Comparateur!E$11,R17,Comparateur!E$20-O18))</f>
        <v>384.66000000000008</v>
      </c>
      <c r="Q18" s="18">
        <f>IF(O18="","",ROUND(IF(Comparateur!E$12=Paramètres!$B$36,Comparateur!E$9,R17)*Comparateur!E$13/12,2))</f>
        <v>30</v>
      </c>
      <c r="R18" s="31">
        <f t="shared" si="6"/>
        <v>175830.64</v>
      </c>
      <c r="S18" s="18">
        <f t="shared" si="7"/>
        <v>935.96</v>
      </c>
      <c r="T18" s="18">
        <f t="shared" si="8"/>
        <v>905.96</v>
      </c>
    </row>
    <row r="19" spans="2:20" x14ac:dyDescent="0.35">
      <c r="B19" s="29">
        <f>IF(B18="","",IF(B18+1&gt;Comparateur!$C$47,"",B18+1))</f>
        <v>12</v>
      </c>
      <c r="C19" s="18">
        <f>IF(OR($B19="",Comparateur!C$17&lt;&gt;"OK",$B19&gt;Comparateur!C$11),"",ROUND(F18*Comparateur!C$10/12,2))</f>
        <v>475.73</v>
      </c>
      <c r="D19" s="18">
        <f>IF(C19="","",IF($B19=Comparateur!C$11,F18,Comparateur!C$20-C19))</f>
        <v>401.43999999999994</v>
      </c>
      <c r="E19" s="18">
        <f>IF(C19="","",ROUND(IF(Comparateur!C$12=Paramètres!$B$36,Comparateur!C$9,F18)*Comparateur!C$13/12,2))</f>
        <v>63</v>
      </c>
      <c r="F19" s="31">
        <f t="shared" si="0"/>
        <v>175253.67</v>
      </c>
      <c r="G19" s="18">
        <f t="shared" si="1"/>
        <v>940.17</v>
      </c>
      <c r="H19" s="18">
        <f t="shared" si="2"/>
        <v>877.17</v>
      </c>
      <c r="I19" s="18">
        <f>IF(OR($B19="",Comparateur!D$17&lt;&gt;"OK",$B19&gt;Comparateur!D$11),"",ROUND(L18*Comparateur!D$10/12,2))</f>
        <v>497.94</v>
      </c>
      <c r="J19" s="18">
        <f>IF(I19="","",IF($B19=Comparateur!D$11,L18,Comparateur!D$20-I19))</f>
        <v>393.56</v>
      </c>
      <c r="K19" s="18">
        <f>IF(I19="","",ROUND(IF(Comparateur!D$12=Paramètres!$B$36,Comparateur!D$9,L18)*Comparateur!D$13/12,2))</f>
        <v>26.36</v>
      </c>
      <c r="L19" s="31">
        <f t="shared" si="3"/>
        <v>175349.99</v>
      </c>
      <c r="M19" s="18">
        <f t="shared" si="4"/>
        <v>917.86</v>
      </c>
      <c r="N19" s="18">
        <f t="shared" si="5"/>
        <v>891.5</v>
      </c>
      <c r="O19" s="18">
        <f>IF(OR($B19="",Comparateur!E$17&lt;&gt;"OK",$B19&gt;Comparateur!E$11),"",ROUND(R18*Comparateur!E$10/12,2))</f>
        <v>520.16999999999996</v>
      </c>
      <c r="P19" s="18">
        <f>IF(O19="","",IF($B19=Comparateur!E$11,R18,Comparateur!E$20-O19))</f>
        <v>385.79000000000008</v>
      </c>
      <c r="Q19" s="18">
        <f>IF(O19="","",ROUND(IF(Comparateur!E$12=Paramètres!$B$36,Comparateur!E$9,R18)*Comparateur!E$13/12,2))</f>
        <v>30</v>
      </c>
      <c r="R19" s="31">
        <f t="shared" si="6"/>
        <v>175444.85</v>
      </c>
      <c r="S19" s="18">
        <f t="shared" si="7"/>
        <v>935.96</v>
      </c>
      <c r="T19" s="18">
        <f t="shared" si="8"/>
        <v>905.96</v>
      </c>
    </row>
    <row r="20" spans="2:20" x14ac:dyDescent="0.35">
      <c r="B20" s="29">
        <f>IF(B19="","",IF(B19+1&gt;Comparateur!$C$47,"",B19+1))</f>
        <v>13</v>
      </c>
      <c r="C20" s="18">
        <f>IF(OR($B20="",Comparateur!C$17&lt;&gt;"OK",$B20&gt;Comparateur!C$11),"",ROUND(F19*Comparateur!C$10/12,2))</f>
        <v>474.65</v>
      </c>
      <c r="D20" s="18">
        <f>IF(C20="","",IF($B20=Comparateur!C$11,F19,Comparateur!C$20-C20))</f>
        <v>402.52</v>
      </c>
      <c r="E20" s="18">
        <f>IF(C20="","",ROUND(IF(Comparateur!C$12=Paramètres!$B$36,Comparateur!C$9,F19)*Comparateur!C$13/12,2))</f>
        <v>63</v>
      </c>
      <c r="F20" s="31">
        <f t="shared" si="0"/>
        <v>174851.15</v>
      </c>
      <c r="G20" s="18">
        <f t="shared" si="1"/>
        <v>940.17</v>
      </c>
      <c r="H20" s="18">
        <f t="shared" si="2"/>
        <v>877.17</v>
      </c>
      <c r="I20" s="18">
        <f>IF(OR($B20="",Comparateur!D$17&lt;&gt;"OK",$B20&gt;Comparateur!D$11),"",ROUND(L19*Comparateur!D$10/12,2))</f>
        <v>496.82</v>
      </c>
      <c r="J20" s="18">
        <f>IF(I20="","",IF($B20=Comparateur!D$11,L19,Comparateur!D$20-I20))</f>
        <v>394.68</v>
      </c>
      <c r="K20" s="18">
        <f>IF(I20="","",ROUND(IF(Comparateur!D$12=Paramètres!$B$36,Comparateur!D$9,L19)*Comparateur!D$13/12,2))</f>
        <v>26.3</v>
      </c>
      <c r="L20" s="31">
        <f t="shared" si="3"/>
        <v>174955.31</v>
      </c>
      <c r="M20" s="18">
        <f t="shared" si="4"/>
        <v>917.8</v>
      </c>
      <c r="N20" s="18">
        <f t="shared" si="5"/>
        <v>891.5</v>
      </c>
      <c r="O20" s="18">
        <f>IF(OR($B20="",Comparateur!E$17&lt;&gt;"OK",$B20&gt;Comparateur!E$11),"",ROUND(R19*Comparateur!E$10/12,2))</f>
        <v>519.02</v>
      </c>
      <c r="P20" s="18">
        <f>IF(O20="","",IF($B20=Comparateur!E$11,R19,Comparateur!E$20-O20))</f>
        <v>386.94000000000005</v>
      </c>
      <c r="Q20" s="18">
        <f>IF(O20="","",ROUND(IF(Comparateur!E$12=Paramètres!$B$36,Comparateur!E$9,R19)*Comparateur!E$13/12,2))</f>
        <v>30</v>
      </c>
      <c r="R20" s="31">
        <f t="shared" si="6"/>
        <v>175057.91</v>
      </c>
      <c r="S20" s="18">
        <f t="shared" si="7"/>
        <v>935.96</v>
      </c>
      <c r="T20" s="18">
        <f t="shared" si="8"/>
        <v>905.96</v>
      </c>
    </row>
    <row r="21" spans="2:20" x14ac:dyDescent="0.35">
      <c r="B21" s="29">
        <f>IF(B20="","",IF(B20+1&gt;Comparateur!$C$47,"",B20+1))</f>
        <v>14</v>
      </c>
      <c r="C21" s="18">
        <f>IF(OR($B21="",Comparateur!C$17&lt;&gt;"OK",$B21&gt;Comparateur!C$11),"",ROUND(F20*Comparateur!C$10/12,2))</f>
        <v>473.56</v>
      </c>
      <c r="D21" s="18">
        <f>IF(C21="","",IF($B21=Comparateur!C$11,F20,Comparateur!C$20-C21))</f>
        <v>403.60999999999996</v>
      </c>
      <c r="E21" s="18">
        <f>IF(C21="","",ROUND(IF(Comparateur!C$12=Paramètres!$B$36,Comparateur!C$9,F20)*Comparateur!C$13/12,2))</f>
        <v>63</v>
      </c>
      <c r="F21" s="31">
        <f t="shared" si="0"/>
        <v>174447.54</v>
      </c>
      <c r="G21" s="18">
        <f t="shared" si="1"/>
        <v>940.17</v>
      </c>
      <c r="H21" s="18">
        <f t="shared" si="2"/>
        <v>877.17</v>
      </c>
      <c r="I21" s="18">
        <f>IF(OR($B21="",Comparateur!D$17&lt;&gt;"OK",$B21&gt;Comparateur!D$11),"",ROUND(L20*Comparateur!D$10/12,2))</f>
        <v>495.71</v>
      </c>
      <c r="J21" s="18">
        <f>IF(I21="","",IF($B21=Comparateur!D$11,L20,Comparateur!D$20-I21))</f>
        <v>395.79</v>
      </c>
      <c r="K21" s="18">
        <f>IF(I21="","",ROUND(IF(Comparateur!D$12=Paramètres!$B$36,Comparateur!D$9,L20)*Comparateur!D$13/12,2))</f>
        <v>26.24</v>
      </c>
      <c r="L21" s="31">
        <f t="shared" si="3"/>
        <v>174559.52</v>
      </c>
      <c r="M21" s="18">
        <f t="shared" si="4"/>
        <v>917.74</v>
      </c>
      <c r="N21" s="18">
        <f t="shared" si="5"/>
        <v>891.5</v>
      </c>
      <c r="O21" s="18">
        <f>IF(OR($B21="",Comparateur!E$17&lt;&gt;"OK",$B21&gt;Comparateur!E$11),"",ROUND(R20*Comparateur!E$10/12,2))</f>
        <v>517.88</v>
      </c>
      <c r="P21" s="18">
        <f>IF(O21="","",IF($B21=Comparateur!E$11,R20,Comparateur!E$20-O21))</f>
        <v>388.08000000000004</v>
      </c>
      <c r="Q21" s="18">
        <f>IF(O21="","",ROUND(IF(Comparateur!E$12=Paramètres!$B$36,Comparateur!E$9,R20)*Comparateur!E$13/12,2))</f>
        <v>30</v>
      </c>
      <c r="R21" s="31">
        <f t="shared" si="6"/>
        <v>174669.83</v>
      </c>
      <c r="S21" s="18">
        <f t="shared" si="7"/>
        <v>935.96</v>
      </c>
      <c r="T21" s="18">
        <f t="shared" si="8"/>
        <v>905.96</v>
      </c>
    </row>
    <row r="22" spans="2:20" x14ac:dyDescent="0.35">
      <c r="B22" s="29">
        <f>IF(B21="","",IF(B21+1&gt;Comparateur!$C$47,"",B21+1))</f>
        <v>15</v>
      </c>
      <c r="C22" s="18">
        <f>IF(OR($B22="",Comparateur!C$17&lt;&gt;"OK",$B22&gt;Comparateur!C$11),"",ROUND(F21*Comparateur!C$10/12,2))</f>
        <v>472.46</v>
      </c>
      <c r="D22" s="18">
        <f>IF(C22="","",IF($B22=Comparateur!C$11,F21,Comparateur!C$20-C22))</f>
        <v>404.71</v>
      </c>
      <c r="E22" s="18">
        <f>IF(C22="","",ROUND(IF(Comparateur!C$12=Paramètres!$B$36,Comparateur!C$9,F21)*Comparateur!C$13/12,2))</f>
        <v>63</v>
      </c>
      <c r="F22" s="31">
        <f t="shared" si="0"/>
        <v>174042.83</v>
      </c>
      <c r="G22" s="18">
        <f t="shared" si="1"/>
        <v>940.17</v>
      </c>
      <c r="H22" s="18">
        <f t="shared" si="2"/>
        <v>877.17</v>
      </c>
      <c r="I22" s="18">
        <f>IF(OR($B22="",Comparateur!D$17&lt;&gt;"OK",$B22&gt;Comparateur!D$11),"",ROUND(L21*Comparateur!D$10/12,2))</f>
        <v>494.59</v>
      </c>
      <c r="J22" s="18">
        <f>IF(I22="","",IF($B22=Comparateur!D$11,L21,Comparateur!D$20-I22))</f>
        <v>396.91</v>
      </c>
      <c r="K22" s="18">
        <f>IF(I22="","",ROUND(IF(Comparateur!D$12=Paramètres!$B$36,Comparateur!D$9,L21)*Comparateur!D$13/12,2))</f>
        <v>26.18</v>
      </c>
      <c r="L22" s="31">
        <f t="shared" si="3"/>
        <v>174162.61</v>
      </c>
      <c r="M22" s="18">
        <f t="shared" si="4"/>
        <v>917.68</v>
      </c>
      <c r="N22" s="18">
        <f t="shared" si="5"/>
        <v>891.5</v>
      </c>
      <c r="O22" s="18">
        <f>IF(OR($B22="",Comparateur!E$17&lt;&gt;"OK",$B22&gt;Comparateur!E$11),"",ROUND(R21*Comparateur!E$10/12,2))</f>
        <v>516.73</v>
      </c>
      <c r="P22" s="18">
        <f>IF(O22="","",IF($B22=Comparateur!E$11,R21,Comparateur!E$20-O22))</f>
        <v>389.23</v>
      </c>
      <c r="Q22" s="18">
        <f>IF(O22="","",ROUND(IF(Comparateur!E$12=Paramètres!$B$36,Comparateur!E$9,R21)*Comparateur!E$13/12,2))</f>
        <v>30</v>
      </c>
      <c r="R22" s="31">
        <f t="shared" si="6"/>
        <v>174280.6</v>
      </c>
      <c r="S22" s="18">
        <f t="shared" si="7"/>
        <v>935.96</v>
      </c>
      <c r="T22" s="18">
        <f t="shared" si="8"/>
        <v>905.96</v>
      </c>
    </row>
    <row r="23" spans="2:20" x14ac:dyDescent="0.35">
      <c r="B23" s="29">
        <f>IF(B22="","",IF(B22+1&gt;Comparateur!$C$47,"",B22+1))</f>
        <v>16</v>
      </c>
      <c r="C23" s="18">
        <f>IF(OR($B23="",Comparateur!C$17&lt;&gt;"OK",$B23&gt;Comparateur!C$11),"",ROUND(F22*Comparateur!C$10/12,2))</f>
        <v>471.37</v>
      </c>
      <c r="D23" s="18">
        <f>IF(C23="","",IF($B23=Comparateur!C$11,F22,Comparateur!C$20-C23))</f>
        <v>405.79999999999995</v>
      </c>
      <c r="E23" s="18">
        <f>IF(C23="","",ROUND(IF(Comparateur!C$12=Paramètres!$B$36,Comparateur!C$9,F22)*Comparateur!C$13/12,2))</f>
        <v>63</v>
      </c>
      <c r="F23" s="31">
        <f t="shared" si="0"/>
        <v>173637.03</v>
      </c>
      <c r="G23" s="18">
        <f t="shared" si="1"/>
        <v>940.17</v>
      </c>
      <c r="H23" s="18">
        <f t="shared" si="2"/>
        <v>877.17</v>
      </c>
      <c r="I23" s="18">
        <f>IF(OR($B23="",Comparateur!D$17&lt;&gt;"OK",$B23&gt;Comparateur!D$11),"",ROUND(L22*Comparateur!D$10/12,2))</f>
        <v>493.46</v>
      </c>
      <c r="J23" s="18">
        <f>IF(I23="","",IF($B23=Comparateur!D$11,L22,Comparateur!D$20-I23))</f>
        <v>398.04</v>
      </c>
      <c r="K23" s="18">
        <f>IF(I23="","",ROUND(IF(Comparateur!D$12=Paramètres!$B$36,Comparateur!D$9,L22)*Comparateur!D$13/12,2))</f>
        <v>26.12</v>
      </c>
      <c r="L23" s="31">
        <f t="shared" si="3"/>
        <v>173764.57</v>
      </c>
      <c r="M23" s="18">
        <f t="shared" si="4"/>
        <v>917.62</v>
      </c>
      <c r="N23" s="18">
        <f t="shared" si="5"/>
        <v>891.5</v>
      </c>
      <c r="O23" s="18">
        <f>IF(OR($B23="",Comparateur!E$17&lt;&gt;"OK",$B23&gt;Comparateur!E$11),"",ROUND(R22*Comparateur!E$10/12,2))</f>
        <v>515.58000000000004</v>
      </c>
      <c r="P23" s="18">
        <f>IF(O23="","",IF($B23=Comparateur!E$11,R22,Comparateur!E$20-O23))</f>
        <v>390.38</v>
      </c>
      <c r="Q23" s="18">
        <f>IF(O23="","",ROUND(IF(Comparateur!E$12=Paramètres!$B$36,Comparateur!E$9,R22)*Comparateur!E$13/12,2))</f>
        <v>30</v>
      </c>
      <c r="R23" s="31">
        <f t="shared" si="6"/>
        <v>173890.22</v>
      </c>
      <c r="S23" s="18">
        <f t="shared" si="7"/>
        <v>935.96</v>
      </c>
      <c r="T23" s="18">
        <f t="shared" si="8"/>
        <v>905.96</v>
      </c>
    </row>
    <row r="24" spans="2:20" x14ac:dyDescent="0.35">
      <c r="B24" s="29">
        <f>IF(B23="","",IF(B23+1&gt;Comparateur!$C$47,"",B23+1))</f>
        <v>17</v>
      </c>
      <c r="C24" s="18">
        <f>IF(OR($B24="",Comparateur!C$17&lt;&gt;"OK",$B24&gt;Comparateur!C$11),"",ROUND(F23*Comparateur!C$10/12,2))</f>
        <v>470.27</v>
      </c>
      <c r="D24" s="18">
        <f>IF(C24="","",IF($B24=Comparateur!C$11,F23,Comparateur!C$20-C24))</f>
        <v>406.9</v>
      </c>
      <c r="E24" s="18">
        <f>IF(C24="","",ROUND(IF(Comparateur!C$12=Paramètres!$B$36,Comparateur!C$9,F23)*Comparateur!C$13/12,2))</f>
        <v>63</v>
      </c>
      <c r="F24" s="31">
        <f t="shared" si="0"/>
        <v>173230.13</v>
      </c>
      <c r="G24" s="18">
        <f t="shared" si="1"/>
        <v>940.17</v>
      </c>
      <c r="H24" s="18">
        <f t="shared" si="2"/>
        <v>877.17</v>
      </c>
      <c r="I24" s="18">
        <f>IF(OR($B24="",Comparateur!D$17&lt;&gt;"OK",$B24&gt;Comparateur!D$11),"",ROUND(L23*Comparateur!D$10/12,2))</f>
        <v>492.33</v>
      </c>
      <c r="J24" s="18">
        <f>IF(I24="","",IF($B24=Comparateur!D$11,L23,Comparateur!D$20-I24))</f>
        <v>399.17</v>
      </c>
      <c r="K24" s="18">
        <f>IF(I24="","",ROUND(IF(Comparateur!D$12=Paramètres!$B$36,Comparateur!D$9,L23)*Comparateur!D$13/12,2))</f>
        <v>26.06</v>
      </c>
      <c r="L24" s="31">
        <f t="shared" si="3"/>
        <v>173365.4</v>
      </c>
      <c r="M24" s="18">
        <f t="shared" si="4"/>
        <v>917.56</v>
      </c>
      <c r="N24" s="18">
        <f t="shared" si="5"/>
        <v>891.5</v>
      </c>
      <c r="O24" s="18">
        <f>IF(OR($B24="",Comparateur!E$17&lt;&gt;"OK",$B24&gt;Comparateur!E$11),"",ROUND(R23*Comparateur!E$10/12,2))</f>
        <v>514.42999999999995</v>
      </c>
      <c r="P24" s="18">
        <f>IF(O24="","",IF($B24=Comparateur!E$11,R23,Comparateur!E$20-O24))</f>
        <v>391.53000000000009</v>
      </c>
      <c r="Q24" s="18">
        <f>IF(O24="","",ROUND(IF(Comparateur!E$12=Paramètres!$B$36,Comparateur!E$9,R23)*Comparateur!E$13/12,2))</f>
        <v>30</v>
      </c>
      <c r="R24" s="31">
        <f t="shared" si="6"/>
        <v>173498.69</v>
      </c>
      <c r="S24" s="18">
        <f t="shared" si="7"/>
        <v>935.96</v>
      </c>
      <c r="T24" s="18">
        <f t="shared" si="8"/>
        <v>905.96</v>
      </c>
    </row>
    <row r="25" spans="2:20" x14ac:dyDescent="0.35">
      <c r="B25" s="29">
        <f>IF(B24="","",IF(B24+1&gt;Comparateur!$C$47,"",B24+1))</f>
        <v>18</v>
      </c>
      <c r="C25" s="18">
        <f>IF(OR($B25="",Comparateur!C$17&lt;&gt;"OK",$B25&gt;Comparateur!C$11),"",ROUND(F24*Comparateur!C$10/12,2))</f>
        <v>469.16</v>
      </c>
      <c r="D25" s="18">
        <f>IF(C25="","",IF($B25=Comparateur!C$11,F24,Comparateur!C$20-C25))</f>
        <v>408.00999999999993</v>
      </c>
      <c r="E25" s="18">
        <f>IF(C25="","",ROUND(IF(Comparateur!C$12=Paramètres!$B$36,Comparateur!C$9,F24)*Comparateur!C$13/12,2))</f>
        <v>63</v>
      </c>
      <c r="F25" s="31">
        <f t="shared" si="0"/>
        <v>172822.12</v>
      </c>
      <c r="G25" s="18">
        <f t="shared" si="1"/>
        <v>940.17</v>
      </c>
      <c r="H25" s="18">
        <f t="shared" si="2"/>
        <v>877.17</v>
      </c>
      <c r="I25" s="18">
        <f>IF(OR($B25="",Comparateur!D$17&lt;&gt;"OK",$B25&gt;Comparateur!D$11),"",ROUND(L24*Comparateur!D$10/12,2))</f>
        <v>491.2</v>
      </c>
      <c r="J25" s="18">
        <f>IF(I25="","",IF($B25=Comparateur!D$11,L24,Comparateur!D$20-I25))</f>
        <v>400.3</v>
      </c>
      <c r="K25" s="18">
        <f>IF(I25="","",ROUND(IF(Comparateur!D$12=Paramètres!$B$36,Comparateur!D$9,L24)*Comparateur!D$13/12,2))</f>
        <v>26</v>
      </c>
      <c r="L25" s="31">
        <f t="shared" si="3"/>
        <v>172965.1</v>
      </c>
      <c r="M25" s="18">
        <f t="shared" si="4"/>
        <v>917.5</v>
      </c>
      <c r="N25" s="18">
        <f t="shared" si="5"/>
        <v>891.5</v>
      </c>
      <c r="O25" s="18">
        <f>IF(OR($B25="",Comparateur!E$17&lt;&gt;"OK",$B25&gt;Comparateur!E$11),"",ROUND(R24*Comparateur!E$10/12,2))</f>
        <v>513.27</v>
      </c>
      <c r="P25" s="18">
        <f>IF(O25="","",IF($B25=Comparateur!E$11,R24,Comparateur!E$20-O25))</f>
        <v>392.69000000000005</v>
      </c>
      <c r="Q25" s="18">
        <f>IF(O25="","",ROUND(IF(Comparateur!E$12=Paramètres!$B$36,Comparateur!E$9,R24)*Comparateur!E$13/12,2))</f>
        <v>30</v>
      </c>
      <c r="R25" s="31">
        <f t="shared" si="6"/>
        <v>173106</v>
      </c>
      <c r="S25" s="18">
        <f t="shared" si="7"/>
        <v>935.96</v>
      </c>
      <c r="T25" s="18">
        <f t="shared" si="8"/>
        <v>905.96</v>
      </c>
    </row>
    <row r="26" spans="2:20" x14ac:dyDescent="0.35">
      <c r="B26" s="29">
        <f>IF(B25="","",IF(B25+1&gt;Comparateur!$C$47,"",B25+1))</f>
        <v>19</v>
      </c>
      <c r="C26" s="18">
        <f>IF(OR($B26="",Comparateur!C$17&lt;&gt;"OK",$B26&gt;Comparateur!C$11),"",ROUND(F25*Comparateur!C$10/12,2))</f>
        <v>468.06</v>
      </c>
      <c r="D26" s="18">
        <f>IF(C26="","",IF($B26=Comparateur!C$11,F25,Comparateur!C$20-C26))</f>
        <v>409.10999999999996</v>
      </c>
      <c r="E26" s="18">
        <f>IF(C26="","",ROUND(IF(Comparateur!C$12=Paramètres!$B$36,Comparateur!C$9,F25)*Comparateur!C$13/12,2))</f>
        <v>63</v>
      </c>
      <c r="F26" s="31">
        <f t="shared" si="0"/>
        <v>172413.01</v>
      </c>
      <c r="G26" s="18">
        <f t="shared" si="1"/>
        <v>940.17</v>
      </c>
      <c r="H26" s="18">
        <f t="shared" si="2"/>
        <v>877.17</v>
      </c>
      <c r="I26" s="18">
        <f>IF(OR($B26="",Comparateur!D$17&lt;&gt;"OK",$B26&gt;Comparateur!D$11),"",ROUND(L25*Comparateur!D$10/12,2))</f>
        <v>490.07</v>
      </c>
      <c r="J26" s="18">
        <f>IF(I26="","",IF($B26=Comparateur!D$11,L25,Comparateur!D$20-I26))</f>
        <v>401.43</v>
      </c>
      <c r="K26" s="18">
        <f>IF(I26="","",ROUND(IF(Comparateur!D$12=Paramètres!$B$36,Comparateur!D$9,L25)*Comparateur!D$13/12,2))</f>
        <v>25.94</v>
      </c>
      <c r="L26" s="31">
        <f t="shared" si="3"/>
        <v>172563.67</v>
      </c>
      <c r="M26" s="18">
        <f t="shared" si="4"/>
        <v>917.44</v>
      </c>
      <c r="N26" s="18">
        <f t="shared" si="5"/>
        <v>891.5</v>
      </c>
      <c r="O26" s="18">
        <f>IF(OR($B26="",Comparateur!E$17&lt;&gt;"OK",$B26&gt;Comparateur!E$11),"",ROUND(R25*Comparateur!E$10/12,2))</f>
        <v>512.11</v>
      </c>
      <c r="P26" s="18">
        <f>IF(O26="","",IF($B26=Comparateur!E$11,R25,Comparateur!E$20-O26))</f>
        <v>393.85</v>
      </c>
      <c r="Q26" s="18">
        <f>IF(O26="","",ROUND(IF(Comparateur!E$12=Paramètres!$B$36,Comparateur!E$9,R25)*Comparateur!E$13/12,2))</f>
        <v>30</v>
      </c>
      <c r="R26" s="31">
        <f t="shared" si="6"/>
        <v>172712.15</v>
      </c>
      <c r="S26" s="18">
        <f t="shared" si="7"/>
        <v>935.96</v>
      </c>
      <c r="T26" s="18">
        <f t="shared" si="8"/>
        <v>905.96</v>
      </c>
    </row>
    <row r="27" spans="2:20" x14ac:dyDescent="0.35">
      <c r="B27" s="29">
        <f>IF(B26="","",IF(B26+1&gt;Comparateur!$C$47,"",B26+1))</f>
        <v>20</v>
      </c>
      <c r="C27" s="18">
        <f>IF(OR($B27="",Comparateur!C$17&lt;&gt;"OK",$B27&gt;Comparateur!C$11),"",ROUND(F26*Comparateur!C$10/12,2))</f>
        <v>466.95</v>
      </c>
      <c r="D27" s="18">
        <f>IF(C27="","",IF($B27=Comparateur!C$11,F26,Comparateur!C$20-C27))</f>
        <v>410.21999999999997</v>
      </c>
      <c r="E27" s="18">
        <f>IF(C27="","",ROUND(IF(Comparateur!C$12=Paramètres!$B$36,Comparateur!C$9,F26)*Comparateur!C$13/12,2))</f>
        <v>63</v>
      </c>
      <c r="F27" s="31">
        <f t="shared" si="0"/>
        <v>172002.79</v>
      </c>
      <c r="G27" s="18">
        <f t="shared" si="1"/>
        <v>940.17</v>
      </c>
      <c r="H27" s="18">
        <f t="shared" si="2"/>
        <v>877.17</v>
      </c>
      <c r="I27" s="18">
        <f>IF(OR($B27="",Comparateur!D$17&lt;&gt;"OK",$B27&gt;Comparateur!D$11),"",ROUND(L26*Comparateur!D$10/12,2))</f>
        <v>488.93</v>
      </c>
      <c r="J27" s="18">
        <f>IF(I27="","",IF($B27=Comparateur!D$11,L26,Comparateur!D$20-I27))</f>
        <v>402.57</v>
      </c>
      <c r="K27" s="18">
        <f>IF(I27="","",ROUND(IF(Comparateur!D$12=Paramètres!$B$36,Comparateur!D$9,L26)*Comparateur!D$13/12,2))</f>
        <v>25.88</v>
      </c>
      <c r="L27" s="31">
        <f t="shared" si="3"/>
        <v>172161.1</v>
      </c>
      <c r="M27" s="18">
        <f t="shared" si="4"/>
        <v>917.38</v>
      </c>
      <c r="N27" s="18">
        <f t="shared" si="5"/>
        <v>891.5</v>
      </c>
      <c r="O27" s="18">
        <f>IF(OR($B27="",Comparateur!E$17&lt;&gt;"OK",$B27&gt;Comparateur!E$11),"",ROUND(R26*Comparateur!E$10/12,2))</f>
        <v>510.94</v>
      </c>
      <c r="P27" s="18">
        <f>IF(O27="","",IF($B27=Comparateur!E$11,R26,Comparateur!E$20-O27))</f>
        <v>395.02000000000004</v>
      </c>
      <c r="Q27" s="18">
        <f>IF(O27="","",ROUND(IF(Comparateur!E$12=Paramètres!$B$36,Comparateur!E$9,R26)*Comparateur!E$13/12,2))</f>
        <v>30</v>
      </c>
      <c r="R27" s="31">
        <f t="shared" si="6"/>
        <v>172317.13</v>
      </c>
      <c r="S27" s="18">
        <f t="shared" si="7"/>
        <v>935.96</v>
      </c>
      <c r="T27" s="18">
        <f t="shared" si="8"/>
        <v>905.96</v>
      </c>
    </row>
    <row r="28" spans="2:20" x14ac:dyDescent="0.35">
      <c r="B28" s="29">
        <f>IF(B27="","",IF(B27+1&gt;Comparateur!$C$47,"",B27+1))</f>
        <v>21</v>
      </c>
      <c r="C28" s="18">
        <f>IF(OR($B28="",Comparateur!C$17&lt;&gt;"OK",$B28&gt;Comparateur!C$11),"",ROUND(F27*Comparateur!C$10/12,2))</f>
        <v>465.84</v>
      </c>
      <c r="D28" s="18">
        <f>IF(C28="","",IF($B28=Comparateur!C$11,F27,Comparateur!C$20-C28))</f>
        <v>411.33</v>
      </c>
      <c r="E28" s="18">
        <f>IF(C28="","",ROUND(IF(Comparateur!C$12=Paramètres!$B$36,Comparateur!C$9,F27)*Comparateur!C$13/12,2))</f>
        <v>63</v>
      </c>
      <c r="F28" s="31">
        <f t="shared" si="0"/>
        <v>171591.46</v>
      </c>
      <c r="G28" s="18">
        <f t="shared" si="1"/>
        <v>940.17</v>
      </c>
      <c r="H28" s="18">
        <f t="shared" si="2"/>
        <v>877.17</v>
      </c>
      <c r="I28" s="18">
        <f>IF(OR($B28="",Comparateur!D$17&lt;&gt;"OK",$B28&gt;Comparateur!D$11),"",ROUND(L27*Comparateur!D$10/12,2))</f>
        <v>487.79</v>
      </c>
      <c r="J28" s="18">
        <f>IF(I28="","",IF($B28=Comparateur!D$11,L27,Comparateur!D$20-I28))</f>
        <v>403.71</v>
      </c>
      <c r="K28" s="18">
        <f>IF(I28="","",ROUND(IF(Comparateur!D$12=Paramètres!$B$36,Comparateur!D$9,L27)*Comparateur!D$13/12,2))</f>
        <v>25.82</v>
      </c>
      <c r="L28" s="31">
        <f t="shared" si="3"/>
        <v>171757.39</v>
      </c>
      <c r="M28" s="18">
        <f t="shared" si="4"/>
        <v>917.32</v>
      </c>
      <c r="N28" s="18">
        <f t="shared" si="5"/>
        <v>891.5</v>
      </c>
      <c r="O28" s="18">
        <f>IF(OR($B28="",Comparateur!E$17&lt;&gt;"OK",$B28&gt;Comparateur!E$11),"",ROUND(R27*Comparateur!E$10/12,2))</f>
        <v>509.77</v>
      </c>
      <c r="P28" s="18">
        <f>IF(O28="","",IF($B28=Comparateur!E$11,R27,Comparateur!E$20-O28))</f>
        <v>396.19000000000005</v>
      </c>
      <c r="Q28" s="18">
        <f>IF(O28="","",ROUND(IF(Comparateur!E$12=Paramètres!$B$36,Comparateur!E$9,R27)*Comparateur!E$13/12,2))</f>
        <v>30</v>
      </c>
      <c r="R28" s="31">
        <f t="shared" si="6"/>
        <v>171920.94</v>
      </c>
      <c r="S28" s="18">
        <f t="shared" si="7"/>
        <v>935.96</v>
      </c>
      <c r="T28" s="18">
        <f t="shared" si="8"/>
        <v>905.96</v>
      </c>
    </row>
    <row r="29" spans="2:20" x14ac:dyDescent="0.35">
      <c r="B29" s="29">
        <f>IF(B28="","",IF(B28+1&gt;Comparateur!$C$47,"",B28+1))</f>
        <v>22</v>
      </c>
      <c r="C29" s="18">
        <f>IF(OR($B29="",Comparateur!C$17&lt;&gt;"OK",$B29&gt;Comparateur!C$11),"",ROUND(F28*Comparateur!C$10/12,2))</f>
        <v>464.73</v>
      </c>
      <c r="D29" s="18">
        <f>IF(C29="","",IF($B29=Comparateur!C$11,F28,Comparateur!C$20-C29))</f>
        <v>412.43999999999994</v>
      </c>
      <c r="E29" s="18">
        <f>IF(C29="","",ROUND(IF(Comparateur!C$12=Paramètres!$B$36,Comparateur!C$9,F28)*Comparateur!C$13/12,2))</f>
        <v>63</v>
      </c>
      <c r="F29" s="31">
        <f t="shared" si="0"/>
        <v>171179.02</v>
      </c>
      <c r="G29" s="18">
        <f t="shared" si="1"/>
        <v>940.17</v>
      </c>
      <c r="H29" s="18">
        <f t="shared" si="2"/>
        <v>877.17</v>
      </c>
      <c r="I29" s="18">
        <f>IF(OR($B29="",Comparateur!D$17&lt;&gt;"OK",$B29&gt;Comparateur!D$11),"",ROUND(L28*Comparateur!D$10/12,2))</f>
        <v>486.65</v>
      </c>
      <c r="J29" s="18">
        <f>IF(I29="","",IF($B29=Comparateur!D$11,L28,Comparateur!D$20-I29))</f>
        <v>404.85</v>
      </c>
      <c r="K29" s="18">
        <f>IF(I29="","",ROUND(IF(Comparateur!D$12=Paramètres!$B$36,Comparateur!D$9,L28)*Comparateur!D$13/12,2))</f>
        <v>25.76</v>
      </c>
      <c r="L29" s="31">
        <f t="shared" si="3"/>
        <v>171352.54</v>
      </c>
      <c r="M29" s="18">
        <f t="shared" si="4"/>
        <v>917.26</v>
      </c>
      <c r="N29" s="18">
        <f t="shared" si="5"/>
        <v>891.5</v>
      </c>
      <c r="O29" s="18">
        <f>IF(OR($B29="",Comparateur!E$17&lt;&gt;"OK",$B29&gt;Comparateur!E$11),"",ROUND(R28*Comparateur!E$10/12,2))</f>
        <v>508.6</v>
      </c>
      <c r="P29" s="18">
        <f>IF(O29="","",IF($B29=Comparateur!E$11,R28,Comparateur!E$20-O29))</f>
        <v>397.36</v>
      </c>
      <c r="Q29" s="18">
        <f>IF(O29="","",ROUND(IF(Comparateur!E$12=Paramètres!$B$36,Comparateur!E$9,R28)*Comparateur!E$13/12,2))</f>
        <v>30</v>
      </c>
      <c r="R29" s="31">
        <f t="shared" si="6"/>
        <v>171523.58</v>
      </c>
      <c r="S29" s="18">
        <f t="shared" si="7"/>
        <v>935.96</v>
      </c>
      <c r="T29" s="18">
        <f t="shared" si="8"/>
        <v>905.96</v>
      </c>
    </row>
    <row r="30" spans="2:20" x14ac:dyDescent="0.35">
      <c r="B30" s="29">
        <f>IF(B29="","",IF(B29+1&gt;Comparateur!$C$47,"",B29+1))</f>
        <v>23</v>
      </c>
      <c r="C30" s="18">
        <f>IF(OR($B30="",Comparateur!C$17&lt;&gt;"OK",$B30&gt;Comparateur!C$11),"",ROUND(F29*Comparateur!C$10/12,2))</f>
        <v>463.61</v>
      </c>
      <c r="D30" s="18">
        <f>IF(C30="","",IF($B30=Comparateur!C$11,F29,Comparateur!C$20-C30))</f>
        <v>413.55999999999995</v>
      </c>
      <c r="E30" s="18">
        <f>IF(C30="","",ROUND(IF(Comparateur!C$12=Paramètres!$B$36,Comparateur!C$9,F29)*Comparateur!C$13/12,2))</f>
        <v>63</v>
      </c>
      <c r="F30" s="31">
        <f t="shared" si="0"/>
        <v>170765.46</v>
      </c>
      <c r="G30" s="18">
        <f t="shared" si="1"/>
        <v>940.17</v>
      </c>
      <c r="H30" s="18">
        <f t="shared" si="2"/>
        <v>877.17</v>
      </c>
      <c r="I30" s="18">
        <f>IF(OR($B30="",Comparateur!D$17&lt;&gt;"OK",$B30&gt;Comparateur!D$11),"",ROUND(L29*Comparateur!D$10/12,2))</f>
        <v>485.5</v>
      </c>
      <c r="J30" s="18">
        <f>IF(I30="","",IF($B30=Comparateur!D$11,L29,Comparateur!D$20-I30))</f>
        <v>406</v>
      </c>
      <c r="K30" s="18">
        <f>IF(I30="","",ROUND(IF(Comparateur!D$12=Paramètres!$B$36,Comparateur!D$9,L29)*Comparateur!D$13/12,2))</f>
        <v>25.7</v>
      </c>
      <c r="L30" s="31">
        <f t="shared" si="3"/>
        <v>170946.54</v>
      </c>
      <c r="M30" s="18">
        <f t="shared" si="4"/>
        <v>917.2</v>
      </c>
      <c r="N30" s="18">
        <f t="shared" si="5"/>
        <v>891.5</v>
      </c>
      <c r="O30" s="18">
        <f>IF(OR($B30="",Comparateur!E$17&lt;&gt;"OK",$B30&gt;Comparateur!E$11),"",ROUND(R29*Comparateur!E$10/12,2))</f>
        <v>507.42</v>
      </c>
      <c r="P30" s="18">
        <f>IF(O30="","",IF($B30=Comparateur!E$11,R29,Comparateur!E$20-O30))</f>
        <v>398.54</v>
      </c>
      <c r="Q30" s="18">
        <f>IF(O30="","",ROUND(IF(Comparateur!E$12=Paramètres!$B$36,Comparateur!E$9,R29)*Comparateur!E$13/12,2))</f>
        <v>30</v>
      </c>
      <c r="R30" s="31">
        <f t="shared" si="6"/>
        <v>171125.04</v>
      </c>
      <c r="S30" s="18">
        <f t="shared" si="7"/>
        <v>935.96</v>
      </c>
      <c r="T30" s="18">
        <f t="shared" si="8"/>
        <v>905.96</v>
      </c>
    </row>
    <row r="31" spans="2:20" x14ac:dyDescent="0.35">
      <c r="B31" s="29">
        <f>IF(B30="","",IF(B30+1&gt;Comparateur!$C$47,"",B30+1))</f>
        <v>24</v>
      </c>
      <c r="C31" s="18">
        <f>IF(OR($B31="",Comparateur!C$17&lt;&gt;"OK",$B31&gt;Comparateur!C$11),"",ROUND(F30*Comparateur!C$10/12,2))</f>
        <v>462.49</v>
      </c>
      <c r="D31" s="18">
        <f>IF(C31="","",IF($B31=Comparateur!C$11,F30,Comparateur!C$20-C31))</f>
        <v>414.67999999999995</v>
      </c>
      <c r="E31" s="18">
        <f>IF(C31="","",ROUND(IF(Comparateur!C$12=Paramètres!$B$36,Comparateur!C$9,F30)*Comparateur!C$13/12,2))</f>
        <v>63</v>
      </c>
      <c r="F31" s="31">
        <f t="shared" si="0"/>
        <v>170350.78</v>
      </c>
      <c r="G31" s="18">
        <f t="shared" si="1"/>
        <v>940.17</v>
      </c>
      <c r="H31" s="18">
        <f t="shared" si="2"/>
        <v>877.17</v>
      </c>
      <c r="I31" s="18">
        <f>IF(OR($B31="",Comparateur!D$17&lt;&gt;"OK",$B31&gt;Comparateur!D$11),"",ROUND(L30*Comparateur!D$10/12,2))</f>
        <v>484.35</v>
      </c>
      <c r="J31" s="18">
        <f>IF(I31="","",IF($B31=Comparateur!D$11,L30,Comparateur!D$20-I31))</f>
        <v>407.15</v>
      </c>
      <c r="K31" s="18">
        <f>IF(I31="","",ROUND(IF(Comparateur!D$12=Paramètres!$B$36,Comparateur!D$9,L30)*Comparateur!D$13/12,2))</f>
        <v>25.64</v>
      </c>
      <c r="L31" s="31">
        <f t="shared" si="3"/>
        <v>170539.39</v>
      </c>
      <c r="M31" s="18">
        <f t="shared" si="4"/>
        <v>917.14</v>
      </c>
      <c r="N31" s="18">
        <f t="shared" si="5"/>
        <v>891.5</v>
      </c>
      <c r="O31" s="18">
        <f>IF(OR($B31="",Comparateur!E$17&lt;&gt;"OK",$B31&gt;Comparateur!E$11),"",ROUND(R30*Comparateur!E$10/12,2))</f>
        <v>506.24</v>
      </c>
      <c r="P31" s="18">
        <f>IF(O31="","",IF($B31=Comparateur!E$11,R30,Comparateur!E$20-O31))</f>
        <v>399.72</v>
      </c>
      <c r="Q31" s="18">
        <f>IF(O31="","",ROUND(IF(Comparateur!E$12=Paramètres!$B$36,Comparateur!E$9,R30)*Comparateur!E$13/12,2))</f>
        <v>30</v>
      </c>
      <c r="R31" s="31">
        <f t="shared" si="6"/>
        <v>170725.32</v>
      </c>
      <c r="S31" s="18">
        <f t="shared" si="7"/>
        <v>935.96</v>
      </c>
      <c r="T31" s="18">
        <f t="shared" si="8"/>
        <v>905.96</v>
      </c>
    </row>
    <row r="32" spans="2:20" x14ac:dyDescent="0.35">
      <c r="B32" s="29">
        <f>IF(B31="","",IF(B31+1&gt;Comparateur!$C$47,"",B31+1))</f>
        <v>25</v>
      </c>
      <c r="C32" s="18">
        <f>IF(OR($B32="",Comparateur!C$17&lt;&gt;"OK",$B32&gt;Comparateur!C$11),"",ROUND(F31*Comparateur!C$10/12,2))</f>
        <v>461.37</v>
      </c>
      <c r="D32" s="18">
        <f>IF(C32="","",IF($B32=Comparateur!C$11,F31,Comparateur!C$20-C32))</f>
        <v>415.79999999999995</v>
      </c>
      <c r="E32" s="18">
        <f>IF(C32="","",ROUND(IF(Comparateur!C$12=Paramètres!$B$36,Comparateur!C$9,F31)*Comparateur!C$13/12,2))</f>
        <v>63</v>
      </c>
      <c r="F32" s="31">
        <f t="shared" si="0"/>
        <v>169934.98</v>
      </c>
      <c r="G32" s="18">
        <f t="shared" si="1"/>
        <v>940.17</v>
      </c>
      <c r="H32" s="18">
        <f t="shared" si="2"/>
        <v>877.17</v>
      </c>
      <c r="I32" s="18">
        <f>IF(OR($B32="",Comparateur!D$17&lt;&gt;"OK",$B32&gt;Comparateur!D$11),"",ROUND(L31*Comparateur!D$10/12,2))</f>
        <v>483.19</v>
      </c>
      <c r="J32" s="18">
        <f>IF(I32="","",IF($B32=Comparateur!D$11,L31,Comparateur!D$20-I32))</f>
        <v>408.31</v>
      </c>
      <c r="K32" s="18">
        <f>IF(I32="","",ROUND(IF(Comparateur!D$12=Paramètres!$B$36,Comparateur!D$9,L31)*Comparateur!D$13/12,2))</f>
        <v>25.58</v>
      </c>
      <c r="L32" s="31">
        <f t="shared" si="3"/>
        <v>170131.08</v>
      </c>
      <c r="M32" s="18">
        <f t="shared" si="4"/>
        <v>917.08</v>
      </c>
      <c r="N32" s="18">
        <f t="shared" si="5"/>
        <v>891.5</v>
      </c>
      <c r="O32" s="18">
        <f>IF(OR($B32="",Comparateur!E$17&lt;&gt;"OK",$B32&gt;Comparateur!E$11),"",ROUND(R31*Comparateur!E$10/12,2))</f>
        <v>505.06</v>
      </c>
      <c r="P32" s="18">
        <f>IF(O32="","",IF($B32=Comparateur!E$11,R31,Comparateur!E$20-O32))</f>
        <v>400.90000000000003</v>
      </c>
      <c r="Q32" s="18">
        <f>IF(O32="","",ROUND(IF(Comparateur!E$12=Paramètres!$B$36,Comparateur!E$9,R31)*Comparateur!E$13/12,2))</f>
        <v>30</v>
      </c>
      <c r="R32" s="31">
        <f t="shared" si="6"/>
        <v>170324.42</v>
      </c>
      <c r="S32" s="18">
        <f t="shared" si="7"/>
        <v>935.96</v>
      </c>
      <c r="T32" s="18">
        <f t="shared" si="8"/>
        <v>905.96</v>
      </c>
    </row>
    <row r="33" spans="2:20" x14ac:dyDescent="0.35">
      <c r="B33" s="29">
        <f>IF(B32="","",IF(B32+1&gt;Comparateur!$C$47,"",B32+1))</f>
        <v>26</v>
      </c>
      <c r="C33" s="18">
        <f>IF(OR($B33="",Comparateur!C$17&lt;&gt;"OK",$B33&gt;Comparateur!C$11),"",ROUND(F32*Comparateur!C$10/12,2))</f>
        <v>460.24</v>
      </c>
      <c r="D33" s="18">
        <f>IF(C33="","",IF($B33=Comparateur!C$11,F32,Comparateur!C$20-C33))</f>
        <v>416.92999999999995</v>
      </c>
      <c r="E33" s="18">
        <f>IF(C33="","",ROUND(IF(Comparateur!C$12=Paramètres!$B$36,Comparateur!C$9,F32)*Comparateur!C$13/12,2))</f>
        <v>63</v>
      </c>
      <c r="F33" s="31">
        <f t="shared" si="0"/>
        <v>169518.05</v>
      </c>
      <c r="G33" s="18">
        <f t="shared" si="1"/>
        <v>940.17</v>
      </c>
      <c r="H33" s="18">
        <f t="shared" si="2"/>
        <v>877.17</v>
      </c>
      <c r="I33" s="18">
        <f>IF(OR($B33="",Comparateur!D$17&lt;&gt;"OK",$B33&gt;Comparateur!D$11),"",ROUND(L32*Comparateur!D$10/12,2))</f>
        <v>482.04</v>
      </c>
      <c r="J33" s="18">
        <f>IF(I33="","",IF($B33=Comparateur!D$11,L32,Comparateur!D$20-I33))</f>
        <v>409.46</v>
      </c>
      <c r="K33" s="18">
        <f>IF(I33="","",ROUND(IF(Comparateur!D$12=Paramètres!$B$36,Comparateur!D$9,L32)*Comparateur!D$13/12,2))</f>
        <v>25.52</v>
      </c>
      <c r="L33" s="31">
        <f t="shared" si="3"/>
        <v>169721.62</v>
      </c>
      <c r="M33" s="18">
        <f t="shared" si="4"/>
        <v>917.02</v>
      </c>
      <c r="N33" s="18">
        <f t="shared" si="5"/>
        <v>891.5</v>
      </c>
      <c r="O33" s="18">
        <f>IF(OR($B33="",Comparateur!E$17&lt;&gt;"OK",$B33&gt;Comparateur!E$11),"",ROUND(R32*Comparateur!E$10/12,2))</f>
        <v>503.88</v>
      </c>
      <c r="P33" s="18">
        <f>IF(O33="","",IF($B33=Comparateur!E$11,R32,Comparateur!E$20-O33))</f>
        <v>402.08000000000004</v>
      </c>
      <c r="Q33" s="18">
        <f>IF(O33="","",ROUND(IF(Comparateur!E$12=Paramètres!$B$36,Comparateur!E$9,R32)*Comparateur!E$13/12,2))</f>
        <v>30</v>
      </c>
      <c r="R33" s="31">
        <f t="shared" si="6"/>
        <v>169922.34</v>
      </c>
      <c r="S33" s="18">
        <f t="shared" si="7"/>
        <v>935.96</v>
      </c>
      <c r="T33" s="18">
        <f t="shared" si="8"/>
        <v>905.96</v>
      </c>
    </row>
    <row r="34" spans="2:20" x14ac:dyDescent="0.35">
      <c r="B34" s="29">
        <f>IF(B33="","",IF(B33+1&gt;Comparateur!$C$47,"",B33+1))</f>
        <v>27</v>
      </c>
      <c r="C34" s="18">
        <f>IF(OR($B34="",Comparateur!C$17&lt;&gt;"OK",$B34&gt;Comparateur!C$11),"",ROUND(F33*Comparateur!C$10/12,2))</f>
        <v>459.11</v>
      </c>
      <c r="D34" s="18">
        <f>IF(C34="","",IF($B34=Comparateur!C$11,F33,Comparateur!C$20-C34))</f>
        <v>418.05999999999995</v>
      </c>
      <c r="E34" s="18">
        <f>IF(C34="","",ROUND(IF(Comparateur!C$12=Paramètres!$B$36,Comparateur!C$9,F33)*Comparateur!C$13/12,2))</f>
        <v>63</v>
      </c>
      <c r="F34" s="31">
        <f t="shared" si="0"/>
        <v>169099.99</v>
      </c>
      <c r="G34" s="18">
        <f t="shared" si="1"/>
        <v>940.17</v>
      </c>
      <c r="H34" s="18">
        <f t="shared" si="2"/>
        <v>877.17</v>
      </c>
      <c r="I34" s="18">
        <f>IF(OR($B34="",Comparateur!D$17&lt;&gt;"OK",$B34&gt;Comparateur!D$11),"",ROUND(L33*Comparateur!D$10/12,2))</f>
        <v>480.88</v>
      </c>
      <c r="J34" s="18">
        <f>IF(I34="","",IF($B34=Comparateur!D$11,L33,Comparateur!D$20-I34))</f>
        <v>410.62</v>
      </c>
      <c r="K34" s="18">
        <f>IF(I34="","",ROUND(IF(Comparateur!D$12=Paramètres!$B$36,Comparateur!D$9,L33)*Comparateur!D$13/12,2))</f>
        <v>25.46</v>
      </c>
      <c r="L34" s="31">
        <f t="shared" si="3"/>
        <v>169311</v>
      </c>
      <c r="M34" s="18">
        <f t="shared" si="4"/>
        <v>916.96</v>
      </c>
      <c r="N34" s="18">
        <f t="shared" si="5"/>
        <v>891.5</v>
      </c>
      <c r="O34" s="18">
        <f>IF(OR($B34="",Comparateur!E$17&lt;&gt;"OK",$B34&gt;Comparateur!E$11),"",ROUND(R33*Comparateur!E$10/12,2))</f>
        <v>502.69</v>
      </c>
      <c r="P34" s="18">
        <f>IF(O34="","",IF($B34=Comparateur!E$11,R33,Comparateur!E$20-O34))</f>
        <v>403.27000000000004</v>
      </c>
      <c r="Q34" s="18">
        <f>IF(O34="","",ROUND(IF(Comparateur!E$12=Paramètres!$B$36,Comparateur!E$9,R33)*Comparateur!E$13/12,2))</f>
        <v>30</v>
      </c>
      <c r="R34" s="31">
        <f t="shared" si="6"/>
        <v>169519.07</v>
      </c>
      <c r="S34" s="18">
        <f t="shared" si="7"/>
        <v>935.96</v>
      </c>
      <c r="T34" s="18">
        <f t="shared" si="8"/>
        <v>905.96</v>
      </c>
    </row>
    <row r="35" spans="2:20" x14ac:dyDescent="0.35">
      <c r="B35" s="29">
        <f>IF(B34="","",IF(B34+1&gt;Comparateur!$C$47,"",B34+1))</f>
        <v>28</v>
      </c>
      <c r="C35" s="18">
        <f>IF(OR($B35="",Comparateur!C$17&lt;&gt;"OK",$B35&gt;Comparateur!C$11),"",ROUND(F34*Comparateur!C$10/12,2))</f>
        <v>457.98</v>
      </c>
      <c r="D35" s="18">
        <f>IF(C35="","",IF($B35=Comparateur!C$11,F34,Comparateur!C$20-C35))</f>
        <v>419.18999999999994</v>
      </c>
      <c r="E35" s="18">
        <f>IF(C35="","",ROUND(IF(Comparateur!C$12=Paramètres!$B$36,Comparateur!C$9,F34)*Comparateur!C$13/12,2))</f>
        <v>63</v>
      </c>
      <c r="F35" s="31">
        <f t="shared" si="0"/>
        <v>168680.8</v>
      </c>
      <c r="G35" s="18">
        <f t="shared" si="1"/>
        <v>940.17</v>
      </c>
      <c r="H35" s="18">
        <f t="shared" si="2"/>
        <v>877.17</v>
      </c>
      <c r="I35" s="18">
        <f>IF(OR($B35="",Comparateur!D$17&lt;&gt;"OK",$B35&gt;Comparateur!D$11),"",ROUND(L34*Comparateur!D$10/12,2))</f>
        <v>479.71</v>
      </c>
      <c r="J35" s="18">
        <f>IF(I35="","",IF($B35=Comparateur!D$11,L34,Comparateur!D$20-I35))</f>
        <v>411.79</v>
      </c>
      <c r="K35" s="18">
        <f>IF(I35="","",ROUND(IF(Comparateur!D$12=Paramètres!$B$36,Comparateur!D$9,L34)*Comparateur!D$13/12,2))</f>
        <v>25.4</v>
      </c>
      <c r="L35" s="31">
        <f t="shared" si="3"/>
        <v>168899.21</v>
      </c>
      <c r="M35" s="18">
        <f t="shared" si="4"/>
        <v>916.9</v>
      </c>
      <c r="N35" s="18">
        <f t="shared" si="5"/>
        <v>891.5</v>
      </c>
      <c r="O35" s="18">
        <f>IF(OR($B35="",Comparateur!E$17&lt;&gt;"OK",$B35&gt;Comparateur!E$11),"",ROUND(R34*Comparateur!E$10/12,2))</f>
        <v>501.49</v>
      </c>
      <c r="P35" s="18">
        <f>IF(O35="","",IF($B35=Comparateur!E$11,R34,Comparateur!E$20-O35))</f>
        <v>404.47</v>
      </c>
      <c r="Q35" s="18">
        <f>IF(O35="","",ROUND(IF(Comparateur!E$12=Paramètres!$B$36,Comparateur!E$9,R34)*Comparateur!E$13/12,2))</f>
        <v>30</v>
      </c>
      <c r="R35" s="31">
        <f t="shared" si="6"/>
        <v>169114.6</v>
      </c>
      <c r="S35" s="18">
        <f t="shared" si="7"/>
        <v>935.96</v>
      </c>
      <c r="T35" s="18">
        <f t="shared" si="8"/>
        <v>905.96</v>
      </c>
    </row>
    <row r="36" spans="2:20" x14ac:dyDescent="0.35">
      <c r="B36" s="29">
        <f>IF(B35="","",IF(B35+1&gt;Comparateur!$C$47,"",B35+1))</f>
        <v>29</v>
      </c>
      <c r="C36" s="18">
        <f>IF(OR($B36="",Comparateur!C$17&lt;&gt;"OK",$B36&gt;Comparateur!C$11),"",ROUND(F35*Comparateur!C$10/12,2))</f>
        <v>456.84</v>
      </c>
      <c r="D36" s="18">
        <f>IF(C36="","",IF($B36=Comparateur!C$11,F35,Comparateur!C$20-C36))</f>
        <v>420.33</v>
      </c>
      <c r="E36" s="18">
        <f>IF(C36="","",ROUND(IF(Comparateur!C$12=Paramètres!$B$36,Comparateur!C$9,F35)*Comparateur!C$13/12,2))</f>
        <v>63</v>
      </c>
      <c r="F36" s="31">
        <f t="shared" si="0"/>
        <v>168260.47</v>
      </c>
      <c r="G36" s="18">
        <f t="shared" si="1"/>
        <v>940.17</v>
      </c>
      <c r="H36" s="18">
        <f t="shared" si="2"/>
        <v>877.17</v>
      </c>
      <c r="I36" s="18">
        <f>IF(OR($B36="",Comparateur!D$17&lt;&gt;"OK",$B36&gt;Comparateur!D$11),"",ROUND(L35*Comparateur!D$10/12,2))</f>
        <v>478.55</v>
      </c>
      <c r="J36" s="18">
        <f>IF(I36="","",IF($B36=Comparateur!D$11,L35,Comparateur!D$20-I36))</f>
        <v>412.95</v>
      </c>
      <c r="K36" s="18">
        <f>IF(I36="","",ROUND(IF(Comparateur!D$12=Paramètres!$B$36,Comparateur!D$9,L35)*Comparateur!D$13/12,2))</f>
        <v>25.33</v>
      </c>
      <c r="L36" s="31">
        <f t="shared" si="3"/>
        <v>168486.26</v>
      </c>
      <c r="M36" s="18">
        <f t="shared" si="4"/>
        <v>916.83</v>
      </c>
      <c r="N36" s="18">
        <f t="shared" si="5"/>
        <v>891.5</v>
      </c>
      <c r="O36" s="18">
        <f>IF(OR($B36="",Comparateur!E$17&lt;&gt;"OK",$B36&gt;Comparateur!E$11),"",ROUND(R35*Comparateur!E$10/12,2))</f>
        <v>500.3</v>
      </c>
      <c r="P36" s="18">
        <f>IF(O36="","",IF($B36=Comparateur!E$11,R35,Comparateur!E$20-O36))</f>
        <v>405.66</v>
      </c>
      <c r="Q36" s="18">
        <f>IF(O36="","",ROUND(IF(Comparateur!E$12=Paramètres!$B$36,Comparateur!E$9,R35)*Comparateur!E$13/12,2))</f>
        <v>30</v>
      </c>
      <c r="R36" s="31">
        <f t="shared" si="6"/>
        <v>168708.94</v>
      </c>
      <c r="S36" s="18">
        <f t="shared" si="7"/>
        <v>935.96</v>
      </c>
      <c r="T36" s="18">
        <f t="shared" si="8"/>
        <v>905.96</v>
      </c>
    </row>
    <row r="37" spans="2:20" x14ac:dyDescent="0.35">
      <c r="B37" s="29">
        <f>IF(B36="","",IF(B36+1&gt;Comparateur!$C$47,"",B36+1))</f>
        <v>30</v>
      </c>
      <c r="C37" s="18">
        <f>IF(OR($B37="",Comparateur!C$17&lt;&gt;"OK",$B37&gt;Comparateur!C$11),"",ROUND(F36*Comparateur!C$10/12,2))</f>
        <v>455.71</v>
      </c>
      <c r="D37" s="18">
        <f>IF(C37="","",IF($B37=Comparateur!C$11,F36,Comparateur!C$20-C37))</f>
        <v>421.46</v>
      </c>
      <c r="E37" s="18">
        <f>IF(C37="","",ROUND(IF(Comparateur!C$12=Paramètres!$B$36,Comparateur!C$9,F36)*Comparateur!C$13/12,2))</f>
        <v>63</v>
      </c>
      <c r="F37" s="31">
        <f t="shared" si="0"/>
        <v>167839.01</v>
      </c>
      <c r="G37" s="18">
        <f t="shared" si="1"/>
        <v>940.17</v>
      </c>
      <c r="H37" s="18">
        <f t="shared" si="2"/>
        <v>877.17</v>
      </c>
      <c r="I37" s="18">
        <f>IF(OR($B37="",Comparateur!D$17&lt;&gt;"OK",$B37&gt;Comparateur!D$11),"",ROUND(L36*Comparateur!D$10/12,2))</f>
        <v>477.38</v>
      </c>
      <c r="J37" s="18">
        <f>IF(I37="","",IF($B37=Comparateur!D$11,L36,Comparateur!D$20-I37))</f>
        <v>414.12</v>
      </c>
      <c r="K37" s="18">
        <f>IF(I37="","",ROUND(IF(Comparateur!D$12=Paramètres!$B$36,Comparateur!D$9,L36)*Comparateur!D$13/12,2))</f>
        <v>25.27</v>
      </c>
      <c r="L37" s="31">
        <f t="shared" si="3"/>
        <v>168072.14</v>
      </c>
      <c r="M37" s="18">
        <f t="shared" si="4"/>
        <v>916.77</v>
      </c>
      <c r="N37" s="18">
        <f t="shared" si="5"/>
        <v>891.5</v>
      </c>
      <c r="O37" s="18">
        <f>IF(OR($B37="",Comparateur!E$17&lt;&gt;"OK",$B37&gt;Comparateur!E$11),"",ROUND(R36*Comparateur!E$10/12,2))</f>
        <v>499.1</v>
      </c>
      <c r="P37" s="18">
        <f>IF(O37="","",IF($B37=Comparateur!E$11,R36,Comparateur!E$20-O37))</f>
        <v>406.86</v>
      </c>
      <c r="Q37" s="18">
        <f>IF(O37="","",ROUND(IF(Comparateur!E$12=Paramètres!$B$36,Comparateur!E$9,R36)*Comparateur!E$13/12,2))</f>
        <v>30</v>
      </c>
      <c r="R37" s="31">
        <f t="shared" si="6"/>
        <v>168302.07999999999</v>
      </c>
      <c r="S37" s="18">
        <f t="shared" si="7"/>
        <v>935.96</v>
      </c>
      <c r="T37" s="18">
        <f t="shared" si="8"/>
        <v>905.96</v>
      </c>
    </row>
    <row r="38" spans="2:20" x14ac:dyDescent="0.35">
      <c r="B38" s="29">
        <f>IF(B37="","",IF(B37+1&gt;Comparateur!$C$47,"",B37+1))</f>
        <v>31</v>
      </c>
      <c r="C38" s="18">
        <f>IF(OR($B38="",Comparateur!C$17&lt;&gt;"OK",$B38&gt;Comparateur!C$11),"",ROUND(F37*Comparateur!C$10/12,2))</f>
        <v>454.56</v>
      </c>
      <c r="D38" s="18">
        <f>IF(C38="","",IF($B38=Comparateur!C$11,F37,Comparateur!C$20-C38))</f>
        <v>422.60999999999996</v>
      </c>
      <c r="E38" s="18">
        <f>IF(C38="","",ROUND(IF(Comparateur!C$12=Paramètres!$B$36,Comparateur!C$9,F37)*Comparateur!C$13/12,2))</f>
        <v>63</v>
      </c>
      <c r="F38" s="31">
        <f t="shared" si="0"/>
        <v>167416.4</v>
      </c>
      <c r="G38" s="18">
        <f t="shared" si="1"/>
        <v>940.17</v>
      </c>
      <c r="H38" s="18">
        <f t="shared" si="2"/>
        <v>877.17</v>
      </c>
      <c r="I38" s="18">
        <f>IF(OR($B38="",Comparateur!D$17&lt;&gt;"OK",$B38&gt;Comparateur!D$11),"",ROUND(L37*Comparateur!D$10/12,2))</f>
        <v>476.2</v>
      </c>
      <c r="J38" s="18">
        <f>IF(I38="","",IF($B38=Comparateur!D$11,L37,Comparateur!D$20-I38))</f>
        <v>415.3</v>
      </c>
      <c r="K38" s="18">
        <f>IF(I38="","",ROUND(IF(Comparateur!D$12=Paramètres!$B$36,Comparateur!D$9,L37)*Comparateur!D$13/12,2))</f>
        <v>25.21</v>
      </c>
      <c r="L38" s="31">
        <f t="shared" si="3"/>
        <v>167656.84</v>
      </c>
      <c r="M38" s="18">
        <f t="shared" si="4"/>
        <v>916.71</v>
      </c>
      <c r="N38" s="18">
        <f t="shared" si="5"/>
        <v>891.5</v>
      </c>
      <c r="O38" s="18">
        <f>IF(OR($B38="",Comparateur!E$17&lt;&gt;"OK",$B38&gt;Comparateur!E$11),"",ROUND(R37*Comparateur!E$10/12,2))</f>
        <v>497.89</v>
      </c>
      <c r="P38" s="18">
        <f>IF(O38="","",IF($B38=Comparateur!E$11,R37,Comparateur!E$20-O38))</f>
        <v>408.07000000000005</v>
      </c>
      <c r="Q38" s="18">
        <f>IF(O38="","",ROUND(IF(Comparateur!E$12=Paramètres!$B$36,Comparateur!E$9,R37)*Comparateur!E$13/12,2))</f>
        <v>30</v>
      </c>
      <c r="R38" s="31">
        <f t="shared" si="6"/>
        <v>167894.01</v>
      </c>
      <c r="S38" s="18">
        <f t="shared" si="7"/>
        <v>935.96</v>
      </c>
      <c r="T38" s="18">
        <f t="shared" si="8"/>
        <v>905.96</v>
      </c>
    </row>
    <row r="39" spans="2:20" x14ac:dyDescent="0.35">
      <c r="B39" s="29">
        <f>IF(B38="","",IF(B38+1&gt;Comparateur!$C$47,"",B38+1))</f>
        <v>32</v>
      </c>
      <c r="C39" s="18">
        <f>IF(OR($B39="",Comparateur!C$17&lt;&gt;"OK",$B39&gt;Comparateur!C$11),"",ROUND(F38*Comparateur!C$10/12,2))</f>
        <v>453.42</v>
      </c>
      <c r="D39" s="18">
        <f>IF(C39="","",IF($B39=Comparateur!C$11,F38,Comparateur!C$20-C39))</f>
        <v>423.74999999999994</v>
      </c>
      <c r="E39" s="18">
        <f>IF(C39="","",ROUND(IF(Comparateur!C$12=Paramètres!$B$36,Comparateur!C$9,F38)*Comparateur!C$13/12,2))</f>
        <v>63</v>
      </c>
      <c r="F39" s="31">
        <f t="shared" si="0"/>
        <v>166992.65</v>
      </c>
      <c r="G39" s="18">
        <f t="shared" si="1"/>
        <v>940.17</v>
      </c>
      <c r="H39" s="18">
        <f t="shared" si="2"/>
        <v>877.17</v>
      </c>
      <c r="I39" s="18">
        <f>IF(OR($B39="",Comparateur!D$17&lt;&gt;"OK",$B39&gt;Comparateur!D$11),"",ROUND(L38*Comparateur!D$10/12,2))</f>
        <v>475.03</v>
      </c>
      <c r="J39" s="18">
        <f>IF(I39="","",IF($B39=Comparateur!D$11,L38,Comparateur!D$20-I39))</f>
        <v>416.47</v>
      </c>
      <c r="K39" s="18">
        <f>IF(I39="","",ROUND(IF(Comparateur!D$12=Paramètres!$B$36,Comparateur!D$9,L38)*Comparateur!D$13/12,2))</f>
        <v>25.15</v>
      </c>
      <c r="L39" s="31">
        <f t="shared" si="3"/>
        <v>167240.37</v>
      </c>
      <c r="M39" s="18">
        <f t="shared" si="4"/>
        <v>916.65</v>
      </c>
      <c r="N39" s="18">
        <f t="shared" si="5"/>
        <v>891.5</v>
      </c>
      <c r="O39" s="18">
        <f>IF(OR($B39="",Comparateur!E$17&lt;&gt;"OK",$B39&gt;Comparateur!E$11),"",ROUND(R38*Comparateur!E$10/12,2))</f>
        <v>496.69</v>
      </c>
      <c r="P39" s="18">
        <f>IF(O39="","",IF($B39=Comparateur!E$11,R38,Comparateur!E$20-O39))</f>
        <v>409.27000000000004</v>
      </c>
      <c r="Q39" s="18">
        <f>IF(O39="","",ROUND(IF(Comparateur!E$12=Paramètres!$B$36,Comparateur!E$9,R38)*Comparateur!E$13/12,2))</f>
        <v>30</v>
      </c>
      <c r="R39" s="31">
        <f t="shared" si="6"/>
        <v>167484.74</v>
      </c>
      <c r="S39" s="18">
        <f t="shared" si="7"/>
        <v>935.96</v>
      </c>
      <c r="T39" s="18">
        <f t="shared" si="8"/>
        <v>905.96</v>
      </c>
    </row>
    <row r="40" spans="2:20" x14ac:dyDescent="0.35">
      <c r="B40" s="29">
        <f>IF(B39="","",IF(B39+1&gt;Comparateur!$C$47,"",B39+1))</f>
        <v>33</v>
      </c>
      <c r="C40" s="18">
        <f>IF(OR($B40="",Comparateur!C$17&lt;&gt;"OK",$B40&gt;Comparateur!C$11),"",ROUND(F39*Comparateur!C$10/12,2))</f>
        <v>452.27</v>
      </c>
      <c r="D40" s="18">
        <f>IF(C40="","",IF($B40=Comparateur!C$11,F39,Comparateur!C$20-C40))</f>
        <v>424.9</v>
      </c>
      <c r="E40" s="18">
        <f>IF(C40="","",ROUND(IF(Comparateur!C$12=Paramètres!$B$36,Comparateur!C$9,F39)*Comparateur!C$13/12,2))</f>
        <v>63</v>
      </c>
      <c r="F40" s="31">
        <f t="shared" si="0"/>
        <v>166567.75</v>
      </c>
      <c r="G40" s="18">
        <f t="shared" si="1"/>
        <v>940.17</v>
      </c>
      <c r="H40" s="18">
        <f t="shared" si="2"/>
        <v>877.17</v>
      </c>
      <c r="I40" s="18">
        <f>IF(OR($B40="",Comparateur!D$17&lt;&gt;"OK",$B40&gt;Comparateur!D$11),"",ROUND(L39*Comparateur!D$10/12,2))</f>
        <v>473.85</v>
      </c>
      <c r="J40" s="18">
        <f>IF(I40="","",IF($B40=Comparateur!D$11,L39,Comparateur!D$20-I40))</f>
        <v>417.65</v>
      </c>
      <c r="K40" s="18">
        <f>IF(I40="","",ROUND(IF(Comparateur!D$12=Paramètres!$B$36,Comparateur!D$9,L39)*Comparateur!D$13/12,2))</f>
        <v>25.09</v>
      </c>
      <c r="L40" s="31">
        <f t="shared" si="3"/>
        <v>166822.72</v>
      </c>
      <c r="M40" s="18">
        <f t="shared" si="4"/>
        <v>916.59</v>
      </c>
      <c r="N40" s="18">
        <f t="shared" si="5"/>
        <v>891.5</v>
      </c>
      <c r="O40" s="18">
        <f>IF(OR($B40="",Comparateur!E$17&lt;&gt;"OK",$B40&gt;Comparateur!E$11),"",ROUND(R39*Comparateur!E$10/12,2))</f>
        <v>495.48</v>
      </c>
      <c r="P40" s="18">
        <f>IF(O40="","",IF($B40=Comparateur!E$11,R39,Comparateur!E$20-O40))</f>
        <v>410.48</v>
      </c>
      <c r="Q40" s="18">
        <f>IF(O40="","",ROUND(IF(Comparateur!E$12=Paramètres!$B$36,Comparateur!E$9,R39)*Comparateur!E$13/12,2))</f>
        <v>30</v>
      </c>
      <c r="R40" s="31">
        <f t="shared" si="6"/>
        <v>167074.26</v>
      </c>
      <c r="S40" s="18">
        <f t="shared" si="7"/>
        <v>935.96</v>
      </c>
      <c r="T40" s="18">
        <f t="shared" si="8"/>
        <v>905.96</v>
      </c>
    </row>
    <row r="41" spans="2:20" x14ac:dyDescent="0.35">
      <c r="B41" s="29">
        <f>IF(B40="","",IF(B40+1&gt;Comparateur!$C$47,"",B40+1))</f>
        <v>34</v>
      </c>
      <c r="C41" s="18">
        <f>IF(OR($B41="",Comparateur!C$17&lt;&gt;"OK",$B41&gt;Comparateur!C$11),"",ROUND(F40*Comparateur!C$10/12,2))</f>
        <v>451.12</v>
      </c>
      <c r="D41" s="18">
        <f>IF(C41="","",IF($B41=Comparateur!C$11,F40,Comparateur!C$20-C41))</f>
        <v>426.04999999999995</v>
      </c>
      <c r="E41" s="18">
        <f>IF(C41="","",ROUND(IF(Comparateur!C$12=Paramètres!$B$36,Comparateur!C$9,F40)*Comparateur!C$13/12,2))</f>
        <v>63</v>
      </c>
      <c r="F41" s="31">
        <f t="shared" si="0"/>
        <v>166141.70000000001</v>
      </c>
      <c r="G41" s="18">
        <f t="shared" si="1"/>
        <v>940.17</v>
      </c>
      <c r="H41" s="18">
        <f t="shared" si="2"/>
        <v>877.17</v>
      </c>
      <c r="I41" s="18">
        <f>IF(OR($B41="",Comparateur!D$17&lt;&gt;"OK",$B41&gt;Comparateur!D$11),"",ROUND(L40*Comparateur!D$10/12,2))</f>
        <v>472.66</v>
      </c>
      <c r="J41" s="18">
        <f>IF(I41="","",IF($B41=Comparateur!D$11,L40,Comparateur!D$20-I41))</f>
        <v>418.84</v>
      </c>
      <c r="K41" s="18">
        <f>IF(I41="","",ROUND(IF(Comparateur!D$12=Paramètres!$B$36,Comparateur!D$9,L40)*Comparateur!D$13/12,2))</f>
        <v>25.02</v>
      </c>
      <c r="L41" s="31">
        <f t="shared" si="3"/>
        <v>166403.88</v>
      </c>
      <c r="M41" s="18">
        <f t="shared" si="4"/>
        <v>916.52</v>
      </c>
      <c r="N41" s="18">
        <f t="shared" si="5"/>
        <v>891.5</v>
      </c>
      <c r="O41" s="18">
        <f>IF(OR($B41="",Comparateur!E$17&lt;&gt;"OK",$B41&gt;Comparateur!E$11),"",ROUND(R40*Comparateur!E$10/12,2))</f>
        <v>494.26</v>
      </c>
      <c r="P41" s="18">
        <f>IF(O41="","",IF($B41=Comparateur!E$11,R40,Comparateur!E$20-O41))</f>
        <v>411.70000000000005</v>
      </c>
      <c r="Q41" s="18">
        <f>IF(O41="","",ROUND(IF(Comparateur!E$12=Paramètres!$B$36,Comparateur!E$9,R40)*Comparateur!E$13/12,2))</f>
        <v>30</v>
      </c>
      <c r="R41" s="31">
        <f t="shared" si="6"/>
        <v>166662.56</v>
      </c>
      <c r="S41" s="18">
        <f t="shared" si="7"/>
        <v>935.96</v>
      </c>
      <c r="T41" s="18">
        <f t="shared" si="8"/>
        <v>905.96</v>
      </c>
    </row>
    <row r="42" spans="2:20" x14ac:dyDescent="0.35">
      <c r="B42" s="29">
        <f>IF(B41="","",IF(B41+1&gt;Comparateur!$C$47,"",B41+1))</f>
        <v>35</v>
      </c>
      <c r="C42" s="18">
        <f>IF(OR($B42="",Comparateur!C$17&lt;&gt;"OK",$B42&gt;Comparateur!C$11),"",ROUND(F41*Comparateur!C$10/12,2))</f>
        <v>449.97</v>
      </c>
      <c r="D42" s="18">
        <f>IF(C42="","",IF($B42=Comparateur!C$11,F41,Comparateur!C$20-C42))</f>
        <v>427.19999999999993</v>
      </c>
      <c r="E42" s="18">
        <f>IF(C42="","",ROUND(IF(Comparateur!C$12=Paramètres!$B$36,Comparateur!C$9,F41)*Comparateur!C$13/12,2))</f>
        <v>63</v>
      </c>
      <c r="F42" s="31">
        <f t="shared" si="0"/>
        <v>165714.5</v>
      </c>
      <c r="G42" s="18">
        <f t="shared" si="1"/>
        <v>940.17</v>
      </c>
      <c r="H42" s="18">
        <f t="shared" si="2"/>
        <v>877.17</v>
      </c>
      <c r="I42" s="18">
        <f>IF(OR($B42="",Comparateur!D$17&lt;&gt;"OK",$B42&gt;Comparateur!D$11),"",ROUND(L41*Comparateur!D$10/12,2))</f>
        <v>471.48</v>
      </c>
      <c r="J42" s="18">
        <f>IF(I42="","",IF($B42=Comparateur!D$11,L41,Comparateur!D$20-I42))</f>
        <v>420.02</v>
      </c>
      <c r="K42" s="18">
        <f>IF(I42="","",ROUND(IF(Comparateur!D$12=Paramètres!$B$36,Comparateur!D$9,L41)*Comparateur!D$13/12,2))</f>
        <v>24.96</v>
      </c>
      <c r="L42" s="31">
        <f t="shared" si="3"/>
        <v>165983.85999999999</v>
      </c>
      <c r="M42" s="18">
        <f t="shared" si="4"/>
        <v>916.46</v>
      </c>
      <c r="N42" s="18">
        <f t="shared" si="5"/>
        <v>891.5</v>
      </c>
      <c r="O42" s="18">
        <f>IF(OR($B42="",Comparateur!E$17&lt;&gt;"OK",$B42&gt;Comparateur!E$11),"",ROUND(R41*Comparateur!E$10/12,2))</f>
        <v>493.04</v>
      </c>
      <c r="P42" s="18">
        <f>IF(O42="","",IF($B42=Comparateur!E$11,R41,Comparateur!E$20-O42))</f>
        <v>412.92</v>
      </c>
      <c r="Q42" s="18">
        <f>IF(O42="","",ROUND(IF(Comparateur!E$12=Paramètres!$B$36,Comparateur!E$9,R41)*Comparateur!E$13/12,2))</f>
        <v>30</v>
      </c>
      <c r="R42" s="31">
        <f t="shared" si="6"/>
        <v>166249.64000000001</v>
      </c>
      <c r="S42" s="18">
        <f t="shared" si="7"/>
        <v>935.96</v>
      </c>
      <c r="T42" s="18">
        <f t="shared" si="8"/>
        <v>905.96</v>
      </c>
    </row>
    <row r="43" spans="2:20" x14ac:dyDescent="0.35">
      <c r="B43" s="29">
        <f>IF(B42="","",IF(B42+1&gt;Comparateur!$C$47,"",B42+1))</f>
        <v>36</v>
      </c>
      <c r="C43" s="18">
        <f>IF(OR($B43="",Comparateur!C$17&lt;&gt;"OK",$B43&gt;Comparateur!C$11),"",ROUND(F42*Comparateur!C$10/12,2))</f>
        <v>448.81</v>
      </c>
      <c r="D43" s="18">
        <f>IF(C43="","",IF($B43=Comparateur!C$11,F42,Comparateur!C$20-C43))</f>
        <v>428.35999999999996</v>
      </c>
      <c r="E43" s="18">
        <f>IF(C43="","",ROUND(IF(Comparateur!C$12=Paramètres!$B$36,Comparateur!C$9,F42)*Comparateur!C$13/12,2))</f>
        <v>63</v>
      </c>
      <c r="F43" s="31">
        <f t="shared" si="0"/>
        <v>165286.14000000001</v>
      </c>
      <c r="G43" s="18">
        <f t="shared" si="1"/>
        <v>940.17</v>
      </c>
      <c r="H43" s="18">
        <f t="shared" si="2"/>
        <v>877.17</v>
      </c>
      <c r="I43" s="18">
        <f>IF(OR($B43="",Comparateur!D$17&lt;&gt;"OK",$B43&gt;Comparateur!D$11),"",ROUND(L42*Comparateur!D$10/12,2))</f>
        <v>470.29</v>
      </c>
      <c r="J43" s="18">
        <f>IF(I43="","",IF($B43=Comparateur!D$11,L42,Comparateur!D$20-I43))</f>
        <v>421.21</v>
      </c>
      <c r="K43" s="18">
        <f>IF(I43="","",ROUND(IF(Comparateur!D$12=Paramètres!$B$36,Comparateur!D$9,L42)*Comparateur!D$13/12,2))</f>
        <v>24.9</v>
      </c>
      <c r="L43" s="31">
        <f t="shared" si="3"/>
        <v>165562.65</v>
      </c>
      <c r="M43" s="18">
        <f t="shared" si="4"/>
        <v>916.4</v>
      </c>
      <c r="N43" s="18">
        <f t="shared" si="5"/>
        <v>891.5</v>
      </c>
      <c r="O43" s="18">
        <f>IF(OR($B43="",Comparateur!E$17&lt;&gt;"OK",$B43&gt;Comparateur!E$11),"",ROUND(R42*Comparateur!E$10/12,2))</f>
        <v>491.82</v>
      </c>
      <c r="P43" s="18">
        <f>IF(O43="","",IF($B43=Comparateur!E$11,R42,Comparateur!E$20-O43))</f>
        <v>414.14000000000004</v>
      </c>
      <c r="Q43" s="18">
        <f>IF(O43="","",ROUND(IF(Comparateur!E$12=Paramètres!$B$36,Comparateur!E$9,R42)*Comparateur!E$13/12,2))</f>
        <v>30</v>
      </c>
      <c r="R43" s="31">
        <f t="shared" si="6"/>
        <v>165835.5</v>
      </c>
      <c r="S43" s="18">
        <f t="shared" si="7"/>
        <v>935.96</v>
      </c>
      <c r="T43" s="18">
        <f t="shared" si="8"/>
        <v>905.96</v>
      </c>
    </row>
    <row r="44" spans="2:20" x14ac:dyDescent="0.35">
      <c r="B44" s="29">
        <f>IF(B43="","",IF(B43+1&gt;Comparateur!$C$47,"",B43+1))</f>
        <v>37</v>
      </c>
      <c r="C44" s="18">
        <f>IF(OR($B44="",Comparateur!C$17&lt;&gt;"OK",$B44&gt;Comparateur!C$11),"",ROUND(F43*Comparateur!C$10/12,2))</f>
        <v>447.65</v>
      </c>
      <c r="D44" s="18">
        <f>IF(C44="","",IF($B44=Comparateur!C$11,F43,Comparateur!C$20-C44))</f>
        <v>429.52</v>
      </c>
      <c r="E44" s="18">
        <f>IF(C44="","",ROUND(IF(Comparateur!C$12=Paramètres!$B$36,Comparateur!C$9,F43)*Comparateur!C$13/12,2))</f>
        <v>63</v>
      </c>
      <c r="F44" s="31">
        <f t="shared" si="0"/>
        <v>164856.62</v>
      </c>
      <c r="G44" s="18">
        <f t="shared" si="1"/>
        <v>940.17</v>
      </c>
      <c r="H44" s="18">
        <f t="shared" si="2"/>
        <v>877.17</v>
      </c>
      <c r="I44" s="18">
        <f>IF(OR($B44="",Comparateur!D$17&lt;&gt;"OK",$B44&gt;Comparateur!D$11),"",ROUND(L43*Comparateur!D$10/12,2))</f>
        <v>469.09</v>
      </c>
      <c r="J44" s="18">
        <f>IF(I44="","",IF($B44=Comparateur!D$11,L43,Comparateur!D$20-I44))</f>
        <v>422.41</v>
      </c>
      <c r="K44" s="18">
        <f>IF(I44="","",ROUND(IF(Comparateur!D$12=Paramètres!$B$36,Comparateur!D$9,L43)*Comparateur!D$13/12,2))</f>
        <v>24.83</v>
      </c>
      <c r="L44" s="31">
        <f t="shared" si="3"/>
        <v>165140.24</v>
      </c>
      <c r="M44" s="18">
        <f t="shared" si="4"/>
        <v>916.33</v>
      </c>
      <c r="N44" s="18">
        <f t="shared" si="5"/>
        <v>891.5</v>
      </c>
      <c r="O44" s="18">
        <f>IF(OR($B44="",Comparateur!E$17&lt;&gt;"OK",$B44&gt;Comparateur!E$11),"",ROUND(R43*Comparateur!E$10/12,2))</f>
        <v>490.6</v>
      </c>
      <c r="P44" s="18">
        <f>IF(O44="","",IF($B44=Comparateur!E$11,R43,Comparateur!E$20-O44))</f>
        <v>415.36</v>
      </c>
      <c r="Q44" s="18">
        <f>IF(O44="","",ROUND(IF(Comparateur!E$12=Paramètres!$B$36,Comparateur!E$9,R43)*Comparateur!E$13/12,2))</f>
        <v>30</v>
      </c>
      <c r="R44" s="31">
        <f t="shared" si="6"/>
        <v>165420.14000000001</v>
      </c>
      <c r="S44" s="18">
        <f t="shared" si="7"/>
        <v>935.96</v>
      </c>
      <c r="T44" s="18">
        <f t="shared" si="8"/>
        <v>905.96</v>
      </c>
    </row>
    <row r="45" spans="2:20" x14ac:dyDescent="0.35">
      <c r="B45" s="29">
        <f>IF(B44="","",IF(B44+1&gt;Comparateur!$C$47,"",B44+1))</f>
        <v>38</v>
      </c>
      <c r="C45" s="18">
        <f>IF(OR($B45="",Comparateur!C$17&lt;&gt;"OK",$B45&gt;Comparateur!C$11),"",ROUND(F44*Comparateur!C$10/12,2))</f>
        <v>446.49</v>
      </c>
      <c r="D45" s="18">
        <f>IF(C45="","",IF($B45=Comparateur!C$11,F44,Comparateur!C$20-C45))</f>
        <v>430.67999999999995</v>
      </c>
      <c r="E45" s="18">
        <f>IF(C45="","",ROUND(IF(Comparateur!C$12=Paramètres!$B$36,Comparateur!C$9,F44)*Comparateur!C$13/12,2))</f>
        <v>63</v>
      </c>
      <c r="F45" s="31">
        <f t="shared" si="0"/>
        <v>164425.94</v>
      </c>
      <c r="G45" s="18">
        <f t="shared" si="1"/>
        <v>940.17</v>
      </c>
      <c r="H45" s="18">
        <f t="shared" si="2"/>
        <v>877.17</v>
      </c>
      <c r="I45" s="18">
        <f>IF(OR($B45="",Comparateur!D$17&lt;&gt;"OK",$B45&gt;Comparateur!D$11),"",ROUND(L44*Comparateur!D$10/12,2))</f>
        <v>467.9</v>
      </c>
      <c r="J45" s="18">
        <f>IF(I45="","",IF($B45=Comparateur!D$11,L44,Comparateur!D$20-I45))</f>
        <v>423.6</v>
      </c>
      <c r="K45" s="18">
        <f>IF(I45="","",ROUND(IF(Comparateur!D$12=Paramètres!$B$36,Comparateur!D$9,L44)*Comparateur!D$13/12,2))</f>
        <v>24.77</v>
      </c>
      <c r="L45" s="31">
        <f t="shared" si="3"/>
        <v>164716.64000000001</v>
      </c>
      <c r="M45" s="18">
        <f t="shared" si="4"/>
        <v>916.27</v>
      </c>
      <c r="N45" s="18">
        <f t="shared" si="5"/>
        <v>891.5</v>
      </c>
      <c r="O45" s="18">
        <f>IF(OR($B45="",Comparateur!E$17&lt;&gt;"OK",$B45&gt;Comparateur!E$11),"",ROUND(R44*Comparateur!E$10/12,2))</f>
        <v>489.37</v>
      </c>
      <c r="P45" s="18">
        <f>IF(O45="","",IF($B45=Comparateur!E$11,R44,Comparateur!E$20-O45))</f>
        <v>416.59000000000003</v>
      </c>
      <c r="Q45" s="18">
        <f>IF(O45="","",ROUND(IF(Comparateur!E$12=Paramètres!$B$36,Comparateur!E$9,R44)*Comparateur!E$13/12,2))</f>
        <v>30</v>
      </c>
      <c r="R45" s="31">
        <f t="shared" si="6"/>
        <v>165003.54999999999</v>
      </c>
      <c r="S45" s="18">
        <f t="shared" si="7"/>
        <v>935.96</v>
      </c>
      <c r="T45" s="18">
        <f t="shared" si="8"/>
        <v>905.96</v>
      </c>
    </row>
    <row r="46" spans="2:20" x14ac:dyDescent="0.35">
      <c r="B46" s="29">
        <f>IF(B45="","",IF(B45+1&gt;Comparateur!$C$47,"",B45+1))</f>
        <v>39</v>
      </c>
      <c r="C46" s="18">
        <f>IF(OR($B46="",Comparateur!C$17&lt;&gt;"OK",$B46&gt;Comparateur!C$11),"",ROUND(F45*Comparateur!C$10/12,2))</f>
        <v>445.32</v>
      </c>
      <c r="D46" s="18">
        <f>IF(C46="","",IF($B46=Comparateur!C$11,F45,Comparateur!C$20-C46))</f>
        <v>431.84999999999997</v>
      </c>
      <c r="E46" s="18">
        <f>IF(C46="","",ROUND(IF(Comparateur!C$12=Paramètres!$B$36,Comparateur!C$9,F45)*Comparateur!C$13/12,2))</f>
        <v>63</v>
      </c>
      <c r="F46" s="31">
        <f t="shared" si="0"/>
        <v>163994.09</v>
      </c>
      <c r="G46" s="18">
        <f t="shared" si="1"/>
        <v>940.17</v>
      </c>
      <c r="H46" s="18">
        <f t="shared" si="2"/>
        <v>877.17</v>
      </c>
      <c r="I46" s="18">
        <f>IF(OR($B46="",Comparateur!D$17&lt;&gt;"OK",$B46&gt;Comparateur!D$11),"",ROUND(L45*Comparateur!D$10/12,2))</f>
        <v>466.7</v>
      </c>
      <c r="J46" s="18">
        <f>IF(I46="","",IF($B46=Comparateur!D$11,L45,Comparateur!D$20-I46))</f>
        <v>424.8</v>
      </c>
      <c r="K46" s="18">
        <f>IF(I46="","",ROUND(IF(Comparateur!D$12=Paramètres!$B$36,Comparateur!D$9,L45)*Comparateur!D$13/12,2))</f>
        <v>24.71</v>
      </c>
      <c r="L46" s="31">
        <f t="shared" si="3"/>
        <v>164291.84</v>
      </c>
      <c r="M46" s="18">
        <f t="shared" si="4"/>
        <v>916.21</v>
      </c>
      <c r="N46" s="18">
        <f t="shared" si="5"/>
        <v>891.5</v>
      </c>
      <c r="O46" s="18">
        <f>IF(OR($B46="",Comparateur!E$17&lt;&gt;"OK",$B46&gt;Comparateur!E$11),"",ROUND(R45*Comparateur!E$10/12,2))</f>
        <v>488.14</v>
      </c>
      <c r="P46" s="18">
        <f>IF(O46="","",IF($B46=Comparateur!E$11,R45,Comparateur!E$20-O46))</f>
        <v>417.82000000000005</v>
      </c>
      <c r="Q46" s="18">
        <f>IF(O46="","",ROUND(IF(Comparateur!E$12=Paramètres!$B$36,Comparateur!E$9,R45)*Comparateur!E$13/12,2))</f>
        <v>30</v>
      </c>
      <c r="R46" s="31">
        <f t="shared" si="6"/>
        <v>164585.73000000001</v>
      </c>
      <c r="S46" s="18">
        <f t="shared" si="7"/>
        <v>935.96</v>
      </c>
      <c r="T46" s="18">
        <f t="shared" si="8"/>
        <v>905.96</v>
      </c>
    </row>
    <row r="47" spans="2:20" x14ac:dyDescent="0.35">
      <c r="B47" s="29">
        <f>IF(B46="","",IF(B46+1&gt;Comparateur!$C$47,"",B46+1))</f>
        <v>40</v>
      </c>
      <c r="C47" s="18">
        <f>IF(OR($B47="",Comparateur!C$17&lt;&gt;"OK",$B47&gt;Comparateur!C$11),"",ROUND(F46*Comparateur!C$10/12,2))</f>
        <v>444.15</v>
      </c>
      <c r="D47" s="18">
        <f>IF(C47="","",IF($B47=Comparateur!C$11,F46,Comparateur!C$20-C47))</f>
        <v>433.02</v>
      </c>
      <c r="E47" s="18">
        <f>IF(C47="","",ROUND(IF(Comparateur!C$12=Paramètres!$B$36,Comparateur!C$9,F46)*Comparateur!C$13/12,2))</f>
        <v>63</v>
      </c>
      <c r="F47" s="31">
        <f t="shared" si="0"/>
        <v>163561.07</v>
      </c>
      <c r="G47" s="18">
        <f t="shared" si="1"/>
        <v>940.17</v>
      </c>
      <c r="H47" s="18">
        <f t="shared" si="2"/>
        <v>877.17</v>
      </c>
      <c r="I47" s="18">
        <f>IF(OR($B47="",Comparateur!D$17&lt;&gt;"OK",$B47&gt;Comparateur!D$11),"",ROUND(L46*Comparateur!D$10/12,2))</f>
        <v>465.49</v>
      </c>
      <c r="J47" s="18">
        <f>IF(I47="","",IF($B47=Comparateur!D$11,L46,Comparateur!D$20-I47))</f>
        <v>426.01</v>
      </c>
      <c r="K47" s="18">
        <f>IF(I47="","",ROUND(IF(Comparateur!D$12=Paramètres!$B$36,Comparateur!D$9,L46)*Comparateur!D$13/12,2))</f>
        <v>24.64</v>
      </c>
      <c r="L47" s="31">
        <f t="shared" si="3"/>
        <v>163865.82999999999</v>
      </c>
      <c r="M47" s="18">
        <f t="shared" si="4"/>
        <v>916.14</v>
      </c>
      <c r="N47" s="18">
        <f t="shared" si="5"/>
        <v>891.5</v>
      </c>
      <c r="O47" s="18">
        <f>IF(OR($B47="",Comparateur!E$17&lt;&gt;"OK",$B47&gt;Comparateur!E$11),"",ROUND(R46*Comparateur!E$10/12,2))</f>
        <v>486.9</v>
      </c>
      <c r="P47" s="18">
        <f>IF(O47="","",IF($B47=Comparateur!E$11,R46,Comparateur!E$20-O47))</f>
        <v>419.06000000000006</v>
      </c>
      <c r="Q47" s="18">
        <f>IF(O47="","",ROUND(IF(Comparateur!E$12=Paramètres!$B$36,Comparateur!E$9,R46)*Comparateur!E$13/12,2))</f>
        <v>30</v>
      </c>
      <c r="R47" s="31">
        <f t="shared" si="6"/>
        <v>164166.67000000001</v>
      </c>
      <c r="S47" s="18">
        <f t="shared" si="7"/>
        <v>935.96</v>
      </c>
      <c r="T47" s="18">
        <f t="shared" si="8"/>
        <v>905.96</v>
      </c>
    </row>
    <row r="48" spans="2:20" x14ac:dyDescent="0.35">
      <c r="B48" s="29">
        <f>IF(B47="","",IF(B47+1&gt;Comparateur!$C$47,"",B47+1))</f>
        <v>41</v>
      </c>
      <c r="C48" s="18">
        <f>IF(OR($B48="",Comparateur!C$17&lt;&gt;"OK",$B48&gt;Comparateur!C$11),"",ROUND(F47*Comparateur!C$10/12,2))</f>
        <v>442.98</v>
      </c>
      <c r="D48" s="18">
        <f>IF(C48="","",IF($B48=Comparateur!C$11,F47,Comparateur!C$20-C48))</f>
        <v>434.18999999999994</v>
      </c>
      <c r="E48" s="18">
        <f>IF(C48="","",ROUND(IF(Comparateur!C$12=Paramètres!$B$36,Comparateur!C$9,F47)*Comparateur!C$13/12,2))</f>
        <v>63</v>
      </c>
      <c r="F48" s="31">
        <f t="shared" si="0"/>
        <v>163126.88</v>
      </c>
      <c r="G48" s="18">
        <f t="shared" si="1"/>
        <v>940.17</v>
      </c>
      <c r="H48" s="18">
        <f t="shared" si="2"/>
        <v>877.17</v>
      </c>
      <c r="I48" s="18">
        <f>IF(OR($B48="",Comparateur!D$17&lt;&gt;"OK",$B48&gt;Comparateur!D$11),"",ROUND(L47*Comparateur!D$10/12,2))</f>
        <v>464.29</v>
      </c>
      <c r="J48" s="18">
        <f>IF(I48="","",IF($B48=Comparateur!D$11,L47,Comparateur!D$20-I48))</f>
        <v>427.21</v>
      </c>
      <c r="K48" s="18">
        <f>IF(I48="","",ROUND(IF(Comparateur!D$12=Paramètres!$B$36,Comparateur!D$9,L47)*Comparateur!D$13/12,2))</f>
        <v>24.58</v>
      </c>
      <c r="L48" s="31">
        <f t="shared" si="3"/>
        <v>163438.62</v>
      </c>
      <c r="M48" s="18">
        <f t="shared" si="4"/>
        <v>916.08</v>
      </c>
      <c r="N48" s="18">
        <f t="shared" si="5"/>
        <v>891.5</v>
      </c>
      <c r="O48" s="18">
        <f>IF(OR($B48="",Comparateur!E$17&lt;&gt;"OK",$B48&gt;Comparateur!E$11),"",ROUND(R47*Comparateur!E$10/12,2))</f>
        <v>485.66</v>
      </c>
      <c r="P48" s="18">
        <f>IF(O48="","",IF($B48=Comparateur!E$11,R47,Comparateur!E$20-O48))</f>
        <v>420.3</v>
      </c>
      <c r="Q48" s="18">
        <f>IF(O48="","",ROUND(IF(Comparateur!E$12=Paramètres!$B$36,Comparateur!E$9,R47)*Comparateur!E$13/12,2))</f>
        <v>30</v>
      </c>
      <c r="R48" s="31">
        <f t="shared" si="6"/>
        <v>163746.37</v>
      </c>
      <c r="S48" s="18">
        <f t="shared" si="7"/>
        <v>935.96</v>
      </c>
      <c r="T48" s="18">
        <f t="shared" si="8"/>
        <v>905.96</v>
      </c>
    </row>
    <row r="49" spans="2:20" x14ac:dyDescent="0.35">
      <c r="B49" s="29">
        <f>IF(B48="","",IF(B48+1&gt;Comparateur!$C$47,"",B48+1))</f>
        <v>42</v>
      </c>
      <c r="C49" s="18">
        <f>IF(OR($B49="",Comparateur!C$17&lt;&gt;"OK",$B49&gt;Comparateur!C$11),"",ROUND(F48*Comparateur!C$10/12,2))</f>
        <v>441.8</v>
      </c>
      <c r="D49" s="18">
        <f>IF(C49="","",IF($B49=Comparateur!C$11,F48,Comparateur!C$20-C49))</f>
        <v>435.36999999999995</v>
      </c>
      <c r="E49" s="18">
        <f>IF(C49="","",ROUND(IF(Comparateur!C$12=Paramètres!$B$36,Comparateur!C$9,F48)*Comparateur!C$13/12,2))</f>
        <v>63</v>
      </c>
      <c r="F49" s="31">
        <f t="shared" si="0"/>
        <v>162691.51</v>
      </c>
      <c r="G49" s="18">
        <f t="shared" si="1"/>
        <v>940.17</v>
      </c>
      <c r="H49" s="18">
        <f t="shared" si="2"/>
        <v>877.17</v>
      </c>
      <c r="I49" s="18">
        <f>IF(OR($B49="",Comparateur!D$17&lt;&gt;"OK",$B49&gt;Comparateur!D$11),"",ROUND(L48*Comparateur!D$10/12,2))</f>
        <v>463.08</v>
      </c>
      <c r="J49" s="18">
        <f>IF(I49="","",IF($B49=Comparateur!D$11,L48,Comparateur!D$20-I49))</f>
        <v>428.42</v>
      </c>
      <c r="K49" s="18">
        <f>IF(I49="","",ROUND(IF(Comparateur!D$12=Paramètres!$B$36,Comparateur!D$9,L48)*Comparateur!D$13/12,2))</f>
        <v>24.52</v>
      </c>
      <c r="L49" s="31">
        <f t="shared" si="3"/>
        <v>163010.20000000001</v>
      </c>
      <c r="M49" s="18">
        <f t="shared" si="4"/>
        <v>916.02</v>
      </c>
      <c r="N49" s="18">
        <f t="shared" si="5"/>
        <v>891.5</v>
      </c>
      <c r="O49" s="18">
        <f>IF(OR($B49="",Comparateur!E$17&lt;&gt;"OK",$B49&gt;Comparateur!E$11),"",ROUND(R48*Comparateur!E$10/12,2))</f>
        <v>484.42</v>
      </c>
      <c r="P49" s="18">
        <f>IF(O49="","",IF($B49=Comparateur!E$11,R48,Comparateur!E$20-O49))</f>
        <v>421.54</v>
      </c>
      <c r="Q49" s="18">
        <f>IF(O49="","",ROUND(IF(Comparateur!E$12=Paramètres!$B$36,Comparateur!E$9,R48)*Comparateur!E$13/12,2))</f>
        <v>30</v>
      </c>
      <c r="R49" s="31">
        <f t="shared" si="6"/>
        <v>163324.82999999999</v>
      </c>
      <c r="S49" s="18">
        <f t="shared" si="7"/>
        <v>935.96</v>
      </c>
      <c r="T49" s="18">
        <f t="shared" si="8"/>
        <v>905.96</v>
      </c>
    </row>
    <row r="50" spans="2:20" x14ac:dyDescent="0.35">
      <c r="B50" s="29">
        <f>IF(B49="","",IF(B49+1&gt;Comparateur!$C$47,"",B49+1))</f>
        <v>43</v>
      </c>
      <c r="C50" s="18">
        <f>IF(OR($B50="",Comparateur!C$17&lt;&gt;"OK",$B50&gt;Comparateur!C$11),"",ROUND(F49*Comparateur!C$10/12,2))</f>
        <v>440.62</v>
      </c>
      <c r="D50" s="18">
        <f>IF(C50="","",IF($B50=Comparateur!C$11,F49,Comparateur!C$20-C50))</f>
        <v>436.54999999999995</v>
      </c>
      <c r="E50" s="18">
        <f>IF(C50="","",ROUND(IF(Comparateur!C$12=Paramètres!$B$36,Comparateur!C$9,F49)*Comparateur!C$13/12,2))</f>
        <v>63</v>
      </c>
      <c r="F50" s="31">
        <f t="shared" si="0"/>
        <v>162254.96</v>
      </c>
      <c r="G50" s="18">
        <f t="shared" si="1"/>
        <v>940.17</v>
      </c>
      <c r="H50" s="18">
        <f t="shared" si="2"/>
        <v>877.17</v>
      </c>
      <c r="I50" s="18">
        <f>IF(OR($B50="",Comparateur!D$17&lt;&gt;"OK",$B50&gt;Comparateur!D$11),"",ROUND(L49*Comparateur!D$10/12,2))</f>
        <v>461.86</v>
      </c>
      <c r="J50" s="18">
        <f>IF(I50="","",IF($B50=Comparateur!D$11,L49,Comparateur!D$20-I50))</f>
        <v>429.64</v>
      </c>
      <c r="K50" s="18">
        <f>IF(I50="","",ROUND(IF(Comparateur!D$12=Paramètres!$B$36,Comparateur!D$9,L49)*Comparateur!D$13/12,2))</f>
        <v>24.45</v>
      </c>
      <c r="L50" s="31">
        <f t="shared" si="3"/>
        <v>162580.56</v>
      </c>
      <c r="M50" s="18">
        <f t="shared" si="4"/>
        <v>915.95</v>
      </c>
      <c r="N50" s="18">
        <f t="shared" si="5"/>
        <v>891.5</v>
      </c>
      <c r="O50" s="18">
        <f>IF(OR($B50="",Comparateur!E$17&lt;&gt;"OK",$B50&gt;Comparateur!E$11),"",ROUND(R49*Comparateur!E$10/12,2))</f>
        <v>483.17</v>
      </c>
      <c r="P50" s="18">
        <f>IF(O50="","",IF($B50=Comparateur!E$11,R49,Comparateur!E$20-O50))</f>
        <v>422.79</v>
      </c>
      <c r="Q50" s="18">
        <f>IF(O50="","",ROUND(IF(Comparateur!E$12=Paramètres!$B$36,Comparateur!E$9,R49)*Comparateur!E$13/12,2))</f>
        <v>30</v>
      </c>
      <c r="R50" s="31">
        <f t="shared" si="6"/>
        <v>162902.04</v>
      </c>
      <c r="S50" s="18">
        <f t="shared" si="7"/>
        <v>935.96</v>
      </c>
      <c r="T50" s="18">
        <f t="shared" si="8"/>
        <v>905.96</v>
      </c>
    </row>
    <row r="51" spans="2:20" x14ac:dyDescent="0.35">
      <c r="B51" s="29">
        <f>IF(B50="","",IF(B50+1&gt;Comparateur!$C$47,"",B50+1))</f>
        <v>44</v>
      </c>
      <c r="C51" s="18">
        <f>IF(OR($B51="",Comparateur!C$17&lt;&gt;"OK",$B51&gt;Comparateur!C$11),"",ROUND(F50*Comparateur!C$10/12,2))</f>
        <v>439.44</v>
      </c>
      <c r="D51" s="18">
        <f>IF(C51="","",IF($B51=Comparateur!C$11,F50,Comparateur!C$20-C51))</f>
        <v>437.72999999999996</v>
      </c>
      <c r="E51" s="18">
        <f>IF(C51="","",ROUND(IF(Comparateur!C$12=Paramètres!$B$36,Comparateur!C$9,F50)*Comparateur!C$13/12,2))</f>
        <v>63</v>
      </c>
      <c r="F51" s="31">
        <f t="shared" si="0"/>
        <v>161817.23000000001</v>
      </c>
      <c r="G51" s="18">
        <f t="shared" si="1"/>
        <v>940.17</v>
      </c>
      <c r="H51" s="18">
        <f t="shared" si="2"/>
        <v>877.17</v>
      </c>
      <c r="I51" s="18">
        <f>IF(OR($B51="",Comparateur!D$17&lt;&gt;"OK",$B51&gt;Comparateur!D$11),"",ROUND(L50*Comparateur!D$10/12,2))</f>
        <v>460.64</v>
      </c>
      <c r="J51" s="18">
        <f>IF(I51="","",IF($B51=Comparateur!D$11,L50,Comparateur!D$20-I51))</f>
        <v>430.86</v>
      </c>
      <c r="K51" s="18">
        <f>IF(I51="","",ROUND(IF(Comparateur!D$12=Paramètres!$B$36,Comparateur!D$9,L50)*Comparateur!D$13/12,2))</f>
        <v>24.39</v>
      </c>
      <c r="L51" s="31">
        <f t="shared" si="3"/>
        <v>162149.70000000001</v>
      </c>
      <c r="M51" s="18">
        <f t="shared" si="4"/>
        <v>915.89</v>
      </c>
      <c r="N51" s="18">
        <f t="shared" si="5"/>
        <v>891.5</v>
      </c>
      <c r="O51" s="18">
        <f>IF(OR($B51="",Comparateur!E$17&lt;&gt;"OK",$B51&gt;Comparateur!E$11),"",ROUND(R50*Comparateur!E$10/12,2))</f>
        <v>481.92</v>
      </c>
      <c r="P51" s="18">
        <f>IF(O51="","",IF($B51=Comparateur!E$11,R50,Comparateur!E$20-O51))</f>
        <v>424.04</v>
      </c>
      <c r="Q51" s="18">
        <f>IF(O51="","",ROUND(IF(Comparateur!E$12=Paramètres!$B$36,Comparateur!E$9,R50)*Comparateur!E$13/12,2))</f>
        <v>30</v>
      </c>
      <c r="R51" s="31">
        <f t="shared" si="6"/>
        <v>162478</v>
      </c>
      <c r="S51" s="18">
        <f t="shared" si="7"/>
        <v>935.96</v>
      </c>
      <c r="T51" s="18">
        <f t="shared" si="8"/>
        <v>905.96</v>
      </c>
    </row>
    <row r="52" spans="2:20" x14ac:dyDescent="0.35">
      <c r="B52" s="29">
        <f>IF(B51="","",IF(B51+1&gt;Comparateur!$C$47,"",B51+1))</f>
        <v>45</v>
      </c>
      <c r="C52" s="18">
        <f>IF(OR($B52="",Comparateur!C$17&lt;&gt;"OK",$B52&gt;Comparateur!C$11),"",ROUND(F51*Comparateur!C$10/12,2))</f>
        <v>438.25</v>
      </c>
      <c r="D52" s="18">
        <f>IF(C52="","",IF($B52=Comparateur!C$11,F51,Comparateur!C$20-C52))</f>
        <v>438.91999999999996</v>
      </c>
      <c r="E52" s="18">
        <f>IF(C52="","",ROUND(IF(Comparateur!C$12=Paramètres!$B$36,Comparateur!C$9,F51)*Comparateur!C$13/12,2))</f>
        <v>63</v>
      </c>
      <c r="F52" s="31">
        <f t="shared" si="0"/>
        <v>161378.31</v>
      </c>
      <c r="G52" s="18">
        <f t="shared" si="1"/>
        <v>940.17</v>
      </c>
      <c r="H52" s="18">
        <f t="shared" si="2"/>
        <v>877.17</v>
      </c>
      <c r="I52" s="18">
        <f>IF(OR($B52="",Comparateur!D$17&lt;&gt;"OK",$B52&gt;Comparateur!D$11),"",ROUND(L51*Comparateur!D$10/12,2))</f>
        <v>459.42</v>
      </c>
      <c r="J52" s="18">
        <f>IF(I52="","",IF($B52=Comparateur!D$11,L51,Comparateur!D$20-I52))</f>
        <v>432.08</v>
      </c>
      <c r="K52" s="18">
        <f>IF(I52="","",ROUND(IF(Comparateur!D$12=Paramètres!$B$36,Comparateur!D$9,L51)*Comparateur!D$13/12,2))</f>
        <v>24.32</v>
      </c>
      <c r="L52" s="31">
        <f t="shared" si="3"/>
        <v>161717.62</v>
      </c>
      <c r="M52" s="18">
        <f t="shared" si="4"/>
        <v>915.82</v>
      </c>
      <c r="N52" s="18">
        <f t="shared" si="5"/>
        <v>891.5</v>
      </c>
      <c r="O52" s="18">
        <f>IF(OR($B52="",Comparateur!E$17&lt;&gt;"OK",$B52&gt;Comparateur!E$11),"",ROUND(R51*Comparateur!E$10/12,2))</f>
        <v>480.66</v>
      </c>
      <c r="P52" s="18">
        <f>IF(O52="","",IF($B52=Comparateur!E$11,R51,Comparateur!E$20-O52))</f>
        <v>425.3</v>
      </c>
      <c r="Q52" s="18">
        <f>IF(O52="","",ROUND(IF(Comparateur!E$12=Paramètres!$B$36,Comparateur!E$9,R51)*Comparateur!E$13/12,2))</f>
        <v>30</v>
      </c>
      <c r="R52" s="31">
        <f t="shared" si="6"/>
        <v>162052.70000000001</v>
      </c>
      <c r="S52" s="18">
        <f t="shared" si="7"/>
        <v>935.96</v>
      </c>
      <c r="T52" s="18">
        <f t="shared" si="8"/>
        <v>905.96</v>
      </c>
    </row>
    <row r="53" spans="2:20" x14ac:dyDescent="0.35">
      <c r="B53" s="29">
        <f>IF(B52="","",IF(B52+1&gt;Comparateur!$C$47,"",B52+1))</f>
        <v>46</v>
      </c>
      <c r="C53" s="18">
        <f>IF(OR($B53="",Comparateur!C$17&lt;&gt;"OK",$B53&gt;Comparateur!C$11),"",ROUND(F52*Comparateur!C$10/12,2))</f>
        <v>437.07</v>
      </c>
      <c r="D53" s="18">
        <f>IF(C53="","",IF($B53=Comparateur!C$11,F52,Comparateur!C$20-C53))</f>
        <v>440.09999999999997</v>
      </c>
      <c r="E53" s="18">
        <f>IF(C53="","",ROUND(IF(Comparateur!C$12=Paramètres!$B$36,Comparateur!C$9,F52)*Comparateur!C$13/12,2))</f>
        <v>63</v>
      </c>
      <c r="F53" s="31">
        <f t="shared" si="0"/>
        <v>160938.21</v>
      </c>
      <c r="G53" s="18">
        <f t="shared" si="1"/>
        <v>940.17</v>
      </c>
      <c r="H53" s="18">
        <f t="shared" si="2"/>
        <v>877.17</v>
      </c>
      <c r="I53" s="18">
        <f>IF(OR($B53="",Comparateur!D$17&lt;&gt;"OK",$B53&gt;Comparateur!D$11),"",ROUND(L52*Comparateur!D$10/12,2))</f>
        <v>458.2</v>
      </c>
      <c r="J53" s="18">
        <f>IF(I53="","",IF($B53=Comparateur!D$11,L52,Comparateur!D$20-I53))</f>
        <v>433.3</v>
      </c>
      <c r="K53" s="18">
        <f>IF(I53="","",ROUND(IF(Comparateur!D$12=Paramètres!$B$36,Comparateur!D$9,L52)*Comparateur!D$13/12,2))</f>
        <v>24.26</v>
      </c>
      <c r="L53" s="31">
        <f t="shared" si="3"/>
        <v>161284.32</v>
      </c>
      <c r="M53" s="18">
        <f t="shared" si="4"/>
        <v>915.76</v>
      </c>
      <c r="N53" s="18">
        <f t="shared" si="5"/>
        <v>891.5</v>
      </c>
      <c r="O53" s="18">
        <f>IF(OR($B53="",Comparateur!E$17&lt;&gt;"OK",$B53&gt;Comparateur!E$11),"",ROUND(R52*Comparateur!E$10/12,2))</f>
        <v>479.41</v>
      </c>
      <c r="P53" s="18">
        <f>IF(O53="","",IF($B53=Comparateur!E$11,R52,Comparateur!E$20-O53))</f>
        <v>426.55</v>
      </c>
      <c r="Q53" s="18">
        <f>IF(O53="","",ROUND(IF(Comparateur!E$12=Paramètres!$B$36,Comparateur!E$9,R52)*Comparateur!E$13/12,2))</f>
        <v>30</v>
      </c>
      <c r="R53" s="31">
        <f t="shared" si="6"/>
        <v>161626.15</v>
      </c>
      <c r="S53" s="18">
        <f t="shared" si="7"/>
        <v>935.96</v>
      </c>
      <c r="T53" s="18">
        <f t="shared" si="8"/>
        <v>905.96</v>
      </c>
    </row>
    <row r="54" spans="2:20" x14ac:dyDescent="0.35">
      <c r="B54" s="29">
        <f>IF(B53="","",IF(B53+1&gt;Comparateur!$C$47,"",B53+1))</f>
        <v>47</v>
      </c>
      <c r="C54" s="18">
        <f>IF(OR($B54="",Comparateur!C$17&lt;&gt;"OK",$B54&gt;Comparateur!C$11),"",ROUND(F53*Comparateur!C$10/12,2))</f>
        <v>435.87</v>
      </c>
      <c r="D54" s="18">
        <f>IF(C54="","",IF($B54=Comparateur!C$11,F53,Comparateur!C$20-C54))</f>
        <v>441.29999999999995</v>
      </c>
      <c r="E54" s="18">
        <f>IF(C54="","",ROUND(IF(Comparateur!C$12=Paramètres!$B$36,Comparateur!C$9,F53)*Comparateur!C$13/12,2))</f>
        <v>63</v>
      </c>
      <c r="F54" s="31">
        <f t="shared" si="0"/>
        <v>160496.91</v>
      </c>
      <c r="G54" s="18">
        <f t="shared" si="1"/>
        <v>940.17</v>
      </c>
      <c r="H54" s="18">
        <f t="shared" si="2"/>
        <v>877.17</v>
      </c>
      <c r="I54" s="18">
        <f>IF(OR($B54="",Comparateur!D$17&lt;&gt;"OK",$B54&gt;Comparateur!D$11),"",ROUND(L53*Comparateur!D$10/12,2))</f>
        <v>456.97</v>
      </c>
      <c r="J54" s="18">
        <f>IF(I54="","",IF($B54=Comparateur!D$11,L53,Comparateur!D$20-I54))</f>
        <v>434.53</v>
      </c>
      <c r="K54" s="18">
        <f>IF(I54="","",ROUND(IF(Comparateur!D$12=Paramètres!$B$36,Comparateur!D$9,L53)*Comparateur!D$13/12,2))</f>
        <v>24.19</v>
      </c>
      <c r="L54" s="31">
        <f t="shared" si="3"/>
        <v>160849.79</v>
      </c>
      <c r="M54" s="18">
        <f t="shared" si="4"/>
        <v>915.69</v>
      </c>
      <c r="N54" s="18">
        <f t="shared" si="5"/>
        <v>891.5</v>
      </c>
      <c r="O54" s="18">
        <f>IF(OR($B54="",Comparateur!E$17&lt;&gt;"OK",$B54&gt;Comparateur!E$11),"",ROUND(R53*Comparateur!E$10/12,2))</f>
        <v>478.14</v>
      </c>
      <c r="P54" s="18">
        <f>IF(O54="","",IF($B54=Comparateur!E$11,R53,Comparateur!E$20-O54))</f>
        <v>427.82000000000005</v>
      </c>
      <c r="Q54" s="18">
        <f>IF(O54="","",ROUND(IF(Comparateur!E$12=Paramètres!$B$36,Comparateur!E$9,R53)*Comparateur!E$13/12,2))</f>
        <v>30</v>
      </c>
      <c r="R54" s="31">
        <f t="shared" si="6"/>
        <v>161198.32999999999</v>
      </c>
      <c r="S54" s="18">
        <f t="shared" si="7"/>
        <v>935.96</v>
      </c>
      <c r="T54" s="18">
        <f t="shared" si="8"/>
        <v>905.96</v>
      </c>
    </row>
    <row r="55" spans="2:20" x14ac:dyDescent="0.35">
      <c r="B55" s="29">
        <f>IF(B54="","",IF(B54+1&gt;Comparateur!$C$47,"",B54+1))</f>
        <v>48</v>
      </c>
      <c r="C55" s="18">
        <f>IF(OR($B55="",Comparateur!C$17&lt;&gt;"OK",$B55&gt;Comparateur!C$11),"",ROUND(F54*Comparateur!C$10/12,2))</f>
        <v>434.68</v>
      </c>
      <c r="D55" s="18">
        <f>IF(C55="","",IF($B55=Comparateur!C$11,F54,Comparateur!C$20-C55))</f>
        <v>442.48999999999995</v>
      </c>
      <c r="E55" s="18">
        <f>IF(C55="","",ROUND(IF(Comparateur!C$12=Paramètres!$B$36,Comparateur!C$9,F54)*Comparateur!C$13/12,2))</f>
        <v>63</v>
      </c>
      <c r="F55" s="31">
        <f t="shared" si="0"/>
        <v>160054.42000000001</v>
      </c>
      <c r="G55" s="18">
        <f t="shared" si="1"/>
        <v>940.17</v>
      </c>
      <c r="H55" s="18">
        <f t="shared" si="2"/>
        <v>877.17</v>
      </c>
      <c r="I55" s="18">
        <f>IF(OR($B55="",Comparateur!D$17&lt;&gt;"OK",$B55&gt;Comparateur!D$11),"",ROUND(L54*Comparateur!D$10/12,2))</f>
        <v>455.74</v>
      </c>
      <c r="J55" s="18">
        <f>IF(I55="","",IF($B55=Comparateur!D$11,L54,Comparateur!D$20-I55))</f>
        <v>435.76</v>
      </c>
      <c r="K55" s="18">
        <f>IF(I55="","",ROUND(IF(Comparateur!D$12=Paramètres!$B$36,Comparateur!D$9,L54)*Comparateur!D$13/12,2))</f>
        <v>24.13</v>
      </c>
      <c r="L55" s="31">
        <f t="shared" si="3"/>
        <v>160414.03</v>
      </c>
      <c r="M55" s="18">
        <f t="shared" si="4"/>
        <v>915.63</v>
      </c>
      <c r="N55" s="18">
        <f t="shared" si="5"/>
        <v>891.5</v>
      </c>
      <c r="O55" s="18">
        <f>IF(OR($B55="",Comparateur!E$17&lt;&gt;"OK",$B55&gt;Comparateur!E$11),"",ROUND(R54*Comparateur!E$10/12,2))</f>
        <v>476.88</v>
      </c>
      <c r="P55" s="18">
        <f>IF(O55="","",IF($B55=Comparateur!E$11,R54,Comparateur!E$20-O55))</f>
        <v>429.08000000000004</v>
      </c>
      <c r="Q55" s="18">
        <f>IF(O55="","",ROUND(IF(Comparateur!E$12=Paramètres!$B$36,Comparateur!E$9,R54)*Comparateur!E$13/12,2))</f>
        <v>30</v>
      </c>
      <c r="R55" s="31">
        <f t="shared" si="6"/>
        <v>160769.25</v>
      </c>
      <c r="S55" s="18">
        <f t="shared" si="7"/>
        <v>935.96</v>
      </c>
      <c r="T55" s="18">
        <f t="shared" si="8"/>
        <v>905.96</v>
      </c>
    </row>
    <row r="56" spans="2:20" x14ac:dyDescent="0.35">
      <c r="B56" s="29">
        <f>IF(B55="","",IF(B55+1&gt;Comparateur!$C$47,"",B55+1))</f>
        <v>49</v>
      </c>
      <c r="C56" s="18">
        <f>IF(OR($B56="",Comparateur!C$17&lt;&gt;"OK",$B56&gt;Comparateur!C$11),"",ROUND(F55*Comparateur!C$10/12,2))</f>
        <v>433.48</v>
      </c>
      <c r="D56" s="18">
        <f>IF(C56="","",IF($B56=Comparateur!C$11,F55,Comparateur!C$20-C56))</f>
        <v>443.68999999999994</v>
      </c>
      <c r="E56" s="18">
        <f>IF(C56="","",ROUND(IF(Comparateur!C$12=Paramètres!$B$36,Comparateur!C$9,F55)*Comparateur!C$13/12,2))</f>
        <v>63</v>
      </c>
      <c r="F56" s="31">
        <f t="shared" si="0"/>
        <v>159610.73000000001</v>
      </c>
      <c r="G56" s="18">
        <f t="shared" si="1"/>
        <v>940.17</v>
      </c>
      <c r="H56" s="18">
        <f t="shared" si="2"/>
        <v>877.17</v>
      </c>
      <c r="I56" s="18">
        <f>IF(OR($B56="",Comparateur!D$17&lt;&gt;"OK",$B56&gt;Comparateur!D$11),"",ROUND(L55*Comparateur!D$10/12,2))</f>
        <v>454.51</v>
      </c>
      <c r="J56" s="18">
        <f>IF(I56="","",IF($B56=Comparateur!D$11,L55,Comparateur!D$20-I56))</f>
        <v>436.99</v>
      </c>
      <c r="K56" s="18">
        <f>IF(I56="","",ROUND(IF(Comparateur!D$12=Paramètres!$B$36,Comparateur!D$9,L55)*Comparateur!D$13/12,2))</f>
        <v>24.06</v>
      </c>
      <c r="L56" s="31">
        <f t="shared" si="3"/>
        <v>159977.04</v>
      </c>
      <c r="M56" s="18">
        <f t="shared" si="4"/>
        <v>915.56</v>
      </c>
      <c r="N56" s="18">
        <f t="shared" si="5"/>
        <v>891.5</v>
      </c>
      <c r="O56" s="18">
        <f>IF(OR($B56="",Comparateur!E$17&lt;&gt;"OK",$B56&gt;Comparateur!E$11),"",ROUND(R55*Comparateur!E$10/12,2))</f>
        <v>475.61</v>
      </c>
      <c r="P56" s="18">
        <f>IF(O56="","",IF($B56=Comparateur!E$11,R55,Comparateur!E$20-O56))</f>
        <v>430.35</v>
      </c>
      <c r="Q56" s="18">
        <f>IF(O56="","",ROUND(IF(Comparateur!E$12=Paramètres!$B$36,Comparateur!E$9,R55)*Comparateur!E$13/12,2))</f>
        <v>30</v>
      </c>
      <c r="R56" s="31">
        <f t="shared" si="6"/>
        <v>160338.9</v>
      </c>
      <c r="S56" s="18">
        <f t="shared" si="7"/>
        <v>935.96</v>
      </c>
      <c r="T56" s="18">
        <f t="shared" si="8"/>
        <v>905.96</v>
      </c>
    </row>
    <row r="57" spans="2:20" x14ac:dyDescent="0.35">
      <c r="B57" s="29">
        <f>IF(B56="","",IF(B56+1&gt;Comparateur!$C$47,"",B56+1))</f>
        <v>50</v>
      </c>
      <c r="C57" s="18">
        <f>IF(OR($B57="",Comparateur!C$17&lt;&gt;"OK",$B57&gt;Comparateur!C$11),"",ROUND(F56*Comparateur!C$10/12,2))</f>
        <v>432.28</v>
      </c>
      <c r="D57" s="18">
        <f>IF(C57="","",IF($B57=Comparateur!C$11,F56,Comparateur!C$20-C57))</f>
        <v>444.89</v>
      </c>
      <c r="E57" s="18">
        <f>IF(C57="","",ROUND(IF(Comparateur!C$12=Paramètres!$B$36,Comparateur!C$9,F56)*Comparateur!C$13/12,2))</f>
        <v>63</v>
      </c>
      <c r="F57" s="31">
        <f t="shared" si="0"/>
        <v>159165.84</v>
      </c>
      <c r="G57" s="18">
        <f t="shared" si="1"/>
        <v>940.17</v>
      </c>
      <c r="H57" s="18">
        <f t="shared" si="2"/>
        <v>877.17</v>
      </c>
      <c r="I57" s="18">
        <f>IF(OR($B57="",Comparateur!D$17&lt;&gt;"OK",$B57&gt;Comparateur!D$11),"",ROUND(L56*Comparateur!D$10/12,2))</f>
        <v>453.27</v>
      </c>
      <c r="J57" s="18">
        <f>IF(I57="","",IF($B57=Comparateur!D$11,L56,Comparateur!D$20-I57))</f>
        <v>438.23</v>
      </c>
      <c r="K57" s="18">
        <f>IF(I57="","",ROUND(IF(Comparateur!D$12=Paramètres!$B$36,Comparateur!D$9,L56)*Comparateur!D$13/12,2))</f>
        <v>24</v>
      </c>
      <c r="L57" s="31">
        <f t="shared" si="3"/>
        <v>159538.81</v>
      </c>
      <c r="M57" s="18">
        <f t="shared" si="4"/>
        <v>915.5</v>
      </c>
      <c r="N57" s="18">
        <f t="shared" si="5"/>
        <v>891.5</v>
      </c>
      <c r="O57" s="18">
        <f>IF(OR($B57="",Comparateur!E$17&lt;&gt;"OK",$B57&gt;Comparateur!E$11),"",ROUND(R56*Comparateur!E$10/12,2))</f>
        <v>474.34</v>
      </c>
      <c r="P57" s="18">
        <f>IF(O57="","",IF($B57=Comparateur!E$11,R56,Comparateur!E$20-O57))</f>
        <v>431.62000000000006</v>
      </c>
      <c r="Q57" s="18">
        <f>IF(O57="","",ROUND(IF(Comparateur!E$12=Paramètres!$B$36,Comparateur!E$9,R56)*Comparateur!E$13/12,2))</f>
        <v>30</v>
      </c>
      <c r="R57" s="31">
        <f t="shared" si="6"/>
        <v>159907.28</v>
      </c>
      <c r="S57" s="18">
        <f t="shared" si="7"/>
        <v>935.96</v>
      </c>
      <c r="T57" s="18">
        <f t="shared" si="8"/>
        <v>905.96</v>
      </c>
    </row>
    <row r="58" spans="2:20" x14ac:dyDescent="0.35">
      <c r="B58" s="29">
        <f>IF(B57="","",IF(B57+1&gt;Comparateur!$C$47,"",B57+1))</f>
        <v>51</v>
      </c>
      <c r="C58" s="18">
        <f>IF(OR($B58="",Comparateur!C$17&lt;&gt;"OK",$B58&gt;Comparateur!C$11),"",ROUND(F57*Comparateur!C$10/12,2))</f>
        <v>431.07</v>
      </c>
      <c r="D58" s="18">
        <f>IF(C58="","",IF($B58=Comparateur!C$11,F57,Comparateur!C$20-C58))</f>
        <v>446.09999999999997</v>
      </c>
      <c r="E58" s="18">
        <f>IF(C58="","",ROUND(IF(Comparateur!C$12=Paramètres!$B$36,Comparateur!C$9,F57)*Comparateur!C$13/12,2))</f>
        <v>63</v>
      </c>
      <c r="F58" s="31">
        <f t="shared" si="0"/>
        <v>158719.74</v>
      </c>
      <c r="G58" s="18">
        <f t="shared" si="1"/>
        <v>940.17</v>
      </c>
      <c r="H58" s="18">
        <f t="shared" si="2"/>
        <v>877.17</v>
      </c>
      <c r="I58" s="18">
        <f>IF(OR($B58="",Comparateur!D$17&lt;&gt;"OK",$B58&gt;Comparateur!D$11),"",ROUND(L57*Comparateur!D$10/12,2))</f>
        <v>452.03</v>
      </c>
      <c r="J58" s="18">
        <f>IF(I58="","",IF($B58=Comparateur!D$11,L57,Comparateur!D$20-I58))</f>
        <v>439.47</v>
      </c>
      <c r="K58" s="18">
        <f>IF(I58="","",ROUND(IF(Comparateur!D$12=Paramètres!$B$36,Comparateur!D$9,L57)*Comparateur!D$13/12,2))</f>
        <v>23.93</v>
      </c>
      <c r="L58" s="31">
        <f t="shared" si="3"/>
        <v>159099.34</v>
      </c>
      <c r="M58" s="18">
        <f t="shared" si="4"/>
        <v>915.43</v>
      </c>
      <c r="N58" s="18">
        <f t="shared" si="5"/>
        <v>891.5</v>
      </c>
      <c r="O58" s="18">
        <f>IF(OR($B58="",Comparateur!E$17&lt;&gt;"OK",$B58&gt;Comparateur!E$11),"",ROUND(R57*Comparateur!E$10/12,2))</f>
        <v>473.06</v>
      </c>
      <c r="P58" s="18">
        <f>IF(O58="","",IF($B58=Comparateur!E$11,R57,Comparateur!E$20-O58))</f>
        <v>432.90000000000003</v>
      </c>
      <c r="Q58" s="18">
        <f>IF(O58="","",ROUND(IF(Comparateur!E$12=Paramètres!$B$36,Comparateur!E$9,R57)*Comparateur!E$13/12,2))</f>
        <v>30</v>
      </c>
      <c r="R58" s="31">
        <f t="shared" si="6"/>
        <v>159474.38</v>
      </c>
      <c r="S58" s="18">
        <f t="shared" si="7"/>
        <v>935.96</v>
      </c>
      <c r="T58" s="18">
        <f t="shared" si="8"/>
        <v>905.96</v>
      </c>
    </row>
    <row r="59" spans="2:20" x14ac:dyDescent="0.35">
      <c r="B59" s="29">
        <f>IF(B58="","",IF(B58+1&gt;Comparateur!$C$47,"",B58+1))</f>
        <v>52</v>
      </c>
      <c r="C59" s="18">
        <f>IF(OR($B59="",Comparateur!C$17&lt;&gt;"OK",$B59&gt;Comparateur!C$11),"",ROUND(F58*Comparateur!C$10/12,2))</f>
        <v>429.87</v>
      </c>
      <c r="D59" s="18">
        <f>IF(C59="","",IF($B59=Comparateur!C$11,F58,Comparateur!C$20-C59))</f>
        <v>447.29999999999995</v>
      </c>
      <c r="E59" s="18">
        <f>IF(C59="","",ROUND(IF(Comparateur!C$12=Paramètres!$B$36,Comparateur!C$9,F58)*Comparateur!C$13/12,2))</f>
        <v>63</v>
      </c>
      <c r="F59" s="31">
        <f t="shared" si="0"/>
        <v>158272.44</v>
      </c>
      <c r="G59" s="18">
        <f t="shared" si="1"/>
        <v>940.17</v>
      </c>
      <c r="H59" s="18">
        <f t="shared" si="2"/>
        <v>877.17</v>
      </c>
      <c r="I59" s="18">
        <f>IF(OR($B59="",Comparateur!D$17&lt;&gt;"OK",$B59&gt;Comparateur!D$11),"",ROUND(L58*Comparateur!D$10/12,2))</f>
        <v>450.78</v>
      </c>
      <c r="J59" s="18">
        <f>IF(I59="","",IF($B59=Comparateur!D$11,L58,Comparateur!D$20-I59))</f>
        <v>440.72</v>
      </c>
      <c r="K59" s="18">
        <f>IF(I59="","",ROUND(IF(Comparateur!D$12=Paramètres!$B$36,Comparateur!D$9,L58)*Comparateur!D$13/12,2))</f>
        <v>23.86</v>
      </c>
      <c r="L59" s="31">
        <f t="shared" si="3"/>
        <v>158658.62</v>
      </c>
      <c r="M59" s="18">
        <f t="shared" si="4"/>
        <v>915.36</v>
      </c>
      <c r="N59" s="18">
        <f t="shared" si="5"/>
        <v>891.5</v>
      </c>
      <c r="O59" s="18">
        <f>IF(OR($B59="",Comparateur!E$17&lt;&gt;"OK",$B59&gt;Comparateur!E$11),"",ROUND(R58*Comparateur!E$10/12,2))</f>
        <v>471.78</v>
      </c>
      <c r="P59" s="18">
        <f>IF(O59="","",IF($B59=Comparateur!E$11,R58,Comparateur!E$20-O59))</f>
        <v>434.18000000000006</v>
      </c>
      <c r="Q59" s="18">
        <f>IF(O59="","",ROUND(IF(Comparateur!E$12=Paramètres!$B$36,Comparateur!E$9,R58)*Comparateur!E$13/12,2))</f>
        <v>30</v>
      </c>
      <c r="R59" s="31">
        <f t="shared" si="6"/>
        <v>159040.20000000001</v>
      </c>
      <c r="S59" s="18">
        <f t="shared" si="7"/>
        <v>935.96</v>
      </c>
      <c r="T59" s="18">
        <f t="shared" si="8"/>
        <v>905.96</v>
      </c>
    </row>
    <row r="60" spans="2:20" x14ac:dyDescent="0.35">
      <c r="B60" s="29">
        <f>IF(B59="","",IF(B59+1&gt;Comparateur!$C$47,"",B59+1))</f>
        <v>53</v>
      </c>
      <c r="C60" s="18">
        <f>IF(OR($B60="",Comparateur!C$17&lt;&gt;"OK",$B60&gt;Comparateur!C$11),"",ROUND(F59*Comparateur!C$10/12,2))</f>
        <v>428.65</v>
      </c>
      <c r="D60" s="18">
        <f>IF(C60="","",IF($B60=Comparateur!C$11,F59,Comparateur!C$20-C60))</f>
        <v>448.52</v>
      </c>
      <c r="E60" s="18">
        <f>IF(C60="","",ROUND(IF(Comparateur!C$12=Paramètres!$B$36,Comparateur!C$9,F59)*Comparateur!C$13/12,2))</f>
        <v>63</v>
      </c>
      <c r="F60" s="31">
        <f t="shared" si="0"/>
        <v>157823.92000000001</v>
      </c>
      <c r="G60" s="18">
        <f t="shared" si="1"/>
        <v>940.17</v>
      </c>
      <c r="H60" s="18">
        <f t="shared" si="2"/>
        <v>877.17</v>
      </c>
      <c r="I60" s="18">
        <f>IF(OR($B60="",Comparateur!D$17&lt;&gt;"OK",$B60&gt;Comparateur!D$11),"",ROUND(L59*Comparateur!D$10/12,2))</f>
        <v>449.53</v>
      </c>
      <c r="J60" s="18">
        <f>IF(I60="","",IF($B60=Comparateur!D$11,L59,Comparateur!D$20-I60))</f>
        <v>441.97</v>
      </c>
      <c r="K60" s="18">
        <f>IF(I60="","",ROUND(IF(Comparateur!D$12=Paramètres!$B$36,Comparateur!D$9,L59)*Comparateur!D$13/12,2))</f>
        <v>23.8</v>
      </c>
      <c r="L60" s="31">
        <f t="shared" si="3"/>
        <v>158216.65</v>
      </c>
      <c r="M60" s="18">
        <f t="shared" si="4"/>
        <v>915.3</v>
      </c>
      <c r="N60" s="18">
        <f t="shared" si="5"/>
        <v>891.5</v>
      </c>
      <c r="O60" s="18">
        <f>IF(OR($B60="",Comparateur!E$17&lt;&gt;"OK",$B60&gt;Comparateur!E$11),"",ROUND(R59*Comparateur!E$10/12,2))</f>
        <v>470.49</v>
      </c>
      <c r="P60" s="18">
        <f>IF(O60="","",IF($B60=Comparateur!E$11,R59,Comparateur!E$20-O60))</f>
        <v>435.47</v>
      </c>
      <c r="Q60" s="18">
        <f>IF(O60="","",ROUND(IF(Comparateur!E$12=Paramètres!$B$36,Comparateur!E$9,R59)*Comparateur!E$13/12,2))</f>
        <v>30</v>
      </c>
      <c r="R60" s="31">
        <f t="shared" si="6"/>
        <v>158604.73000000001</v>
      </c>
      <c r="S60" s="18">
        <f t="shared" si="7"/>
        <v>935.96</v>
      </c>
      <c r="T60" s="18">
        <f t="shared" si="8"/>
        <v>905.96</v>
      </c>
    </row>
    <row r="61" spans="2:20" x14ac:dyDescent="0.35">
      <c r="B61" s="29">
        <f>IF(B60="","",IF(B60+1&gt;Comparateur!$C$47,"",B60+1))</f>
        <v>54</v>
      </c>
      <c r="C61" s="18">
        <f>IF(OR($B61="",Comparateur!C$17&lt;&gt;"OK",$B61&gt;Comparateur!C$11),"",ROUND(F60*Comparateur!C$10/12,2))</f>
        <v>427.44</v>
      </c>
      <c r="D61" s="18">
        <f>IF(C61="","",IF($B61=Comparateur!C$11,F60,Comparateur!C$20-C61))</f>
        <v>449.72999999999996</v>
      </c>
      <c r="E61" s="18">
        <f>IF(C61="","",ROUND(IF(Comparateur!C$12=Paramètres!$B$36,Comparateur!C$9,F60)*Comparateur!C$13/12,2))</f>
        <v>63</v>
      </c>
      <c r="F61" s="31">
        <f t="shared" si="0"/>
        <v>157374.19</v>
      </c>
      <c r="G61" s="18">
        <f t="shared" si="1"/>
        <v>940.17</v>
      </c>
      <c r="H61" s="18">
        <f t="shared" si="2"/>
        <v>877.17</v>
      </c>
      <c r="I61" s="18">
        <f>IF(OR($B61="",Comparateur!D$17&lt;&gt;"OK",$B61&gt;Comparateur!D$11),"",ROUND(L60*Comparateur!D$10/12,2))</f>
        <v>448.28</v>
      </c>
      <c r="J61" s="18">
        <f>IF(I61="","",IF($B61=Comparateur!D$11,L60,Comparateur!D$20-I61))</f>
        <v>443.22</v>
      </c>
      <c r="K61" s="18">
        <f>IF(I61="","",ROUND(IF(Comparateur!D$12=Paramètres!$B$36,Comparateur!D$9,L60)*Comparateur!D$13/12,2))</f>
        <v>23.73</v>
      </c>
      <c r="L61" s="31">
        <f t="shared" si="3"/>
        <v>157773.43</v>
      </c>
      <c r="M61" s="18">
        <f t="shared" si="4"/>
        <v>915.23</v>
      </c>
      <c r="N61" s="18">
        <f t="shared" si="5"/>
        <v>891.5</v>
      </c>
      <c r="O61" s="18">
        <f>IF(OR($B61="",Comparateur!E$17&lt;&gt;"OK",$B61&gt;Comparateur!E$11),"",ROUND(R60*Comparateur!E$10/12,2))</f>
        <v>469.21</v>
      </c>
      <c r="P61" s="18">
        <f>IF(O61="","",IF($B61=Comparateur!E$11,R60,Comparateur!E$20-O61))</f>
        <v>436.75000000000006</v>
      </c>
      <c r="Q61" s="18">
        <f>IF(O61="","",ROUND(IF(Comparateur!E$12=Paramètres!$B$36,Comparateur!E$9,R60)*Comparateur!E$13/12,2))</f>
        <v>30</v>
      </c>
      <c r="R61" s="31">
        <f t="shared" si="6"/>
        <v>158167.98000000001</v>
      </c>
      <c r="S61" s="18">
        <f t="shared" si="7"/>
        <v>935.96</v>
      </c>
      <c r="T61" s="18">
        <f t="shared" si="8"/>
        <v>905.96</v>
      </c>
    </row>
    <row r="62" spans="2:20" x14ac:dyDescent="0.35">
      <c r="B62" s="29">
        <f>IF(B61="","",IF(B61+1&gt;Comparateur!$C$47,"",B61+1))</f>
        <v>55</v>
      </c>
      <c r="C62" s="18">
        <f>IF(OR($B62="",Comparateur!C$17&lt;&gt;"OK",$B62&gt;Comparateur!C$11),"",ROUND(F61*Comparateur!C$10/12,2))</f>
        <v>426.22</v>
      </c>
      <c r="D62" s="18">
        <f>IF(C62="","",IF($B62=Comparateur!C$11,F61,Comparateur!C$20-C62))</f>
        <v>450.94999999999993</v>
      </c>
      <c r="E62" s="18">
        <f>IF(C62="","",ROUND(IF(Comparateur!C$12=Paramètres!$B$36,Comparateur!C$9,F61)*Comparateur!C$13/12,2))</f>
        <v>63</v>
      </c>
      <c r="F62" s="31">
        <f t="shared" si="0"/>
        <v>156923.24</v>
      </c>
      <c r="G62" s="18">
        <f t="shared" si="1"/>
        <v>940.17</v>
      </c>
      <c r="H62" s="18">
        <f t="shared" si="2"/>
        <v>877.17</v>
      </c>
      <c r="I62" s="18">
        <f>IF(OR($B62="",Comparateur!D$17&lt;&gt;"OK",$B62&gt;Comparateur!D$11),"",ROUND(L61*Comparateur!D$10/12,2))</f>
        <v>447.02</v>
      </c>
      <c r="J62" s="18">
        <f>IF(I62="","",IF($B62=Comparateur!D$11,L61,Comparateur!D$20-I62))</f>
        <v>444.48</v>
      </c>
      <c r="K62" s="18">
        <f>IF(I62="","",ROUND(IF(Comparateur!D$12=Paramètres!$B$36,Comparateur!D$9,L61)*Comparateur!D$13/12,2))</f>
        <v>23.67</v>
      </c>
      <c r="L62" s="31">
        <f t="shared" si="3"/>
        <v>157328.95000000001</v>
      </c>
      <c r="M62" s="18">
        <f t="shared" si="4"/>
        <v>915.17</v>
      </c>
      <c r="N62" s="18">
        <f t="shared" si="5"/>
        <v>891.5</v>
      </c>
      <c r="O62" s="18">
        <f>IF(OR($B62="",Comparateur!E$17&lt;&gt;"OK",$B62&gt;Comparateur!E$11),"",ROUND(R61*Comparateur!E$10/12,2))</f>
        <v>467.91</v>
      </c>
      <c r="P62" s="18">
        <f>IF(O62="","",IF($B62=Comparateur!E$11,R61,Comparateur!E$20-O62))</f>
        <v>438.05</v>
      </c>
      <c r="Q62" s="18">
        <f>IF(O62="","",ROUND(IF(Comparateur!E$12=Paramètres!$B$36,Comparateur!E$9,R61)*Comparateur!E$13/12,2))</f>
        <v>30</v>
      </c>
      <c r="R62" s="31">
        <f t="shared" si="6"/>
        <v>157729.93</v>
      </c>
      <c r="S62" s="18">
        <f t="shared" si="7"/>
        <v>935.96</v>
      </c>
      <c r="T62" s="18">
        <f t="shared" si="8"/>
        <v>905.96</v>
      </c>
    </row>
    <row r="63" spans="2:20" x14ac:dyDescent="0.35">
      <c r="B63" s="29">
        <f>IF(B62="","",IF(B62+1&gt;Comparateur!$C$47,"",B62+1))</f>
        <v>56</v>
      </c>
      <c r="C63" s="18">
        <f>IF(OR($B63="",Comparateur!C$17&lt;&gt;"OK",$B63&gt;Comparateur!C$11),"",ROUND(F62*Comparateur!C$10/12,2))</f>
        <v>425</v>
      </c>
      <c r="D63" s="18">
        <f>IF(C63="","",IF($B63=Comparateur!C$11,F62,Comparateur!C$20-C63))</f>
        <v>452.16999999999996</v>
      </c>
      <c r="E63" s="18">
        <f>IF(C63="","",ROUND(IF(Comparateur!C$12=Paramètres!$B$36,Comparateur!C$9,F62)*Comparateur!C$13/12,2))</f>
        <v>63</v>
      </c>
      <c r="F63" s="31">
        <f t="shared" si="0"/>
        <v>156471.07</v>
      </c>
      <c r="G63" s="18">
        <f t="shared" si="1"/>
        <v>940.17</v>
      </c>
      <c r="H63" s="18">
        <f t="shared" si="2"/>
        <v>877.17</v>
      </c>
      <c r="I63" s="18">
        <f>IF(OR($B63="",Comparateur!D$17&lt;&gt;"OK",$B63&gt;Comparateur!D$11),"",ROUND(L62*Comparateur!D$10/12,2))</f>
        <v>445.77</v>
      </c>
      <c r="J63" s="18">
        <f>IF(I63="","",IF($B63=Comparateur!D$11,L62,Comparateur!D$20-I63))</f>
        <v>445.73</v>
      </c>
      <c r="K63" s="18">
        <f>IF(I63="","",ROUND(IF(Comparateur!D$12=Paramètres!$B$36,Comparateur!D$9,L62)*Comparateur!D$13/12,2))</f>
        <v>23.6</v>
      </c>
      <c r="L63" s="31">
        <f t="shared" si="3"/>
        <v>156883.22</v>
      </c>
      <c r="M63" s="18">
        <f t="shared" si="4"/>
        <v>915.1</v>
      </c>
      <c r="N63" s="18">
        <f t="shared" si="5"/>
        <v>891.5</v>
      </c>
      <c r="O63" s="18">
        <f>IF(OR($B63="",Comparateur!E$17&lt;&gt;"OK",$B63&gt;Comparateur!E$11),"",ROUND(R62*Comparateur!E$10/12,2))</f>
        <v>466.62</v>
      </c>
      <c r="P63" s="18">
        <f>IF(O63="","",IF($B63=Comparateur!E$11,R62,Comparateur!E$20-O63))</f>
        <v>439.34000000000003</v>
      </c>
      <c r="Q63" s="18">
        <f>IF(O63="","",ROUND(IF(Comparateur!E$12=Paramètres!$B$36,Comparateur!E$9,R62)*Comparateur!E$13/12,2))</f>
        <v>30</v>
      </c>
      <c r="R63" s="31">
        <f t="shared" si="6"/>
        <v>157290.59</v>
      </c>
      <c r="S63" s="18">
        <f t="shared" si="7"/>
        <v>935.96</v>
      </c>
      <c r="T63" s="18">
        <f t="shared" si="8"/>
        <v>905.96</v>
      </c>
    </row>
    <row r="64" spans="2:20" x14ac:dyDescent="0.35">
      <c r="B64" s="29">
        <f>IF(B63="","",IF(B63+1&gt;Comparateur!$C$47,"",B63+1))</f>
        <v>57</v>
      </c>
      <c r="C64" s="18">
        <f>IF(OR($B64="",Comparateur!C$17&lt;&gt;"OK",$B64&gt;Comparateur!C$11),"",ROUND(F63*Comparateur!C$10/12,2))</f>
        <v>423.78</v>
      </c>
      <c r="D64" s="18">
        <f>IF(C64="","",IF($B64=Comparateur!C$11,F63,Comparateur!C$20-C64))</f>
        <v>453.39</v>
      </c>
      <c r="E64" s="18">
        <f>IF(C64="","",ROUND(IF(Comparateur!C$12=Paramètres!$B$36,Comparateur!C$9,F63)*Comparateur!C$13/12,2))</f>
        <v>63</v>
      </c>
      <c r="F64" s="31">
        <f t="shared" si="0"/>
        <v>156017.68</v>
      </c>
      <c r="G64" s="18">
        <f t="shared" si="1"/>
        <v>940.17</v>
      </c>
      <c r="H64" s="18">
        <f t="shared" si="2"/>
        <v>877.17</v>
      </c>
      <c r="I64" s="18">
        <f>IF(OR($B64="",Comparateur!D$17&lt;&gt;"OK",$B64&gt;Comparateur!D$11),"",ROUND(L63*Comparateur!D$10/12,2))</f>
        <v>444.5</v>
      </c>
      <c r="J64" s="18">
        <f>IF(I64="","",IF($B64=Comparateur!D$11,L63,Comparateur!D$20-I64))</f>
        <v>447</v>
      </c>
      <c r="K64" s="18">
        <f>IF(I64="","",ROUND(IF(Comparateur!D$12=Paramètres!$B$36,Comparateur!D$9,L63)*Comparateur!D$13/12,2))</f>
        <v>23.53</v>
      </c>
      <c r="L64" s="31">
        <f t="shared" si="3"/>
        <v>156436.22</v>
      </c>
      <c r="M64" s="18">
        <f t="shared" si="4"/>
        <v>915.03</v>
      </c>
      <c r="N64" s="18">
        <f t="shared" si="5"/>
        <v>891.5</v>
      </c>
      <c r="O64" s="18">
        <f>IF(OR($B64="",Comparateur!E$17&lt;&gt;"OK",$B64&gt;Comparateur!E$11),"",ROUND(R63*Comparateur!E$10/12,2))</f>
        <v>465.32</v>
      </c>
      <c r="P64" s="18">
        <f>IF(O64="","",IF($B64=Comparateur!E$11,R63,Comparateur!E$20-O64))</f>
        <v>440.64000000000004</v>
      </c>
      <c r="Q64" s="18">
        <f>IF(O64="","",ROUND(IF(Comparateur!E$12=Paramètres!$B$36,Comparateur!E$9,R63)*Comparateur!E$13/12,2))</f>
        <v>30</v>
      </c>
      <c r="R64" s="31">
        <f t="shared" si="6"/>
        <v>156849.95000000001</v>
      </c>
      <c r="S64" s="18">
        <f t="shared" si="7"/>
        <v>935.96</v>
      </c>
      <c r="T64" s="18">
        <f t="shared" si="8"/>
        <v>905.96</v>
      </c>
    </row>
    <row r="65" spans="2:20" x14ac:dyDescent="0.35">
      <c r="B65" s="29">
        <f>IF(B64="","",IF(B64+1&gt;Comparateur!$C$47,"",B64+1))</f>
        <v>58</v>
      </c>
      <c r="C65" s="18">
        <f>IF(OR($B65="",Comparateur!C$17&lt;&gt;"OK",$B65&gt;Comparateur!C$11),"",ROUND(F64*Comparateur!C$10/12,2))</f>
        <v>422.55</v>
      </c>
      <c r="D65" s="18">
        <f>IF(C65="","",IF($B65=Comparateur!C$11,F64,Comparateur!C$20-C65))</f>
        <v>454.61999999999995</v>
      </c>
      <c r="E65" s="18">
        <f>IF(C65="","",ROUND(IF(Comparateur!C$12=Paramètres!$B$36,Comparateur!C$9,F64)*Comparateur!C$13/12,2))</f>
        <v>63</v>
      </c>
      <c r="F65" s="31">
        <f t="shared" si="0"/>
        <v>155563.06</v>
      </c>
      <c r="G65" s="18">
        <f t="shared" si="1"/>
        <v>940.17</v>
      </c>
      <c r="H65" s="18">
        <f t="shared" si="2"/>
        <v>877.17</v>
      </c>
      <c r="I65" s="18">
        <f>IF(OR($B65="",Comparateur!D$17&lt;&gt;"OK",$B65&gt;Comparateur!D$11),"",ROUND(L64*Comparateur!D$10/12,2))</f>
        <v>443.24</v>
      </c>
      <c r="J65" s="18">
        <f>IF(I65="","",IF($B65=Comparateur!D$11,L64,Comparateur!D$20-I65))</f>
        <v>448.26</v>
      </c>
      <c r="K65" s="18">
        <f>IF(I65="","",ROUND(IF(Comparateur!D$12=Paramètres!$B$36,Comparateur!D$9,L64)*Comparateur!D$13/12,2))</f>
        <v>23.47</v>
      </c>
      <c r="L65" s="31">
        <f t="shared" si="3"/>
        <v>155987.96</v>
      </c>
      <c r="M65" s="18">
        <f t="shared" si="4"/>
        <v>914.97</v>
      </c>
      <c r="N65" s="18">
        <f t="shared" si="5"/>
        <v>891.5</v>
      </c>
      <c r="O65" s="18">
        <f>IF(OR($B65="",Comparateur!E$17&lt;&gt;"OK",$B65&gt;Comparateur!E$11),"",ROUND(R64*Comparateur!E$10/12,2))</f>
        <v>464.01</v>
      </c>
      <c r="P65" s="18">
        <f>IF(O65="","",IF($B65=Comparateur!E$11,R64,Comparateur!E$20-O65))</f>
        <v>441.95000000000005</v>
      </c>
      <c r="Q65" s="18">
        <f>IF(O65="","",ROUND(IF(Comparateur!E$12=Paramètres!$B$36,Comparateur!E$9,R64)*Comparateur!E$13/12,2))</f>
        <v>30</v>
      </c>
      <c r="R65" s="31">
        <f t="shared" si="6"/>
        <v>156408</v>
      </c>
      <c r="S65" s="18">
        <f t="shared" si="7"/>
        <v>935.96</v>
      </c>
      <c r="T65" s="18">
        <f t="shared" si="8"/>
        <v>905.96</v>
      </c>
    </row>
    <row r="66" spans="2:20" x14ac:dyDescent="0.35">
      <c r="B66" s="29">
        <f>IF(B65="","",IF(B65+1&gt;Comparateur!$C$47,"",B65+1))</f>
        <v>59</v>
      </c>
      <c r="C66" s="18">
        <f>IF(OR($B66="",Comparateur!C$17&lt;&gt;"OK",$B66&gt;Comparateur!C$11),"",ROUND(F65*Comparateur!C$10/12,2))</f>
        <v>421.32</v>
      </c>
      <c r="D66" s="18">
        <f>IF(C66="","",IF($B66=Comparateur!C$11,F65,Comparateur!C$20-C66))</f>
        <v>455.84999999999997</v>
      </c>
      <c r="E66" s="18">
        <f>IF(C66="","",ROUND(IF(Comparateur!C$12=Paramètres!$B$36,Comparateur!C$9,F65)*Comparateur!C$13/12,2))</f>
        <v>63</v>
      </c>
      <c r="F66" s="31">
        <f t="shared" si="0"/>
        <v>155107.21</v>
      </c>
      <c r="G66" s="18">
        <f t="shared" si="1"/>
        <v>940.17</v>
      </c>
      <c r="H66" s="18">
        <f t="shared" si="2"/>
        <v>877.17</v>
      </c>
      <c r="I66" s="18">
        <f>IF(OR($B66="",Comparateur!D$17&lt;&gt;"OK",$B66&gt;Comparateur!D$11),"",ROUND(L65*Comparateur!D$10/12,2))</f>
        <v>441.97</v>
      </c>
      <c r="J66" s="18">
        <f>IF(I66="","",IF($B66=Comparateur!D$11,L65,Comparateur!D$20-I66))</f>
        <v>449.53</v>
      </c>
      <c r="K66" s="18">
        <f>IF(I66="","",ROUND(IF(Comparateur!D$12=Paramètres!$B$36,Comparateur!D$9,L65)*Comparateur!D$13/12,2))</f>
        <v>23.4</v>
      </c>
      <c r="L66" s="31">
        <f t="shared" si="3"/>
        <v>155538.43</v>
      </c>
      <c r="M66" s="18">
        <f t="shared" si="4"/>
        <v>914.9</v>
      </c>
      <c r="N66" s="18">
        <f t="shared" si="5"/>
        <v>891.5</v>
      </c>
      <c r="O66" s="18">
        <f>IF(OR($B66="",Comparateur!E$17&lt;&gt;"OK",$B66&gt;Comparateur!E$11),"",ROUND(R65*Comparateur!E$10/12,2))</f>
        <v>462.71</v>
      </c>
      <c r="P66" s="18">
        <f>IF(O66="","",IF($B66=Comparateur!E$11,R65,Comparateur!E$20-O66))</f>
        <v>443.25000000000006</v>
      </c>
      <c r="Q66" s="18">
        <f>IF(O66="","",ROUND(IF(Comparateur!E$12=Paramètres!$B$36,Comparateur!E$9,R65)*Comparateur!E$13/12,2))</f>
        <v>30</v>
      </c>
      <c r="R66" s="31">
        <f t="shared" si="6"/>
        <v>155964.75</v>
      </c>
      <c r="S66" s="18">
        <f t="shared" si="7"/>
        <v>935.96</v>
      </c>
      <c r="T66" s="18">
        <f t="shared" si="8"/>
        <v>905.96</v>
      </c>
    </row>
    <row r="67" spans="2:20" x14ac:dyDescent="0.35">
      <c r="B67" s="29">
        <f>IF(B66="","",IF(B66+1&gt;Comparateur!$C$47,"",B66+1))</f>
        <v>60</v>
      </c>
      <c r="C67" s="18">
        <f>IF(OR($B67="",Comparateur!C$17&lt;&gt;"OK",$B67&gt;Comparateur!C$11),"",ROUND(F66*Comparateur!C$10/12,2))</f>
        <v>420.08</v>
      </c>
      <c r="D67" s="18">
        <f>IF(C67="","",IF($B67=Comparateur!C$11,F66,Comparateur!C$20-C67))</f>
        <v>457.09</v>
      </c>
      <c r="E67" s="18">
        <f>IF(C67="","",ROUND(IF(Comparateur!C$12=Paramètres!$B$36,Comparateur!C$9,F66)*Comparateur!C$13/12,2))</f>
        <v>63</v>
      </c>
      <c r="F67" s="31">
        <f t="shared" si="0"/>
        <v>154650.12</v>
      </c>
      <c r="G67" s="18">
        <f t="shared" si="1"/>
        <v>940.17</v>
      </c>
      <c r="H67" s="18">
        <f t="shared" si="2"/>
        <v>877.17</v>
      </c>
      <c r="I67" s="18">
        <f>IF(OR($B67="",Comparateur!D$17&lt;&gt;"OK",$B67&gt;Comparateur!D$11),"",ROUND(L66*Comparateur!D$10/12,2))</f>
        <v>440.69</v>
      </c>
      <c r="J67" s="18">
        <f>IF(I67="","",IF($B67=Comparateur!D$11,L66,Comparateur!D$20-I67))</f>
        <v>450.81</v>
      </c>
      <c r="K67" s="18">
        <f>IF(I67="","",ROUND(IF(Comparateur!D$12=Paramètres!$B$36,Comparateur!D$9,L66)*Comparateur!D$13/12,2))</f>
        <v>23.33</v>
      </c>
      <c r="L67" s="31">
        <f t="shared" si="3"/>
        <v>155087.62</v>
      </c>
      <c r="M67" s="18">
        <f t="shared" si="4"/>
        <v>914.83</v>
      </c>
      <c r="N67" s="18">
        <f t="shared" si="5"/>
        <v>891.5</v>
      </c>
      <c r="O67" s="18">
        <f>IF(OR($B67="",Comparateur!E$17&lt;&gt;"OK",$B67&gt;Comparateur!E$11),"",ROUND(R66*Comparateur!E$10/12,2))</f>
        <v>461.4</v>
      </c>
      <c r="P67" s="18">
        <f>IF(O67="","",IF($B67=Comparateur!E$11,R66,Comparateur!E$20-O67))</f>
        <v>444.56000000000006</v>
      </c>
      <c r="Q67" s="18">
        <f>IF(O67="","",ROUND(IF(Comparateur!E$12=Paramètres!$B$36,Comparateur!E$9,R66)*Comparateur!E$13/12,2))</f>
        <v>30</v>
      </c>
      <c r="R67" s="31">
        <f t="shared" si="6"/>
        <v>155520.19</v>
      </c>
      <c r="S67" s="18">
        <f t="shared" si="7"/>
        <v>935.96</v>
      </c>
      <c r="T67" s="18">
        <f t="shared" si="8"/>
        <v>905.96</v>
      </c>
    </row>
    <row r="68" spans="2:20" x14ac:dyDescent="0.35">
      <c r="B68" s="29">
        <f>IF(B67="","",IF(B67+1&gt;Comparateur!$C$47,"",B67+1))</f>
        <v>61</v>
      </c>
      <c r="C68" s="18">
        <f>IF(OR($B68="",Comparateur!C$17&lt;&gt;"OK",$B68&gt;Comparateur!C$11),"",ROUND(F67*Comparateur!C$10/12,2))</f>
        <v>418.84</v>
      </c>
      <c r="D68" s="18">
        <f>IF(C68="","",IF($B68=Comparateur!C$11,F67,Comparateur!C$20-C68))</f>
        <v>458.33</v>
      </c>
      <c r="E68" s="18">
        <f>IF(C68="","",ROUND(IF(Comparateur!C$12=Paramètres!$B$36,Comparateur!C$9,F67)*Comparateur!C$13/12,2))</f>
        <v>63</v>
      </c>
      <c r="F68" s="31">
        <f t="shared" si="0"/>
        <v>154191.79</v>
      </c>
      <c r="G68" s="18">
        <f t="shared" si="1"/>
        <v>940.17</v>
      </c>
      <c r="H68" s="18">
        <f t="shared" si="2"/>
        <v>877.17</v>
      </c>
      <c r="I68" s="18">
        <f>IF(OR($B68="",Comparateur!D$17&lt;&gt;"OK",$B68&gt;Comparateur!D$11),"",ROUND(L67*Comparateur!D$10/12,2))</f>
        <v>439.41</v>
      </c>
      <c r="J68" s="18">
        <f>IF(I68="","",IF($B68=Comparateur!D$11,L67,Comparateur!D$20-I68))</f>
        <v>452.09</v>
      </c>
      <c r="K68" s="18">
        <f>IF(I68="","",ROUND(IF(Comparateur!D$12=Paramètres!$B$36,Comparateur!D$9,L67)*Comparateur!D$13/12,2))</f>
        <v>23.26</v>
      </c>
      <c r="L68" s="31">
        <f t="shared" si="3"/>
        <v>154635.53</v>
      </c>
      <c r="M68" s="18">
        <f t="shared" si="4"/>
        <v>914.76</v>
      </c>
      <c r="N68" s="18">
        <f t="shared" si="5"/>
        <v>891.5</v>
      </c>
      <c r="O68" s="18">
        <f>IF(OR($B68="",Comparateur!E$17&lt;&gt;"OK",$B68&gt;Comparateur!E$11),"",ROUND(R67*Comparateur!E$10/12,2))</f>
        <v>460.08</v>
      </c>
      <c r="P68" s="18">
        <f>IF(O68="","",IF($B68=Comparateur!E$11,R67,Comparateur!E$20-O68))</f>
        <v>445.88000000000005</v>
      </c>
      <c r="Q68" s="18">
        <f>IF(O68="","",ROUND(IF(Comparateur!E$12=Paramètres!$B$36,Comparateur!E$9,R67)*Comparateur!E$13/12,2))</f>
        <v>30</v>
      </c>
      <c r="R68" s="31">
        <f t="shared" si="6"/>
        <v>155074.31</v>
      </c>
      <c r="S68" s="18">
        <f t="shared" si="7"/>
        <v>935.96</v>
      </c>
      <c r="T68" s="18">
        <f t="shared" si="8"/>
        <v>905.96</v>
      </c>
    </row>
    <row r="69" spans="2:20" x14ac:dyDescent="0.35">
      <c r="B69" s="29">
        <f>IF(B68="","",IF(B68+1&gt;Comparateur!$C$47,"",B68+1))</f>
        <v>62</v>
      </c>
      <c r="C69" s="18">
        <f>IF(OR($B69="",Comparateur!C$17&lt;&gt;"OK",$B69&gt;Comparateur!C$11),"",ROUND(F68*Comparateur!C$10/12,2))</f>
        <v>417.6</v>
      </c>
      <c r="D69" s="18">
        <f>IF(C69="","",IF($B69=Comparateur!C$11,F68,Comparateur!C$20-C69))</f>
        <v>459.56999999999994</v>
      </c>
      <c r="E69" s="18">
        <f>IF(C69="","",ROUND(IF(Comparateur!C$12=Paramètres!$B$36,Comparateur!C$9,F68)*Comparateur!C$13/12,2))</f>
        <v>63</v>
      </c>
      <c r="F69" s="31">
        <f t="shared" si="0"/>
        <v>153732.22</v>
      </c>
      <c r="G69" s="18">
        <f t="shared" si="1"/>
        <v>940.17</v>
      </c>
      <c r="H69" s="18">
        <f t="shared" si="2"/>
        <v>877.17</v>
      </c>
      <c r="I69" s="18">
        <f>IF(OR($B69="",Comparateur!D$17&lt;&gt;"OK",$B69&gt;Comparateur!D$11),"",ROUND(L68*Comparateur!D$10/12,2))</f>
        <v>438.13</v>
      </c>
      <c r="J69" s="18">
        <f>IF(I69="","",IF($B69=Comparateur!D$11,L68,Comparateur!D$20-I69))</f>
        <v>453.37</v>
      </c>
      <c r="K69" s="18">
        <f>IF(I69="","",ROUND(IF(Comparateur!D$12=Paramètres!$B$36,Comparateur!D$9,L68)*Comparateur!D$13/12,2))</f>
        <v>23.2</v>
      </c>
      <c r="L69" s="31">
        <f t="shared" si="3"/>
        <v>154182.16</v>
      </c>
      <c r="M69" s="18">
        <f t="shared" si="4"/>
        <v>914.7</v>
      </c>
      <c r="N69" s="18">
        <f t="shared" si="5"/>
        <v>891.5</v>
      </c>
      <c r="O69" s="18">
        <f>IF(OR($B69="",Comparateur!E$17&lt;&gt;"OK",$B69&gt;Comparateur!E$11),"",ROUND(R68*Comparateur!E$10/12,2))</f>
        <v>458.76</v>
      </c>
      <c r="P69" s="18">
        <f>IF(O69="","",IF($B69=Comparateur!E$11,R68,Comparateur!E$20-O69))</f>
        <v>447.20000000000005</v>
      </c>
      <c r="Q69" s="18">
        <f>IF(O69="","",ROUND(IF(Comparateur!E$12=Paramètres!$B$36,Comparateur!E$9,R68)*Comparateur!E$13/12,2))</f>
        <v>30</v>
      </c>
      <c r="R69" s="31">
        <f t="shared" si="6"/>
        <v>154627.10999999999</v>
      </c>
      <c r="S69" s="18">
        <f t="shared" si="7"/>
        <v>935.96</v>
      </c>
      <c r="T69" s="18">
        <f t="shared" si="8"/>
        <v>905.96</v>
      </c>
    </row>
    <row r="70" spans="2:20" x14ac:dyDescent="0.35">
      <c r="B70" s="29">
        <f>IF(B69="","",IF(B69+1&gt;Comparateur!$C$47,"",B69+1))</f>
        <v>63</v>
      </c>
      <c r="C70" s="18">
        <f>IF(OR($B70="",Comparateur!C$17&lt;&gt;"OK",$B70&gt;Comparateur!C$11),"",ROUND(F69*Comparateur!C$10/12,2))</f>
        <v>416.36</v>
      </c>
      <c r="D70" s="18">
        <f>IF(C70="","",IF($B70=Comparateur!C$11,F69,Comparateur!C$20-C70))</f>
        <v>460.80999999999995</v>
      </c>
      <c r="E70" s="18">
        <f>IF(C70="","",ROUND(IF(Comparateur!C$12=Paramètres!$B$36,Comparateur!C$9,F69)*Comparateur!C$13/12,2))</f>
        <v>63</v>
      </c>
      <c r="F70" s="31">
        <f t="shared" si="0"/>
        <v>153271.41</v>
      </c>
      <c r="G70" s="18">
        <f t="shared" si="1"/>
        <v>940.17</v>
      </c>
      <c r="H70" s="18">
        <f t="shared" si="2"/>
        <v>877.17</v>
      </c>
      <c r="I70" s="18">
        <f>IF(OR($B70="",Comparateur!D$17&lt;&gt;"OK",$B70&gt;Comparateur!D$11),"",ROUND(L69*Comparateur!D$10/12,2))</f>
        <v>436.85</v>
      </c>
      <c r="J70" s="18">
        <f>IF(I70="","",IF($B70=Comparateur!D$11,L69,Comparateur!D$20-I70))</f>
        <v>454.65</v>
      </c>
      <c r="K70" s="18">
        <f>IF(I70="","",ROUND(IF(Comparateur!D$12=Paramètres!$B$36,Comparateur!D$9,L69)*Comparateur!D$13/12,2))</f>
        <v>23.13</v>
      </c>
      <c r="L70" s="31">
        <f t="shared" si="3"/>
        <v>153727.51</v>
      </c>
      <c r="M70" s="18">
        <f t="shared" si="4"/>
        <v>914.63</v>
      </c>
      <c r="N70" s="18">
        <f t="shared" si="5"/>
        <v>891.5</v>
      </c>
      <c r="O70" s="18">
        <f>IF(OR($B70="",Comparateur!E$17&lt;&gt;"OK",$B70&gt;Comparateur!E$11),"",ROUND(R69*Comparateur!E$10/12,2))</f>
        <v>457.44</v>
      </c>
      <c r="P70" s="18">
        <f>IF(O70="","",IF($B70=Comparateur!E$11,R69,Comparateur!E$20-O70))</f>
        <v>448.52000000000004</v>
      </c>
      <c r="Q70" s="18">
        <f>IF(O70="","",ROUND(IF(Comparateur!E$12=Paramètres!$B$36,Comparateur!E$9,R69)*Comparateur!E$13/12,2))</f>
        <v>30</v>
      </c>
      <c r="R70" s="31">
        <f t="shared" si="6"/>
        <v>154178.59</v>
      </c>
      <c r="S70" s="18">
        <f t="shared" si="7"/>
        <v>935.96</v>
      </c>
      <c r="T70" s="18">
        <f t="shared" si="8"/>
        <v>905.96</v>
      </c>
    </row>
    <row r="71" spans="2:20" x14ac:dyDescent="0.35">
      <c r="B71" s="29">
        <f>IF(B70="","",IF(B70+1&gt;Comparateur!$C$47,"",B70+1))</f>
        <v>64</v>
      </c>
      <c r="C71" s="18">
        <f>IF(OR($B71="",Comparateur!C$17&lt;&gt;"OK",$B71&gt;Comparateur!C$11),"",ROUND(F70*Comparateur!C$10/12,2))</f>
        <v>415.11</v>
      </c>
      <c r="D71" s="18">
        <f>IF(C71="","",IF($B71=Comparateur!C$11,F70,Comparateur!C$20-C71))</f>
        <v>462.05999999999995</v>
      </c>
      <c r="E71" s="18">
        <f>IF(C71="","",ROUND(IF(Comparateur!C$12=Paramètres!$B$36,Comparateur!C$9,F70)*Comparateur!C$13/12,2))</f>
        <v>63</v>
      </c>
      <c r="F71" s="31">
        <f t="shared" si="0"/>
        <v>152809.35</v>
      </c>
      <c r="G71" s="18">
        <f t="shared" si="1"/>
        <v>940.17</v>
      </c>
      <c r="H71" s="18">
        <f t="shared" si="2"/>
        <v>877.17</v>
      </c>
      <c r="I71" s="18">
        <f>IF(OR($B71="",Comparateur!D$17&lt;&gt;"OK",$B71&gt;Comparateur!D$11),"",ROUND(L70*Comparateur!D$10/12,2))</f>
        <v>435.56</v>
      </c>
      <c r="J71" s="18">
        <f>IF(I71="","",IF($B71=Comparateur!D$11,L70,Comparateur!D$20-I71))</f>
        <v>455.94</v>
      </c>
      <c r="K71" s="18">
        <f>IF(I71="","",ROUND(IF(Comparateur!D$12=Paramètres!$B$36,Comparateur!D$9,L70)*Comparateur!D$13/12,2))</f>
        <v>23.06</v>
      </c>
      <c r="L71" s="31">
        <f t="shared" si="3"/>
        <v>153271.57</v>
      </c>
      <c r="M71" s="18">
        <f t="shared" si="4"/>
        <v>914.56</v>
      </c>
      <c r="N71" s="18">
        <f t="shared" si="5"/>
        <v>891.5</v>
      </c>
      <c r="O71" s="18">
        <f>IF(OR($B71="",Comparateur!E$17&lt;&gt;"OK",$B71&gt;Comparateur!E$11),"",ROUND(R70*Comparateur!E$10/12,2))</f>
        <v>456.11</v>
      </c>
      <c r="P71" s="18">
        <f>IF(O71="","",IF($B71=Comparateur!E$11,R70,Comparateur!E$20-O71))</f>
        <v>449.85</v>
      </c>
      <c r="Q71" s="18">
        <f>IF(O71="","",ROUND(IF(Comparateur!E$12=Paramètres!$B$36,Comparateur!E$9,R70)*Comparateur!E$13/12,2))</f>
        <v>30</v>
      </c>
      <c r="R71" s="31">
        <f t="shared" si="6"/>
        <v>153728.74</v>
      </c>
      <c r="S71" s="18">
        <f t="shared" si="7"/>
        <v>935.96</v>
      </c>
      <c r="T71" s="18">
        <f t="shared" si="8"/>
        <v>905.96</v>
      </c>
    </row>
    <row r="72" spans="2:20" x14ac:dyDescent="0.35">
      <c r="B72" s="29">
        <f>IF(B71="","",IF(B71+1&gt;Comparateur!$C$47,"",B71+1))</f>
        <v>65</v>
      </c>
      <c r="C72" s="18">
        <f>IF(OR($B72="",Comparateur!C$17&lt;&gt;"OK",$B72&gt;Comparateur!C$11),"",ROUND(F71*Comparateur!C$10/12,2))</f>
        <v>413.86</v>
      </c>
      <c r="D72" s="18">
        <f>IF(C72="","",IF($B72=Comparateur!C$11,F71,Comparateur!C$20-C72))</f>
        <v>463.30999999999995</v>
      </c>
      <c r="E72" s="18">
        <f>IF(C72="","",ROUND(IF(Comparateur!C$12=Paramètres!$B$36,Comparateur!C$9,F71)*Comparateur!C$13/12,2))</f>
        <v>63</v>
      </c>
      <c r="F72" s="31">
        <f t="shared" ref="F72:F135" si="9">IF(C72="","",ROUND(F71-D72,2))</f>
        <v>152346.04</v>
      </c>
      <c r="G72" s="18">
        <f t="shared" ref="G72:G135" si="10">IF(C72="","",C72+D72+E72)</f>
        <v>940.17</v>
      </c>
      <c r="H72" s="18">
        <f t="shared" ref="H72:H135" si="11">IF(C72="","",C72+D72)</f>
        <v>877.17</v>
      </c>
      <c r="I72" s="18">
        <f>IF(OR($B72="",Comparateur!D$17&lt;&gt;"OK",$B72&gt;Comparateur!D$11),"",ROUND(L71*Comparateur!D$10/12,2))</f>
        <v>434.27</v>
      </c>
      <c r="J72" s="18">
        <f>IF(I72="","",IF($B72=Comparateur!D$11,L71,Comparateur!D$20-I72))</f>
        <v>457.23</v>
      </c>
      <c r="K72" s="18">
        <f>IF(I72="","",ROUND(IF(Comparateur!D$12=Paramètres!$B$36,Comparateur!D$9,L71)*Comparateur!D$13/12,2))</f>
        <v>22.99</v>
      </c>
      <c r="L72" s="31">
        <f t="shared" ref="L72:L135" si="12">IF(I72="","",ROUND(L71-J72,2))</f>
        <v>152814.34</v>
      </c>
      <c r="M72" s="18">
        <f t="shared" ref="M72:M135" si="13">IF(I72="","",I72+J72+K72)</f>
        <v>914.49</v>
      </c>
      <c r="N72" s="18">
        <f t="shared" ref="N72:N135" si="14">IF(I72="","",I72+J72)</f>
        <v>891.5</v>
      </c>
      <c r="O72" s="18">
        <f>IF(OR($B72="",Comparateur!E$17&lt;&gt;"OK",$B72&gt;Comparateur!E$11),"",ROUND(R71*Comparateur!E$10/12,2))</f>
        <v>454.78</v>
      </c>
      <c r="P72" s="18">
        <f>IF(O72="","",IF($B72=Comparateur!E$11,R71,Comparateur!E$20-O72))</f>
        <v>451.18000000000006</v>
      </c>
      <c r="Q72" s="18">
        <f>IF(O72="","",ROUND(IF(Comparateur!E$12=Paramètres!$B$36,Comparateur!E$9,R71)*Comparateur!E$13/12,2))</f>
        <v>30</v>
      </c>
      <c r="R72" s="31">
        <f t="shared" ref="R72:R135" si="15">IF(O72="","",ROUND(R71-P72,2))</f>
        <v>153277.56</v>
      </c>
      <c r="S72" s="18">
        <f t="shared" ref="S72:S135" si="16">IF(O72="","",O72+P72+Q72)</f>
        <v>935.96</v>
      </c>
      <c r="T72" s="18">
        <f t="shared" ref="T72:T135" si="17">IF(O72="","",O72+P72)</f>
        <v>905.96</v>
      </c>
    </row>
    <row r="73" spans="2:20" x14ac:dyDescent="0.35">
      <c r="B73" s="29">
        <f>IF(B72="","",IF(B72+1&gt;Comparateur!$C$47,"",B72+1))</f>
        <v>66</v>
      </c>
      <c r="C73" s="18">
        <f>IF(OR($B73="",Comparateur!C$17&lt;&gt;"OK",$B73&gt;Comparateur!C$11),"",ROUND(F72*Comparateur!C$10/12,2))</f>
        <v>412.6</v>
      </c>
      <c r="D73" s="18">
        <f>IF(C73="","",IF($B73=Comparateur!C$11,F72,Comparateur!C$20-C73))</f>
        <v>464.56999999999994</v>
      </c>
      <c r="E73" s="18">
        <f>IF(C73="","",ROUND(IF(Comparateur!C$12=Paramètres!$B$36,Comparateur!C$9,F72)*Comparateur!C$13/12,2))</f>
        <v>63</v>
      </c>
      <c r="F73" s="31">
        <f t="shared" si="9"/>
        <v>151881.47</v>
      </c>
      <c r="G73" s="18">
        <f t="shared" si="10"/>
        <v>940.17</v>
      </c>
      <c r="H73" s="18">
        <f t="shared" si="11"/>
        <v>877.17</v>
      </c>
      <c r="I73" s="18">
        <f>IF(OR($B73="",Comparateur!D$17&lt;&gt;"OK",$B73&gt;Comparateur!D$11),"",ROUND(L72*Comparateur!D$10/12,2))</f>
        <v>432.97</v>
      </c>
      <c r="J73" s="18">
        <f>IF(I73="","",IF($B73=Comparateur!D$11,L72,Comparateur!D$20-I73))</f>
        <v>458.53</v>
      </c>
      <c r="K73" s="18">
        <f>IF(I73="","",ROUND(IF(Comparateur!D$12=Paramètres!$B$36,Comparateur!D$9,L72)*Comparateur!D$13/12,2))</f>
        <v>22.92</v>
      </c>
      <c r="L73" s="31">
        <f t="shared" si="12"/>
        <v>152355.81</v>
      </c>
      <c r="M73" s="18">
        <f t="shared" si="13"/>
        <v>914.42</v>
      </c>
      <c r="N73" s="18">
        <f t="shared" si="14"/>
        <v>891.5</v>
      </c>
      <c r="O73" s="18">
        <f>IF(OR($B73="",Comparateur!E$17&lt;&gt;"OK",$B73&gt;Comparateur!E$11),"",ROUND(R72*Comparateur!E$10/12,2))</f>
        <v>453.45</v>
      </c>
      <c r="P73" s="18">
        <f>IF(O73="","",IF($B73=Comparateur!E$11,R72,Comparateur!E$20-O73))</f>
        <v>452.51000000000005</v>
      </c>
      <c r="Q73" s="18">
        <f>IF(O73="","",ROUND(IF(Comparateur!E$12=Paramètres!$B$36,Comparateur!E$9,R72)*Comparateur!E$13/12,2))</f>
        <v>30</v>
      </c>
      <c r="R73" s="31">
        <f t="shared" si="15"/>
        <v>152825.04999999999</v>
      </c>
      <c r="S73" s="18">
        <f t="shared" si="16"/>
        <v>935.96</v>
      </c>
      <c r="T73" s="18">
        <f t="shared" si="17"/>
        <v>905.96</v>
      </c>
    </row>
    <row r="74" spans="2:20" x14ac:dyDescent="0.35">
      <c r="B74" s="29">
        <f>IF(B73="","",IF(B73+1&gt;Comparateur!$C$47,"",B73+1))</f>
        <v>67</v>
      </c>
      <c r="C74" s="18">
        <f>IF(OR($B74="",Comparateur!C$17&lt;&gt;"OK",$B74&gt;Comparateur!C$11),"",ROUND(F73*Comparateur!C$10/12,2))</f>
        <v>411.35</v>
      </c>
      <c r="D74" s="18">
        <f>IF(C74="","",IF($B74=Comparateur!C$11,F73,Comparateur!C$20-C74))</f>
        <v>465.81999999999994</v>
      </c>
      <c r="E74" s="18">
        <f>IF(C74="","",ROUND(IF(Comparateur!C$12=Paramètres!$B$36,Comparateur!C$9,F73)*Comparateur!C$13/12,2))</f>
        <v>63</v>
      </c>
      <c r="F74" s="31">
        <f t="shared" si="9"/>
        <v>151415.65</v>
      </c>
      <c r="G74" s="18">
        <f t="shared" si="10"/>
        <v>940.17</v>
      </c>
      <c r="H74" s="18">
        <f t="shared" si="11"/>
        <v>877.17</v>
      </c>
      <c r="I74" s="18">
        <f>IF(OR($B74="",Comparateur!D$17&lt;&gt;"OK",$B74&gt;Comparateur!D$11),"",ROUND(L73*Comparateur!D$10/12,2))</f>
        <v>431.67</v>
      </c>
      <c r="J74" s="18">
        <f>IF(I74="","",IF($B74=Comparateur!D$11,L73,Comparateur!D$20-I74))</f>
        <v>459.83</v>
      </c>
      <c r="K74" s="18">
        <f>IF(I74="","",ROUND(IF(Comparateur!D$12=Paramètres!$B$36,Comparateur!D$9,L73)*Comparateur!D$13/12,2))</f>
        <v>22.85</v>
      </c>
      <c r="L74" s="31">
        <f t="shared" si="12"/>
        <v>151895.98000000001</v>
      </c>
      <c r="M74" s="18">
        <f t="shared" si="13"/>
        <v>914.35</v>
      </c>
      <c r="N74" s="18">
        <f t="shared" si="14"/>
        <v>891.5</v>
      </c>
      <c r="O74" s="18">
        <f>IF(OR($B74="",Comparateur!E$17&lt;&gt;"OK",$B74&gt;Comparateur!E$11),"",ROUND(R73*Comparateur!E$10/12,2))</f>
        <v>452.11</v>
      </c>
      <c r="P74" s="18">
        <f>IF(O74="","",IF($B74=Comparateur!E$11,R73,Comparateur!E$20-O74))</f>
        <v>453.85</v>
      </c>
      <c r="Q74" s="18">
        <f>IF(O74="","",ROUND(IF(Comparateur!E$12=Paramètres!$B$36,Comparateur!E$9,R73)*Comparateur!E$13/12,2))</f>
        <v>30</v>
      </c>
      <c r="R74" s="31">
        <f t="shared" si="15"/>
        <v>152371.20000000001</v>
      </c>
      <c r="S74" s="18">
        <f t="shared" si="16"/>
        <v>935.96</v>
      </c>
      <c r="T74" s="18">
        <f t="shared" si="17"/>
        <v>905.96</v>
      </c>
    </row>
    <row r="75" spans="2:20" x14ac:dyDescent="0.35">
      <c r="B75" s="29">
        <f>IF(B74="","",IF(B74+1&gt;Comparateur!$C$47,"",B74+1))</f>
        <v>68</v>
      </c>
      <c r="C75" s="18">
        <f>IF(OR($B75="",Comparateur!C$17&lt;&gt;"OK",$B75&gt;Comparateur!C$11),"",ROUND(F74*Comparateur!C$10/12,2))</f>
        <v>410.08</v>
      </c>
      <c r="D75" s="18">
        <f>IF(C75="","",IF($B75=Comparateur!C$11,F74,Comparateur!C$20-C75))</f>
        <v>467.09</v>
      </c>
      <c r="E75" s="18">
        <f>IF(C75="","",ROUND(IF(Comparateur!C$12=Paramètres!$B$36,Comparateur!C$9,F74)*Comparateur!C$13/12,2))</f>
        <v>63</v>
      </c>
      <c r="F75" s="31">
        <f t="shared" si="9"/>
        <v>150948.56</v>
      </c>
      <c r="G75" s="18">
        <f t="shared" si="10"/>
        <v>940.17</v>
      </c>
      <c r="H75" s="18">
        <f t="shared" si="11"/>
        <v>877.17</v>
      </c>
      <c r="I75" s="18">
        <f>IF(OR($B75="",Comparateur!D$17&lt;&gt;"OK",$B75&gt;Comparateur!D$11),"",ROUND(L74*Comparateur!D$10/12,2))</f>
        <v>430.37</v>
      </c>
      <c r="J75" s="18">
        <f>IF(I75="","",IF($B75=Comparateur!D$11,L74,Comparateur!D$20-I75))</f>
        <v>461.13</v>
      </c>
      <c r="K75" s="18">
        <f>IF(I75="","",ROUND(IF(Comparateur!D$12=Paramètres!$B$36,Comparateur!D$9,L74)*Comparateur!D$13/12,2))</f>
        <v>22.78</v>
      </c>
      <c r="L75" s="31">
        <f t="shared" si="12"/>
        <v>151434.85</v>
      </c>
      <c r="M75" s="18">
        <f t="shared" si="13"/>
        <v>914.28</v>
      </c>
      <c r="N75" s="18">
        <f t="shared" si="14"/>
        <v>891.5</v>
      </c>
      <c r="O75" s="18">
        <f>IF(OR($B75="",Comparateur!E$17&lt;&gt;"OK",$B75&gt;Comparateur!E$11),"",ROUND(R74*Comparateur!E$10/12,2))</f>
        <v>450.76</v>
      </c>
      <c r="P75" s="18">
        <f>IF(O75="","",IF($B75=Comparateur!E$11,R74,Comparateur!E$20-O75))</f>
        <v>455.20000000000005</v>
      </c>
      <c r="Q75" s="18">
        <f>IF(O75="","",ROUND(IF(Comparateur!E$12=Paramètres!$B$36,Comparateur!E$9,R74)*Comparateur!E$13/12,2))</f>
        <v>30</v>
      </c>
      <c r="R75" s="31">
        <f t="shared" si="15"/>
        <v>151916</v>
      </c>
      <c r="S75" s="18">
        <f t="shared" si="16"/>
        <v>935.96</v>
      </c>
      <c r="T75" s="18">
        <f t="shared" si="17"/>
        <v>905.96</v>
      </c>
    </row>
    <row r="76" spans="2:20" x14ac:dyDescent="0.35">
      <c r="B76" s="29">
        <f>IF(B75="","",IF(B75+1&gt;Comparateur!$C$47,"",B75+1))</f>
        <v>69</v>
      </c>
      <c r="C76" s="18">
        <f>IF(OR($B76="",Comparateur!C$17&lt;&gt;"OK",$B76&gt;Comparateur!C$11),"",ROUND(F75*Comparateur!C$10/12,2))</f>
        <v>408.82</v>
      </c>
      <c r="D76" s="18">
        <f>IF(C76="","",IF($B76=Comparateur!C$11,F75,Comparateur!C$20-C76))</f>
        <v>468.34999999999997</v>
      </c>
      <c r="E76" s="18">
        <f>IF(C76="","",ROUND(IF(Comparateur!C$12=Paramètres!$B$36,Comparateur!C$9,F75)*Comparateur!C$13/12,2))</f>
        <v>63</v>
      </c>
      <c r="F76" s="31">
        <f t="shared" si="9"/>
        <v>150480.21</v>
      </c>
      <c r="G76" s="18">
        <f t="shared" si="10"/>
        <v>940.17</v>
      </c>
      <c r="H76" s="18">
        <f t="shared" si="11"/>
        <v>877.17</v>
      </c>
      <c r="I76" s="18">
        <f>IF(OR($B76="",Comparateur!D$17&lt;&gt;"OK",$B76&gt;Comparateur!D$11),"",ROUND(L75*Comparateur!D$10/12,2))</f>
        <v>429.07</v>
      </c>
      <c r="J76" s="18">
        <f>IF(I76="","",IF($B76=Comparateur!D$11,L75,Comparateur!D$20-I76))</f>
        <v>462.43</v>
      </c>
      <c r="K76" s="18">
        <f>IF(I76="","",ROUND(IF(Comparateur!D$12=Paramètres!$B$36,Comparateur!D$9,L75)*Comparateur!D$13/12,2))</f>
        <v>22.72</v>
      </c>
      <c r="L76" s="31">
        <f t="shared" si="12"/>
        <v>150972.42000000001</v>
      </c>
      <c r="M76" s="18">
        <f t="shared" si="13"/>
        <v>914.22</v>
      </c>
      <c r="N76" s="18">
        <f t="shared" si="14"/>
        <v>891.5</v>
      </c>
      <c r="O76" s="18">
        <f>IF(OR($B76="",Comparateur!E$17&lt;&gt;"OK",$B76&gt;Comparateur!E$11),"",ROUND(R75*Comparateur!E$10/12,2))</f>
        <v>449.42</v>
      </c>
      <c r="P76" s="18">
        <f>IF(O76="","",IF($B76=Comparateur!E$11,R75,Comparateur!E$20-O76))</f>
        <v>456.54</v>
      </c>
      <c r="Q76" s="18">
        <f>IF(O76="","",ROUND(IF(Comparateur!E$12=Paramètres!$B$36,Comparateur!E$9,R75)*Comparateur!E$13/12,2))</f>
        <v>30</v>
      </c>
      <c r="R76" s="31">
        <f t="shared" si="15"/>
        <v>151459.46</v>
      </c>
      <c r="S76" s="18">
        <f t="shared" si="16"/>
        <v>935.96</v>
      </c>
      <c r="T76" s="18">
        <f t="shared" si="17"/>
        <v>905.96</v>
      </c>
    </row>
    <row r="77" spans="2:20" x14ac:dyDescent="0.35">
      <c r="B77" s="29">
        <f>IF(B76="","",IF(B76+1&gt;Comparateur!$C$47,"",B76+1))</f>
        <v>70</v>
      </c>
      <c r="C77" s="18">
        <f>IF(OR($B77="",Comparateur!C$17&lt;&gt;"OK",$B77&gt;Comparateur!C$11),"",ROUND(F76*Comparateur!C$10/12,2))</f>
        <v>407.55</v>
      </c>
      <c r="D77" s="18">
        <f>IF(C77="","",IF($B77=Comparateur!C$11,F76,Comparateur!C$20-C77))</f>
        <v>469.61999999999995</v>
      </c>
      <c r="E77" s="18">
        <f>IF(C77="","",ROUND(IF(Comparateur!C$12=Paramètres!$B$36,Comparateur!C$9,F76)*Comparateur!C$13/12,2))</f>
        <v>63</v>
      </c>
      <c r="F77" s="31">
        <f t="shared" si="9"/>
        <v>150010.59</v>
      </c>
      <c r="G77" s="18">
        <f t="shared" si="10"/>
        <v>940.17</v>
      </c>
      <c r="H77" s="18">
        <f t="shared" si="11"/>
        <v>877.17</v>
      </c>
      <c r="I77" s="18">
        <f>IF(OR($B77="",Comparateur!D$17&lt;&gt;"OK",$B77&gt;Comparateur!D$11),"",ROUND(L76*Comparateur!D$10/12,2))</f>
        <v>427.76</v>
      </c>
      <c r="J77" s="18">
        <f>IF(I77="","",IF($B77=Comparateur!D$11,L76,Comparateur!D$20-I77))</f>
        <v>463.74</v>
      </c>
      <c r="K77" s="18">
        <f>IF(I77="","",ROUND(IF(Comparateur!D$12=Paramètres!$B$36,Comparateur!D$9,L76)*Comparateur!D$13/12,2))</f>
        <v>22.65</v>
      </c>
      <c r="L77" s="31">
        <f t="shared" si="12"/>
        <v>150508.68</v>
      </c>
      <c r="M77" s="18">
        <f t="shared" si="13"/>
        <v>914.15</v>
      </c>
      <c r="N77" s="18">
        <f t="shared" si="14"/>
        <v>891.5</v>
      </c>
      <c r="O77" s="18">
        <f>IF(OR($B77="",Comparateur!E$17&lt;&gt;"OK",$B77&gt;Comparateur!E$11),"",ROUND(R76*Comparateur!E$10/12,2))</f>
        <v>448.07</v>
      </c>
      <c r="P77" s="18">
        <f>IF(O77="","",IF($B77=Comparateur!E$11,R76,Comparateur!E$20-O77))</f>
        <v>457.89000000000004</v>
      </c>
      <c r="Q77" s="18">
        <f>IF(O77="","",ROUND(IF(Comparateur!E$12=Paramètres!$B$36,Comparateur!E$9,R76)*Comparateur!E$13/12,2))</f>
        <v>30</v>
      </c>
      <c r="R77" s="31">
        <f t="shared" si="15"/>
        <v>151001.57</v>
      </c>
      <c r="S77" s="18">
        <f t="shared" si="16"/>
        <v>935.96</v>
      </c>
      <c r="T77" s="18">
        <f t="shared" si="17"/>
        <v>905.96</v>
      </c>
    </row>
    <row r="78" spans="2:20" x14ac:dyDescent="0.35">
      <c r="B78" s="29">
        <f>IF(B77="","",IF(B77+1&gt;Comparateur!$C$47,"",B77+1))</f>
        <v>71</v>
      </c>
      <c r="C78" s="18">
        <f>IF(OR($B78="",Comparateur!C$17&lt;&gt;"OK",$B78&gt;Comparateur!C$11),"",ROUND(F77*Comparateur!C$10/12,2))</f>
        <v>406.28</v>
      </c>
      <c r="D78" s="18">
        <f>IF(C78="","",IF($B78=Comparateur!C$11,F77,Comparateur!C$20-C78))</f>
        <v>470.89</v>
      </c>
      <c r="E78" s="18">
        <f>IF(C78="","",ROUND(IF(Comparateur!C$12=Paramètres!$B$36,Comparateur!C$9,F77)*Comparateur!C$13/12,2))</f>
        <v>63</v>
      </c>
      <c r="F78" s="31">
        <f t="shared" si="9"/>
        <v>149539.70000000001</v>
      </c>
      <c r="G78" s="18">
        <f t="shared" si="10"/>
        <v>940.17</v>
      </c>
      <c r="H78" s="18">
        <f t="shared" si="11"/>
        <v>877.17</v>
      </c>
      <c r="I78" s="18">
        <f>IF(OR($B78="",Comparateur!D$17&lt;&gt;"OK",$B78&gt;Comparateur!D$11),"",ROUND(L77*Comparateur!D$10/12,2))</f>
        <v>426.44</v>
      </c>
      <c r="J78" s="18">
        <f>IF(I78="","",IF($B78=Comparateur!D$11,L77,Comparateur!D$20-I78))</f>
        <v>465.06</v>
      </c>
      <c r="K78" s="18">
        <f>IF(I78="","",ROUND(IF(Comparateur!D$12=Paramètres!$B$36,Comparateur!D$9,L77)*Comparateur!D$13/12,2))</f>
        <v>22.58</v>
      </c>
      <c r="L78" s="31">
        <f t="shared" si="12"/>
        <v>150043.62</v>
      </c>
      <c r="M78" s="18">
        <f t="shared" si="13"/>
        <v>914.08</v>
      </c>
      <c r="N78" s="18">
        <f t="shared" si="14"/>
        <v>891.5</v>
      </c>
      <c r="O78" s="18">
        <f>IF(OR($B78="",Comparateur!E$17&lt;&gt;"OK",$B78&gt;Comparateur!E$11),"",ROUND(R77*Comparateur!E$10/12,2))</f>
        <v>446.71</v>
      </c>
      <c r="P78" s="18">
        <f>IF(O78="","",IF($B78=Comparateur!E$11,R77,Comparateur!E$20-O78))</f>
        <v>459.25000000000006</v>
      </c>
      <c r="Q78" s="18">
        <f>IF(O78="","",ROUND(IF(Comparateur!E$12=Paramètres!$B$36,Comparateur!E$9,R77)*Comparateur!E$13/12,2))</f>
        <v>30</v>
      </c>
      <c r="R78" s="31">
        <f t="shared" si="15"/>
        <v>150542.32</v>
      </c>
      <c r="S78" s="18">
        <f t="shared" si="16"/>
        <v>935.96</v>
      </c>
      <c r="T78" s="18">
        <f t="shared" si="17"/>
        <v>905.96</v>
      </c>
    </row>
    <row r="79" spans="2:20" x14ac:dyDescent="0.35">
      <c r="B79" s="29">
        <f>IF(B78="","",IF(B78+1&gt;Comparateur!$C$47,"",B78+1))</f>
        <v>72</v>
      </c>
      <c r="C79" s="18">
        <f>IF(OR($B79="",Comparateur!C$17&lt;&gt;"OK",$B79&gt;Comparateur!C$11),"",ROUND(F78*Comparateur!C$10/12,2))</f>
        <v>405</v>
      </c>
      <c r="D79" s="18">
        <f>IF(C79="","",IF($B79=Comparateur!C$11,F78,Comparateur!C$20-C79))</f>
        <v>472.16999999999996</v>
      </c>
      <c r="E79" s="18">
        <f>IF(C79="","",ROUND(IF(Comparateur!C$12=Paramètres!$B$36,Comparateur!C$9,F78)*Comparateur!C$13/12,2))</f>
        <v>63</v>
      </c>
      <c r="F79" s="31">
        <f t="shared" si="9"/>
        <v>149067.53</v>
      </c>
      <c r="G79" s="18">
        <f t="shared" si="10"/>
        <v>940.17</v>
      </c>
      <c r="H79" s="18">
        <f t="shared" si="11"/>
        <v>877.17</v>
      </c>
      <c r="I79" s="18">
        <f>IF(OR($B79="",Comparateur!D$17&lt;&gt;"OK",$B79&gt;Comparateur!D$11),"",ROUND(L78*Comparateur!D$10/12,2))</f>
        <v>425.12</v>
      </c>
      <c r="J79" s="18">
        <f>IF(I79="","",IF($B79=Comparateur!D$11,L78,Comparateur!D$20-I79))</f>
        <v>466.38</v>
      </c>
      <c r="K79" s="18">
        <f>IF(I79="","",ROUND(IF(Comparateur!D$12=Paramètres!$B$36,Comparateur!D$9,L78)*Comparateur!D$13/12,2))</f>
        <v>22.51</v>
      </c>
      <c r="L79" s="31">
        <f t="shared" si="12"/>
        <v>149577.24</v>
      </c>
      <c r="M79" s="18">
        <f t="shared" si="13"/>
        <v>914.01</v>
      </c>
      <c r="N79" s="18">
        <f t="shared" si="14"/>
        <v>891.5</v>
      </c>
      <c r="O79" s="18">
        <f>IF(OR($B79="",Comparateur!E$17&lt;&gt;"OK",$B79&gt;Comparateur!E$11),"",ROUND(R78*Comparateur!E$10/12,2))</f>
        <v>445.35</v>
      </c>
      <c r="P79" s="18">
        <f>IF(O79="","",IF($B79=Comparateur!E$11,R78,Comparateur!E$20-O79))</f>
        <v>460.61</v>
      </c>
      <c r="Q79" s="18">
        <f>IF(O79="","",ROUND(IF(Comparateur!E$12=Paramètres!$B$36,Comparateur!E$9,R78)*Comparateur!E$13/12,2))</f>
        <v>30</v>
      </c>
      <c r="R79" s="31">
        <f t="shared" si="15"/>
        <v>150081.71</v>
      </c>
      <c r="S79" s="18">
        <f t="shared" si="16"/>
        <v>935.96</v>
      </c>
      <c r="T79" s="18">
        <f t="shared" si="17"/>
        <v>905.96</v>
      </c>
    </row>
    <row r="80" spans="2:20" x14ac:dyDescent="0.35">
      <c r="B80" s="29">
        <f>IF(B79="","",IF(B79+1&gt;Comparateur!$C$47,"",B79+1))</f>
        <v>73</v>
      </c>
      <c r="C80" s="18">
        <f>IF(OR($B80="",Comparateur!C$17&lt;&gt;"OK",$B80&gt;Comparateur!C$11),"",ROUND(F79*Comparateur!C$10/12,2))</f>
        <v>403.72</v>
      </c>
      <c r="D80" s="18">
        <f>IF(C80="","",IF($B80=Comparateur!C$11,F79,Comparateur!C$20-C80))</f>
        <v>473.44999999999993</v>
      </c>
      <c r="E80" s="18">
        <f>IF(C80="","",ROUND(IF(Comparateur!C$12=Paramètres!$B$36,Comparateur!C$9,F79)*Comparateur!C$13/12,2))</f>
        <v>63</v>
      </c>
      <c r="F80" s="31">
        <f t="shared" si="9"/>
        <v>148594.07999999999</v>
      </c>
      <c r="G80" s="18">
        <f t="shared" si="10"/>
        <v>940.17</v>
      </c>
      <c r="H80" s="18">
        <f t="shared" si="11"/>
        <v>877.17</v>
      </c>
      <c r="I80" s="18">
        <f>IF(OR($B80="",Comparateur!D$17&lt;&gt;"OK",$B80&gt;Comparateur!D$11),"",ROUND(L79*Comparateur!D$10/12,2))</f>
        <v>423.8</v>
      </c>
      <c r="J80" s="18">
        <f>IF(I80="","",IF($B80=Comparateur!D$11,L79,Comparateur!D$20-I80))</f>
        <v>467.7</v>
      </c>
      <c r="K80" s="18">
        <f>IF(I80="","",ROUND(IF(Comparateur!D$12=Paramètres!$B$36,Comparateur!D$9,L79)*Comparateur!D$13/12,2))</f>
        <v>22.44</v>
      </c>
      <c r="L80" s="31">
        <f t="shared" si="12"/>
        <v>149109.54</v>
      </c>
      <c r="M80" s="18">
        <f t="shared" si="13"/>
        <v>913.94</v>
      </c>
      <c r="N80" s="18">
        <f t="shared" si="14"/>
        <v>891.5</v>
      </c>
      <c r="O80" s="18">
        <f>IF(OR($B80="",Comparateur!E$17&lt;&gt;"OK",$B80&gt;Comparateur!E$11),"",ROUND(R79*Comparateur!E$10/12,2))</f>
        <v>443.99</v>
      </c>
      <c r="P80" s="18">
        <f>IF(O80="","",IF($B80=Comparateur!E$11,R79,Comparateur!E$20-O80))</f>
        <v>461.97</v>
      </c>
      <c r="Q80" s="18">
        <f>IF(O80="","",ROUND(IF(Comparateur!E$12=Paramètres!$B$36,Comparateur!E$9,R79)*Comparateur!E$13/12,2))</f>
        <v>30</v>
      </c>
      <c r="R80" s="31">
        <f t="shared" si="15"/>
        <v>149619.74</v>
      </c>
      <c r="S80" s="18">
        <f t="shared" si="16"/>
        <v>935.96</v>
      </c>
      <c r="T80" s="18">
        <f t="shared" si="17"/>
        <v>905.96</v>
      </c>
    </row>
    <row r="81" spans="2:20" x14ac:dyDescent="0.35">
      <c r="B81" s="29">
        <f>IF(B80="","",IF(B80+1&gt;Comparateur!$C$47,"",B80+1))</f>
        <v>74</v>
      </c>
      <c r="C81" s="18">
        <f>IF(OR($B81="",Comparateur!C$17&lt;&gt;"OK",$B81&gt;Comparateur!C$11),"",ROUND(F80*Comparateur!C$10/12,2))</f>
        <v>402.44</v>
      </c>
      <c r="D81" s="18">
        <f>IF(C81="","",IF($B81=Comparateur!C$11,F80,Comparateur!C$20-C81))</f>
        <v>474.72999999999996</v>
      </c>
      <c r="E81" s="18">
        <f>IF(C81="","",ROUND(IF(Comparateur!C$12=Paramètres!$B$36,Comparateur!C$9,F80)*Comparateur!C$13/12,2))</f>
        <v>63</v>
      </c>
      <c r="F81" s="31">
        <f t="shared" si="9"/>
        <v>148119.35</v>
      </c>
      <c r="G81" s="18">
        <f t="shared" si="10"/>
        <v>940.17</v>
      </c>
      <c r="H81" s="18">
        <f t="shared" si="11"/>
        <v>877.17</v>
      </c>
      <c r="I81" s="18">
        <f>IF(OR($B81="",Comparateur!D$17&lt;&gt;"OK",$B81&gt;Comparateur!D$11),"",ROUND(L80*Comparateur!D$10/12,2))</f>
        <v>422.48</v>
      </c>
      <c r="J81" s="18">
        <f>IF(I81="","",IF($B81=Comparateur!D$11,L80,Comparateur!D$20-I81))</f>
        <v>469.02</v>
      </c>
      <c r="K81" s="18">
        <f>IF(I81="","",ROUND(IF(Comparateur!D$12=Paramètres!$B$36,Comparateur!D$9,L80)*Comparateur!D$13/12,2))</f>
        <v>22.37</v>
      </c>
      <c r="L81" s="31">
        <f t="shared" si="12"/>
        <v>148640.51999999999</v>
      </c>
      <c r="M81" s="18">
        <f t="shared" si="13"/>
        <v>913.87</v>
      </c>
      <c r="N81" s="18">
        <f t="shared" si="14"/>
        <v>891.5</v>
      </c>
      <c r="O81" s="18">
        <f>IF(OR($B81="",Comparateur!E$17&lt;&gt;"OK",$B81&gt;Comparateur!E$11),"",ROUND(R80*Comparateur!E$10/12,2))</f>
        <v>442.63</v>
      </c>
      <c r="P81" s="18">
        <f>IF(O81="","",IF($B81=Comparateur!E$11,R80,Comparateur!E$20-O81))</f>
        <v>463.33000000000004</v>
      </c>
      <c r="Q81" s="18">
        <f>IF(O81="","",ROUND(IF(Comparateur!E$12=Paramètres!$B$36,Comparateur!E$9,R80)*Comparateur!E$13/12,2))</f>
        <v>30</v>
      </c>
      <c r="R81" s="31">
        <f t="shared" si="15"/>
        <v>149156.41</v>
      </c>
      <c r="S81" s="18">
        <f t="shared" si="16"/>
        <v>935.96</v>
      </c>
      <c r="T81" s="18">
        <f t="shared" si="17"/>
        <v>905.96</v>
      </c>
    </row>
    <row r="82" spans="2:20" x14ac:dyDescent="0.35">
      <c r="B82" s="29">
        <f>IF(B81="","",IF(B81+1&gt;Comparateur!$C$47,"",B81+1))</f>
        <v>75</v>
      </c>
      <c r="C82" s="18">
        <f>IF(OR($B82="",Comparateur!C$17&lt;&gt;"OK",$B82&gt;Comparateur!C$11),"",ROUND(F81*Comparateur!C$10/12,2))</f>
        <v>401.16</v>
      </c>
      <c r="D82" s="18">
        <f>IF(C82="","",IF($B82=Comparateur!C$11,F81,Comparateur!C$20-C82))</f>
        <v>476.00999999999993</v>
      </c>
      <c r="E82" s="18">
        <f>IF(C82="","",ROUND(IF(Comparateur!C$12=Paramètres!$B$36,Comparateur!C$9,F81)*Comparateur!C$13/12,2))</f>
        <v>63</v>
      </c>
      <c r="F82" s="31">
        <f t="shared" si="9"/>
        <v>147643.34</v>
      </c>
      <c r="G82" s="18">
        <f t="shared" si="10"/>
        <v>940.17</v>
      </c>
      <c r="H82" s="18">
        <f t="shared" si="11"/>
        <v>877.17</v>
      </c>
      <c r="I82" s="18">
        <f>IF(OR($B82="",Comparateur!D$17&lt;&gt;"OK",$B82&gt;Comparateur!D$11),"",ROUND(L81*Comparateur!D$10/12,2))</f>
        <v>421.15</v>
      </c>
      <c r="J82" s="18">
        <f>IF(I82="","",IF($B82=Comparateur!D$11,L81,Comparateur!D$20-I82))</f>
        <v>470.35</v>
      </c>
      <c r="K82" s="18">
        <f>IF(I82="","",ROUND(IF(Comparateur!D$12=Paramètres!$B$36,Comparateur!D$9,L81)*Comparateur!D$13/12,2))</f>
        <v>22.3</v>
      </c>
      <c r="L82" s="31">
        <f t="shared" si="12"/>
        <v>148170.17000000001</v>
      </c>
      <c r="M82" s="18">
        <f t="shared" si="13"/>
        <v>913.8</v>
      </c>
      <c r="N82" s="18">
        <f t="shared" si="14"/>
        <v>891.5</v>
      </c>
      <c r="O82" s="18">
        <f>IF(OR($B82="",Comparateur!E$17&lt;&gt;"OK",$B82&gt;Comparateur!E$11),"",ROUND(R81*Comparateur!E$10/12,2))</f>
        <v>441.25</v>
      </c>
      <c r="P82" s="18">
        <f>IF(O82="","",IF($B82=Comparateur!E$11,R81,Comparateur!E$20-O82))</f>
        <v>464.71000000000004</v>
      </c>
      <c r="Q82" s="18">
        <f>IF(O82="","",ROUND(IF(Comparateur!E$12=Paramètres!$B$36,Comparateur!E$9,R81)*Comparateur!E$13/12,2))</f>
        <v>30</v>
      </c>
      <c r="R82" s="31">
        <f t="shared" si="15"/>
        <v>148691.70000000001</v>
      </c>
      <c r="S82" s="18">
        <f t="shared" si="16"/>
        <v>935.96</v>
      </c>
      <c r="T82" s="18">
        <f t="shared" si="17"/>
        <v>905.96</v>
      </c>
    </row>
    <row r="83" spans="2:20" x14ac:dyDescent="0.35">
      <c r="B83" s="29">
        <f>IF(B82="","",IF(B82+1&gt;Comparateur!$C$47,"",B82+1))</f>
        <v>76</v>
      </c>
      <c r="C83" s="18">
        <f>IF(OR($B83="",Comparateur!C$17&lt;&gt;"OK",$B83&gt;Comparateur!C$11),"",ROUND(F82*Comparateur!C$10/12,2))</f>
        <v>399.87</v>
      </c>
      <c r="D83" s="18">
        <f>IF(C83="","",IF($B83=Comparateur!C$11,F82,Comparateur!C$20-C83))</f>
        <v>477.29999999999995</v>
      </c>
      <c r="E83" s="18">
        <f>IF(C83="","",ROUND(IF(Comparateur!C$12=Paramètres!$B$36,Comparateur!C$9,F82)*Comparateur!C$13/12,2))</f>
        <v>63</v>
      </c>
      <c r="F83" s="31">
        <f t="shared" si="9"/>
        <v>147166.04</v>
      </c>
      <c r="G83" s="18">
        <f t="shared" si="10"/>
        <v>940.17</v>
      </c>
      <c r="H83" s="18">
        <f t="shared" si="11"/>
        <v>877.17</v>
      </c>
      <c r="I83" s="18">
        <f>IF(OR($B83="",Comparateur!D$17&lt;&gt;"OK",$B83&gt;Comparateur!D$11),"",ROUND(L82*Comparateur!D$10/12,2))</f>
        <v>419.82</v>
      </c>
      <c r="J83" s="18">
        <f>IF(I83="","",IF($B83=Comparateur!D$11,L82,Comparateur!D$20-I83))</f>
        <v>471.68</v>
      </c>
      <c r="K83" s="18">
        <f>IF(I83="","",ROUND(IF(Comparateur!D$12=Paramètres!$B$36,Comparateur!D$9,L82)*Comparateur!D$13/12,2))</f>
        <v>22.23</v>
      </c>
      <c r="L83" s="31">
        <f t="shared" si="12"/>
        <v>147698.49</v>
      </c>
      <c r="M83" s="18">
        <f t="shared" si="13"/>
        <v>913.73</v>
      </c>
      <c r="N83" s="18">
        <f t="shared" si="14"/>
        <v>891.5</v>
      </c>
      <c r="O83" s="18">
        <f>IF(OR($B83="",Comparateur!E$17&lt;&gt;"OK",$B83&gt;Comparateur!E$11),"",ROUND(R82*Comparateur!E$10/12,2))</f>
        <v>439.88</v>
      </c>
      <c r="P83" s="18">
        <f>IF(O83="","",IF($B83=Comparateur!E$11,R82,Comparateur!E$20-O83))</f>
        <v>466.08000000000004</v>
      </c>
      <c r="Q83" s="18">
        <f>IF(O83="","",ROUND(IF(Comparateur!E$12=Paramètres!$B$36,Comparateur!E$9,R82)*Comparateur!E$13/12,2))</f>
        <v>30</v>
      </c>
      <c r="R83" s="31">
        <f t="shared" si="15"/>
        <v>148225.62</v>
      </c>
      <c r="S83" s="18">
        <f t="shared" si="16"/>
        <v>935.96</v>
      </c>
      <c r="T83" s="18">
        <f t="shared" si="17"/>
        <v>905.96</v>
      </c>
    </row>
    <row r="84" spans="2:20" x14ac:dyDescent="0.35">
      <c r="B84" s="29">
        <f>IF(B83="","",IF(B83+1&gt;Comparateur!$C$47,"",B83+1))</f>
        <v>77</v>
      </c>
      <c r="C84" s="18">
        <f>IF(OR($B84="",Comparateur!C$17&lt;&gt;"OK",$B84&gt;Comparateur!C$11),"",ROUND(F83*Comparateur!C$10/12,2))</f>
        <v>398.57</v>
      </c>
      <c r="D84" s="18">
        <f>IF(C84="","",IF($B84=Comparateur!C$11,F83,Comparateur!C$20-C84))</f>
        <v>478.59999999999997</v>
      </c>
      <c r="E84" s="18">
        <f>IF(C84="","",ROUND(IF(Comparateur!C$12=Paramètres!$B$36,Comparateur!C$9,F83)*Comparateur!C$13/12,2))</f>
        <v>63</v>
      </c>
      <c r="F84" s="31">
        <f t="shared" si="9"/>
        <v>146687.44</v>
      </c>
      <c r="G84" s="18">
        <f t="shared" si="10"/>
        <v>940.17</v>
      </c>
      <c r="H84" s="18">
        <f t="shared" si="11"/>
        <v>877.17</v>
      </c>
      <c r="I84" s="18">
        <f>IF(OR($B84="",Comparateur!D$17&lt;&gt;"OK",$B84&gt;Comparateur!D$11),"",ROUND(L83*Comparateur!D$10/12,2))</f>
        <v>418.48</v>
      </c>
      <c r="J84" s="18">
        <f>IF(I84="","",IF($B84=Comparateur!D$11,L83,Comparateur!D$20-I84))</f>
        <v>473.02</v>
      </c>
      <c r="K84" s="18">
        <f>IF(I84="","",ROUND(IF(Comparateur!D$12=Paramètres!$B$36,Comparateur!D$9,L83)*Comparateur!D$13/12,2))</f>
        <v>22.15</v>
      </c>
      <c r="L84" s="31">
        <f t="shared" si="12"/>
        <v>147225.47</v>
      </c>
      <c r="M84" s="18">
        <f t="shared" si="13"/>
        <v>913.65</v>
      </c>
      <c r="N84" s="18">
        <f t="shared" si="14"/>
        <v>891.5</v>
      </c>
      <c r="O84" s="18">
        <f>IF(OR($B84="",Comparateur!E$17&lt;&gt;"OK",$B84&gt;Comparateur!E$11),"",ROUND(R83*Comparateur!E$10/12,2))</f>
        <v>438.5</v>
      </c>
      <c r="P84" s="18">
        <f>IF(O84="","",IF($B84=Comparateur!E$11,R83,Comparateur!E$20-O84))</f>
        <v>467.46000000000004</v>
      </c>
      <c r="Q84" s="18">
        <f>IF(O84="","",ROUND(IF(Comparateur!E$12=Paramètres!$B$36,Comparateur!E$9,R83)*Comparateur!E$13/12,2))</f>
        <v>30</v>
      </c>
      <c r="R84" s="31">
        <f t="shared" si="15"/>
        <v>147758.16</v>
      </c>
      <c r="S84" s="18">
        <f t="shared" si="16"/>
        <v>935.96</v>
      </c>
      <c r="T84" s="18">
        <f t="shared" si="17"/>
        <v>905.96</v>
      </c>
    </row>
    <row r="85" spans="2:20" x14ac:dyDescent="0.35">
      <c r="B85" s="29">
        <f>IF(B84="","",IF(B84+1&gt;Comparateur!$C$47,"",B84+1))</f>
        <v>78</v>
      </c>
      <c r="C85" s="18">
        <f>IF(OR($B85="",Comparateur!C$17&lt;&gt;"OK",$B85&gt;Comparateur!C$11),"",ROUND(F84*Comparateur!C$10/12,2))</f>
        <v>397.28</v>
      </c>
      <c r="D85" s="18">
        <f>IF(C85="","",IF($B85=Comparateur!C$11,F84,Comparateur!C$20-C85))</f>
        <v>479.89</v>
      </c>
      <c r="E85" s="18">
        <f>IF(C85="","",ROUND(IF(Comparateur!C$12=Paramètres!$B$36,Comparateur!C$9,F84)*Comparateur!C$13/12,2))</f>
        <v>63</v>
      </c>
      <c r="F85" s="31">
        <f t="shared" si="9"/>
        <v>146207.54999999999</v>
      </c>
      <c r="G85" s="18">
        <f t="shared" si="10"/>
        <v>940.17</v>
      </c>
      <c r="H85" s="18">
        <f t="shared" si="11"/>
        <v>877.17</v>
      </c>
      <c r="I85" s="18">
        <f>IF(OR($B85="",Comparateur!D$17&lt;&gt;"OK",$B85&gt;Comparateur!D$11),"",ROUND(L84*Comparateur!D$10/12,2))</f>
        <v>417.14</v>
      </c>
      <c r="J85" s="18">
        <f>IF(I85="","",IF($B85=Comparateur!D$11,L84,Comparateur!D$20-I85))</f>
        <v>474.36</v>
      </c>
      <c r="K85" s="18">
        <f>IF(I85="","",ROUND(IF(Comparateur!D$12=Paramètres!$B$36,Comparateur!D$9,L84)*Comparateur!D$13/12,2))</f>
        <v>22.08</v>
      </c>
      <c r="L85" s="31">
        <f t="shared" si="12"/>
        <v>146751.10999999999</v>
      </c>
      <c r="M85" s="18">
        <f t="shared" si="13"/>
        <v>913.58</v>
      </c>
      <c r="N85" s="18">
        <f t="shared" si="14"/>
        <v>891.5</v>
      </c>
      <c r="O85" s="18">
        <f>IF(OR($B85="",Comparateur!E$17&lt;&gt;"OK",$B85&gt;Comparateur!E$11),"",ROUND(R84*Comparateur!E$10/12,2))</f>
        <v>437.12</v>
      </c>
      <c r="P85" s="18">
        <f>IF(O85="","",IF($B85=Comparateur!E$11,R84,Comparateur!E$20-O85))</f>
        <v>468.84000000000003</v>
      </c>
      <c r="Q85" s="18">
        <f>IF(O85="","",ROUND(IF(Comparateur!E$12=Paramètres!$B$36,Comparateur!E$9,R84)*Comparateur!E$13/12,2))</f>
        <v>30</v>
      </c>
      <c r="R85" s="31">
        <f t="shared" si="15"/>
        <v>147289.32</v>
      </c>
      <c r="S85" s="18">
        <f t="shared" si="16"/>
        <v>935.96</v>
      </c>
      <c r="T85" s="18">
        <f t="shared" si="17"/>
        <v>905.96</v>
      </c>
    </row>
    <row r="86" spans="2:20" x14ac:dyDescent="0.35">
      <c r="B86" s="29">
        <f>IF(B85="","",IF(B85+1&gt;Comparateur!$C$47,"",B85+1))</f>
        <v>79</v>
      </c>
      <c r="C86" s="18">
        <f>IF(OR($B86="",Comparateur!C$17&lt;&gt;"OK",$B86&gt;Comparateur!C$11),"",ROUND(F85*Comparateur!C$10/12,2))</f>
        <v>395.98</v>
      </c>
      <c r="D86" s="18">
        <f>IF(C86="","",IF($B86=Comparateur!C$11,F85,Comparateur!C$20-C86))</f>
        <v>481.18999999999994</v>
      </c>
      <c r="E86" s="18">
        <f>IF(C86="","",ROUND(IF(Comparateur!C$12=Paramètres!$B$36,Comparateur!C$9,F85)*Comparateur!C$13/12,2))</f>
        <v>63</v>
      </c>
      <c r="F86" s="31">
        <f t="shared" si="9"/>
        <v>145726.35999999999</v>
      </c>
      <c r="G86" s="18">
        <f t="shared" si="10"/>
        <v>940.17</v>
      </c>
      <c r="H86" s="18">
        <f t="shared" si="11"/>
        <v>877.17</v>
      </c>
      <c r="I86" s="18">
        <f>IF(OR($B86="",Comparateur!D$17&lt;&gt;"OK",$B86&gt;Comparateur!D$11),"",ROUND(L85*Comparateur!D$10/12,2))</f>
        <v>415.79</v>
      </c>
      <c r="J86" s="18">
        <f>IF(I86="","",IF($B86=Comparateur!D$11,L85,Comparateur!D$20-I86))</f>
        <v>475.71</v>
      </c>
      <c r="K86" s="18">
        <f>IF(I86="","",ROUND(IF(Comparateur!D$12=Paramètres!$B$36,Comparateur!D$9,L85)*Comparateur!D$13/12,2))</f>
        <v>22.01</v>
      </c>
      <c r="L86" s="31">
        <f t="shared" si="12"/>
        <v>146275.4</v>
      </c>
      <c r="M86" s="18">
        <f t="shared" si="13"/>
        <v>913.51</v>
      </c>
      <c r="N86" s="18">
        <f t="shared" si="14"/>
        <v>891.5</v>
      </c>
      <c r="O86" s="18">
        <f>IF(OR($B86="",Comparateur!E$17&lt;&gt;"OK",$B86&gt;Comparateur!E$11),"",ROUND(R85*Comparateur!E$10/12,2))</f>
        <v>435.73</v>
      </c>
      <c r="P86" s="18">
        <f>IF(O86="","",IF($B86=Comparateur!E$11,R85,Comparateur!E$20-O86))</f>
        <v>470.23</v>
      </c>
      <c r="Q86" s="18">
        <f>IF(O86="","",ROUND(IF(Comparateur!E$12=Paramètres!$B$36,Comparateur!E$9,R85)*Comparateur!E$13/12,2))</f>
        <v>30</v>
      </c>
      <c r="R86" s="31">
        <f t="shared" si="15"/>
        <v>146819.09</v>
      </c>
      <c r="S86" s="18">
        <f t="shared" si="16"/>
        <v>935.96</v>
      </c>
      <c r="T86" s="18">
        <f t="shared" si="17"/>
        <v>905.96</v>
      </c>
    </row>
    <row r="87" spans="2:20" x14ac:dyDescent="0.35">
      <c r="B87" s="29">
        <f>IF(B86="","",IF(B86+1&gt;Comparateur!$C$47,"",B86+1))</f>
        <v>80</v>
      </c>
      <c r="C87" s="18">
        <f>IF(OR($B87="",Comparateur!C$17&lt;&gt;"OK",$B87&gt;Comparateur!C$11),"",ROUND(F86*Comparateur!C$10/12,2))</f>
        <v>394.68</v>
      </c>
      <c r="D87" s="18">
        <f>IF(C87="","",IF($B87=Comparateur!C$11,F86,Comparateur!C$20-C87))</f>
        <v>482.48999999999995</v>
      </c>
      <c r="E87" s="18">
        <f>IF(C87="","",ROUND(IF(Comparateur!C$12=Paramètres!$B$36,Comparateur!C$9,F86)*Comparateur!C$13/12,2))</f>
        <v>63</v>
      </c>
      <c r="F87" s="31">
        <f t="shared" si="9"/>
        <v>145243.87</v>
      </c>
      <c r="G87" s="18">
        <f t="shared" si="10"/>
        <v>940.17</v>
      </c>
      <c r="H87" s="18">
        <f t="shared" si="11"/>
        <v>877.17</v>
      </c>
      <c r="I87" s="18">
        <f>IF(OR($B87="",Comparateur!D$17&lt;&gt;"OK",$B87&gt;Comparateur!D$11),"",ROUND(L86*Comparateur!D$10/12,2))</f>
        <v>414.45</v>
      </c>
      <c r="J87" s="18">
        <f>IF(I87="","",IF($B87=Comparateur!D$11,L86,Comparateur!D$20-I87))</f>
        <v>477.05</v>
      </c>
      <c r="K87" s="18">
        <f>IF(I87="","",ROUND(IF(Comparateur!D$12=Paramètres!$B$36,Comparateur!D$9,L86)*Comparateur!D$13/12,2))</f>
        <v>21.94</v>
      </c>
      <c r="L87" s="31">
        <f t="shared" si="12"/>
        <v>145798.35</v>
      </c>
      <c r="M87" s="18">
        <f t="shared" si="13"/>
        <v>913.44</v>
      </c>
      <c r="N87" s="18">
        <f t="shared" si="14"/>
        <v>891.5</v>
      </c>
      <c r="O87" s="18">
        <f>IF(OR($B87="",Comparateur!E$17&lt;&gt;"OK",$B87&gt;Comparateur!E$11),"",ROUND(R86*Comparateur!E$10/12,2))</f>
        <v>434.34</v>
      </c>
      <c r="P87" s="18">
        <f>IF(O87="","",IF($B87=Comparateur!E$11,R86,Comparateur!E$20-O87))</f>
        <v>471.62000000000006</v>
      </c>
      <c r="Q87" s="18">
        <f>IF(O87="","",ROUND(IF(Comparateur!E$12=Paramètres!$B$36,Comparateur!E$9,R86)*Comparateur!E$13/12,2))</f>
        <v>30</v>
      </c>
      <c r="R87" s="31">
        <f t="shared" si="15"/>
        <v>146347.47</v>
      </c>
      <c r="S87" s="18">
        <f t="shared" si="16"/>
        <v>935.96</v>
      </c>
      <c r="T87" s="18">
        <f t="shared" si="17"/>
        <v>905.96</v>
      </c>
    </row>
    <row r="88" spans="2:20" x14ac:dyDescent="0.35">
      <c r="B88" s="29">
        <f>IF(B87="","",IF(B87+1&gt;Comparateur!$C$47,"",B87+1))</f>
        <v>81</v>
      </c>
      <c r="C88" s="18">
        <f>IF(OR($B88="",Comparateur!C$17&lt;&gt;"OK",$B88&gt;Comparateur!C$11),"",ROUND(F87*Comparateur!C$10/12,2))</f>
        <v>393.37</v>
      </c>
      <c r="D88" s="18">
        <f>IF(C88="","",IF($B88=Comparateur!C$11,F87,Comparateur!C$20-C88))</f>
        <v>483.79999999999995</v>
      </c>
      <c r="E88" s="18">
        <f>IF(C88="","",ROUND(IF(Comparateur!C$12=Paramètres!$B$36,Comparateur!C$9,F87)*Comparateur!C$13/12,2))</f>
        <v>63</v>
      </c>
      <c r="F88" s="31">
        <f t="shared" si="9"/>
        <v>144760.07</v>
      </c>
      <c r="G88" s="18">
        <f t="shared" si="10"/>
        <v>940.17</v>
      </c>
      <c r="H88" s="18">
        <f t="shared" si="11"/>
        <v>877.17</v>
      </c>
      <c r="I88" s="18">
        <f>IF(OR($B88="",Comparateur!D$17&lt;&gt;"OK",$B88&gt;Comparateur!D$11),"",ROUND(L87*Comparateur!D$10/12,2))</f>
        <v>413.1</v>
      </c>
      <c r="J88" s="18">
        <f>IF(I88="","",IF($B88=Comparateur!D$11,L87,Comparateur!D$20-I88))</f>
        <v>478.4</v>
      </c>
      <c r="K88" s="18">
        <f>IF(I88="","",ROUND(IF(Comparateur!D$12=Paramètres!$B$36,Comparateur!D$9,L87)*Comparateur!D$13/12,2))</f>
        <v>21.87</v>
      </c>
      <c r="L88" s="31">
        <f t="shared" si="12"/>
        <v>145319.95000000001</v>
      </c>
      <c r="M88" s="18">
        <f t="shared" si="13"/>
        <v>913.37</v>
      </c>
      <c r="N88" s="18">
        <f t="shared" si="14"/>
        <v>891.5</v>
      </c>
      <c r="O88" s="18">
        <f>IF(OR($B88="",Comparateur!E$17&lt;&gt;"OK",$B88&gt;Comparateur!E$11),"",ROUND(R87*Comparateur!E$10/12,2))</f>
        <v>432.94</v>
      </c>
      <c r="P88" s="18">
        <f>IF(O88="","",IF($B88=Comparateur!E$11,R87,Comparateur!E$20-O88))</f>
        <v>473.02000000000004</v>
      </c>
      <c r="Q88" s="18">
        <f>IF(O88="","",ROUND(IF(Comparateur!E$12=Paramètres!$B$36,Comparateur!E$9,R87)*Comparateur!E$13/12,2))</f>
        <v>30</v>
      </c>
      <c r="R88" s="31">
        <f t="shared" si="15"/>
        <v>145874.45000000001</v>
      </c>
      <c r="S88" s="18">
        <f t="shared" si="16"/>
        <v>935.96</v>
      </c>
      <c r="T88" s="18">
        <f t="shared" si="17"/>
        <v>905.96</v>
      </c>
    </row>
    <row r="89" spans="2:20" x14ac:dyDescent="0.35">
      <c r="B89" s="29">
        <f>IF(B88="","",IF(B88+1&gt;Comparateur!$C$47,"",B88+1))</f>
        <v>82</v>
      </c>
      <c r="C89" s="18">
        <f>IF(OR($B89="",Comparateur!C$17&lt;&gt;"OK",$B89&gt;Comparateur!C$11),"",ROUND(F88*Comparateur!C$10/12,2))</f>
        <v>392.06</v>
      </c>
      <c r="D89" s="18">
        <f>IF(C89="","",IF($B89=Comparateur!C$11,F88,Comparateur!C$20-C89))</f>
        <v>485.10999999999996</v>
      </c>
      <c r="E89" s="18">
        <f>IF(C89="","",ROUND(IF(Comparateur!C$12=Paramètres!$B$36,Comparateur!C$9,F88)*Comparateur!C$13/12,2))</f>
        <v>63</v>
      </c>
      <c r="F89" s="31">
        <f t="shared" si="9"/>
        <v>144274.96</v>
      </c>
      <c r="G89" s="18">
        <f t="shared" si="10"/>
        <v>940.17</v>
      </c>
      <c r="H89" s="18">
        <f t="shared" si="11"/>
        <v>877.17</v>
      </c>
      <c r="I89" s="18">
        <f>IF(OR($B89="",Comparateur!D$17&lt;&gt;"OK",$B89&gt;Comparateur!D$11),"",ROUND(L88*Comparateur!D$10/12,2))</f>
        <v>411.74</v>
      </c>
      <c r="J89" s="18">
        <f>IF(I89="","",IF($B89=Comparateur!D$11,L88,Comparateur!D$20-I89))</f>
        <v>479.76</v>
      </c>
      <c r="K89" s="18">
        <f>IF(I89="","",ROUND(IF(Comparateur!D$12=Paramètres!$B$36,Comparateur!D$9,L88)*Comparateur!D$13/12,2))</f>
        <v>21.8</v>
      </c>
      <c r="L89" s="31">
        <f t="shared" si="12"/>
        <v>144840.19</v>
      </c>
      <c r="M89" s="18">
        <f t="shared" si="13"/>
        <v>913.3</v>
      </c>
      <c r="N89" s="18">
        <f t="shared" si="14"/>
        <v>891.5</v>
      </c>
      <c r="O89" s="18">
        <f>IF(OR($B89="",Comparateur!E$17&lt;&gt;"OK",$B89&gt;Comparateur!E$11),"",ROUND(R88*Comparateur!E$10/12,2))</f>
        <v>431.55</v>
      </c>
      <c r="P89" s="18">
        <f>IF(O89="","",IF($B89=Comparateur!E$11,R88,Comparateur!E$20-O89))</f>
        <v>474.41</v>
      </c>
      <c r="Q89" s="18">
        <f>IF(O89="","",ROUND(IF(Comparateur!E$12=Paramètres!$B$36,Comparateur!E$9,R88)*Comparateur!E$13/12,2))</f>
        <v>30</v>
      </c>
      <c r="R89" s="31">
        <f t="shared" si="15"/>
        <v>145400.04</v>
      </c>
      <c r="S89" s="18">
        <f t="shared" si="16"/>
        <v>935.96</v>
      </c>
      <c r="T89" s="18">
        <f t="shared" si="17"/>
        <v>905.96</v>
      </c>
    </row>
    <row r="90" spans="2:20" x14ac:dyDescent="0.35">
      <c r="B90" s="29">
        <f>IF(B89="","",IF(B89+1&gt;Comparateur!$C$47,"",B89+1))</f>
        <v>83</v>
      </c>
      <c r="C90" s="18">
        <f>IF(OR($B90="",Comparateur!C$17&lt;&gt;"OK",$B90&gt;Comparateur!C$11),"",ROUND(F89*Comparateur!C$10/12,2))</f>
        <v>390.74</v>
      </c>
      <c r="D90" s="18">
        <f>IF(C90="","",IF($B90=Comparateur!C$11,F89,Comparateur!C$20-C90))</f>
        <v>486.42999999999995</v>
      </c>
      <c r="E90" s="18">
        <f>IF(C90="","",ROUND(IF(Comparateur!C$12=Paramètres!$B$36,Comparateur!C$9,F89)*Comparateur!C$13/12,2))</f>
        <v>63</v>
      </c>
      <c r="F90" s="31">
        <f t="shared" si="9"/>
        <v>143788.53</v>
      </c>
      <c r="G90" s="18">
        <f t="shared" si="10"/>
        <v>940.17</v>
      </c>
      <c r="H90" s="18">
        <f t="shared" si="11"/>
        <v>877.17</v>
      </c>
      <c r="I90" s="18">
        <f>IF(OR($B90="",Comparateur!D$17&lt;&gt;"OK",$B90&gt;Comparateur!D$11),"",ROUND(L89*Comparateur!D$10/12,2))</f>
        <v>410.38</v>
      </c>
      <c r="J90" s="18">
        <f>IF(I90="","",IF($B90=Comparateur!D$11,L89,Comparateur!D$20-I90))</f>
        <v>481.12</v>
      </c>
      <c r="K90" s="18">
        <f>IF(I90="","",ROUND(IF(Comparateur!D$12=Paramètres!$B$36,Comparateur!D$9,L89)*Comparateur!D$13/12,2))</f>
        <v>21.73</v>
      </c>
      <c r="L90" s="31">
        <f t="shared" si="12"/>
        <v>144359.07</v>
      </c>
      <c r="M90" s="18">
        <f t="shared" si="13"/>
        <v>913.23</v>
      </c>
      <c r="N90" s="18">
        <f t="shared" si="14"/>
        <v>891.5</v>
      </c>
      <c r="O90" s="18">
        <f>IF(OR($B90="",Comparateur!E$17&lt;&gt;"OK",$B90&gt;Comparateur!E$11),"",ROUND(R89*Comparateur!E$10/12,2))</f>
        <v>430.14</v>
      </c>
      <c r="P90" s="18">
        <f>IF(O90="","",IF($B90=Comparateur!E$11,R89,Comparateur!E$20-O90))</f>
        <v>475.82000000000005</v>
      </c>
      <c r="Q90" s="18">
        <f>IF(O90="","",ROUND(IF(Comparateur!E$12=Paramètres!$B$36,Comparateur!E$9,R89)*Comparateur!E$13/12,2))</f>
        <v>30</v>
      </c>
      <c r="R90" s="31">
        <f t="shared" si="15"/>
        <v>144924.22</v>
      </c>
      <c r="S90" s="18">
        <f t="shared" si="16"/>
        <v>935.96</v>
      </c>
      <c r="T90" s="18">
        <f t="shared" si="17"/>
        <v>905.96</v>
      </c>
    </row>
    <row r="91" spans="2:20" x14ac:dyDescent="0.35">
      <c r="B91" s="29">
        <f>IF(B90="","",IF(B90+1&gt;Comparateur!$C$47,"",B90+1))</f>
        <v>84</v>
      </c>
      <c r="C91" s="18">
        <f>IF(OR($B91="",Comparateur!C$17&lt;&gt;"OK",$B91&gt;Comparateur!C$11),"",ROUND(F90*Comparateur!C$10/12,2))</f>
        <v>389.43</v>
      </c>
      <c r="D91" s="18">
        <f>IF(C91="","",IF($B91=Comparateur!C$11,F90,Comparateur!C$20-C91))</f>
        <v>487.73999999999995</v>
      </c>
      <c r="E91" s="18">
        <f>IF(C91="","",ROUND(IF(Comparateur!C$12=Paramètres!$B$36,Comparateur!C$9,F90)*Comparateur!C$13/12,2))</f>
        <v>63</v>
      </c>
      <c r="F91" s="31">
        <f t="shared" si="9"/>
        <v>143300.79</v>
      </c>
      <c r="G91" s="18">
        <f t="shared" si="10"/>
        <v>940.17</v>
      </c>
      <c r="H91" s="18">
        <f t="shared" si="11"/>
        <v>877.17</v>
      </c>
      <c r="I91" s="18">
        <f>IF(OR($B91="",Comparateur!D$17&lt;&gt;"OK",$B91&gt;Comparateur!D$11),"",ROUND(L90*Comparateur!D$10/12,2))</f>
        <v>409.02</v>
      </c>
      <c r="J91" s="18">
        <f>IF(I91="","",IF($B91=Comparateur!D$11,L90,Comparateur!D$20-I91))</f>
        <v>482.48</v>
      </c>
      <c r="K91" s="18">
        <f>IF(I91="","",ROUND(IF(Comparateur!D$12=Paramètres!$B$36,Comparateur!D$9,L90)*Comparateur!D$13/12,2))</f>
        <v>21.65</v>
      </c>
      <c r="L91" s="31">
        <f t="shared" si="12"/>
        <v>143876.59</v>
      </c>
      <c r="M91" s="18">
        <f t="shared" si="13"/>
        <v>913.15</v>
      </c>
      <c r="N91" s="18">
        <f t="shared" si="14"/>
        <v>891.5</v>
      </c>
      <c r="O91" s="18">
        <f>IF(OR($B91="",Comparateur!E$17&lt;&gt;"OK",$B91&gt;Comparateur!E$11),"",ROUND(R90*Comparateur!E$10/12,2))</f>
        <v>428.73</v>
      </c>
      <c r="P91" s="18">
        <f>IF(O91="","",IF($B91=Comparateur!E$11,R90,Comparateur!E$20-O91))</f>
        <v>477.23</v>
      </c>
      <c r="Q91" s="18">
        <f>IF(O91="","",ROUND(IF(Comparateur!E$12=Paramètres!$B$36,Comparateur!E$9,R90)*Comparateur!E$13/12,2))</f>
        <v>30</v>
      </c>
      <c r="R91" s="31">
        <f t="shared" si="15"/>
        <v>144446.99</v>
      </c>
      <c r="S91" s="18">
        <f t="shared" si="16"/>
        <v>935.96</v>
      </c>
      <c r="T91" s="18">
        <f t="shared" si="17"/>
        <v>905.96</v>
      </c>
    </row>
    <row r="92" spans="2:20" x14ac:dyDescent="0.35">
      <c r="B92" s="29">
        <f>IF(B91="","",IF(B91+1&gt;Comparateur!$C$47,"",B91+1))</f>
        <v>85</v>
      </c>
      <c r="C92" s="18">
        <f>IF(OR($B92="",Comparateur!C$17&lt;&gt;"OK",$B92&gt;Comparateur!C$11),"",ROUND(F91*Comparateur!C$10/12,2))</f>
        <v>388.11</v>
      </c>
      <c r="D92" s="18">
        <f>IF(C92="","",IF($B92=Comparateur!C$11,F91,Comparateur!C$20-C92))</f>
        <v>489.05999999999995</v>
      </c>
      <c r="E92" s="18">
        <f>IF(C92="","",ROUND(IF(Comparateur!C$12=Paramètres!$B$36,Comparateur!C$9,F91)*Comparateur!C$13/12,2))</f>
        <v>63</v>
      </c>
      <c r="F92" s="31">
        <f t="shared" si="9"/>
        <v>142811.73000000001</v>
      </c>
      <c r="G92" s="18">
        <f t="shared" si="10"/>
        <v>940.17</v>
      </c>
      <c r="H92" s="18">
        <f t="shared" si="11"/>
        <v>877.17</v>
      </c>
      <c r="I92" s="18">
        <f>IF(OR($B92="",Comparateur!D$17&lt;&gt;"OK",$B92&gt;Comparateur!D$11),"",ROUND(L91*Comparateur!D$10/12,2))</f>
        <v>407.65</v>
      </c>
      <c r="J92" s="18">
        <f>IF(I92="","",IF($B92=Comparateur!D$11,L91,Comparateur!D$20-I92))</f>
        <v>483.85</v>
      </c>
      <c r="K92" s="18">
        <f>IF(I92="","",ROUND(IF(Comparateur!D$12=Paramètres!$B$36,Comparateur!D$9,L91)*Comparateur!D$13/12,2))</f>
        <v>21.58</v>
      </c>
      <c r="L92" s="31">
        <f t="shared" si="12"/>
        <v>143392.74</v>
      </c>
      <c r="M92" s="18">
        <f t="shared" si="13"/>
        <v>913.08</v>
      </c>
      <c r="N92" s="18">
        <f t="shared" si="14"/>
        <v>891.5</v>
      </c>
      <c r="O92" s="18">
        <f>IF(OR($B92="",Comparateur!E$17&lt;&gt;"OK",$B92&gt;Comparateur!E$11),"",ROUND(R91*Comparateur!E$10/12,2))</f>
        <v>427.32</v>
      </c>
      <c r="P92" s="18">
        <f>IF(O92="","",IF($B92=Comparateur!E$11,R91,Comparateur!E$20-O92))</f>
        <v>478.64000000000004</v>
      </c>
      <c r="Q92" s="18">
        <f>IF(O92="","",ROUND(IF(Comparateur!E$12=Paramètres!$B$36,Comparateur!E$9,R91)*Comparateur!E$13/12,2))</f>
        <v>30</v>
      </c>
      <c r="R92" s="31">
        <f t="shared" si="15"/>
        <v>143968.35</v>
      </c>
      <c r="S92" s="18">
        <f t="shared" si="16"/>
        <v>935.96</v>
      </c>
      <c r="T92" s="18">
        <f t="shared" si="17"/>
        <v>905.96</v>
      </c>
    </row>
    <row r="93" spans="2:20" x14ac:dyDescent="0.35">
      <c r="B93" s="29">
        <f>IF(B92="","",IF(B92+1&gt;Comparateur!$C$47,"",B92+1))</f>
        <v>86</v>
      </c>
      <c r="C93" s="18">
        <f>IF(OR($B93="",Comparateur!C$17&lt;&gt;"OK",$B93&gt;Comparateur!C$11),"",ROUND(F92*Comparateur!C$10/12,2))</f>
        <v>386.78</v>
      </c>
      <c r="D93" s="18">
        <f>IF(C93="","",IF($B93=Comparateur!C$11,F92,Comparateur!C$20-C93))</f>
        <v>490.39</v>
      </c>
      <c r="E93" s="18">
        <f>IF(C93="","",ROUND(IF(Comparateur!C$12=Paramètres!$B$36,Comparateur!C$9,F92)*Comparateur!C$13/12,2))</f>
        <v>63</v>
      </c>
      <c r="F93" s="31">
        <f t="shared" si="9"/>
        <v>142321.34</v>
      </c>
      <c r="G93" s="18">
        <f t="shared" si="10"/>
        <v>940.17</v>
      </c>
      <c r="H93" s="18">
        <f t="shared" si="11"/>
        <v>877.17</v>
      </c>
      <c r="I93" s="18">
        <f>IF(OR($B93="",Comparateur!D$17&lt;&gt;"OK",$B93&gt;Comparateur!D$11),"",ROUND(L92*Comparateur!D$10/12,2))</f>
        <v>406.28</v>
      </c>
      <c r="J93" s="18">
        <f>IF(I93="","",IF($B93=Comparateur!D$11,L92,Comparateur!D$20-I93))</f>
        <v>485.22</v>
      </c>
      <c r="K93" s="18">
        <f>IF(I93="","",ROUND(IF(Comparateur!D$12=Paramètres!$B$36,Comparateur!D$9,L92)*Comparateur!D$13/12,2))</f>
        <v>21.51</v>
      </c>
      <c r="L93" s="31">
        <f t="shared" si="12"/>
        <v>142907.51999999999</v>
      </c>
      <c r="M93" s="18">
        <f t="shared" si="13"/>
        <v>913.01</v>
      </c>
      <c r="N93" s="18">
        <f t="shared" si="14"/>
        <v>891.5</v>
      </c>
      <c r="O93" s="18">
        <f>IF(OR($B93="",Comparateur!E$17&lt;&gt;"OK",$B93&gt;Comparateur!E$11),"",ROUND(R92*Comparateur!E$10/12,2))</f>
        <v>425.91</v>
      </c>
      <c r="P93" s="18">
        <f>IF(O93="","",IF($B93=Comparateur!E$11,R92,Comparateur!E$20-O93))</f>
        <v>480.05</v>
      </c>
      <c r="Q93" s="18">
        <f>IF(O93="","",ROUND(IF(Comparateur!E$12=Paramètres!$B$36,Comparateur!E$9,R92)*Comparateur!E$13/12,2))</f>
        <v>30</v>
      </c>
      <c r="R93" s="31">
        <f t="shared" si="15"/>
        <v>143488.29999999999</v>
      </c>
      <c r="S93" s="18">
        <f t="shared" si="16"/>
        <v>935.96</v>
      </c>
      <c r="T93" s="18">
        <f t="shared" si="17"/>
        <v>905.96</v>
      </c>
    </row>
    <row r="94" spans="2:20" x14ac:dyDescent="0.35">
      <c r="B94" s="29">
        <f>IF(B93="","",IF(B93+1&gt;Comparateur!$C$47,"",B93+1))</f>
        <v>87</v>
      </c>
      <c r="C94" s="18">
        <f>IF(OR($B94="",Comparateur!C$17&lt;&gt;"OK",$B94&gt;Comparateur!C$11),"",ROUND(F93*Comparateur!C$10/12,2))</f>
        <v>385.45</v>
      </c>
      <c r="D94" s="18">
        <f>IF(C94="","",IF($B94=Comparateur!C$11,F93,Comparateur!C$20-C94))</f>
        <v>491.71999999999997</v>
      </c>
      <c r="E94" s="18">
        <f>IF(C94="","",ROUND(IF(Comparateur!C$12=Paramètres!$B$36,Comparateur!C$9,F93)*Comparateur!C$13/12,2))</f>
        <v>63</v>
      </c>
      <c r="F94" s="31">
        <f t="shared" si="9"/>
        <v>141829.62</v>
      </c>
      <c r="G94" s="18">
        <f t="shared" si="10"/>
        <v>940.17</v>
      </c>
      <c r="H94" s="18">
        <f t="shared" si="11"/>
        <v>877.17</v>
      </c>
      <c r="I94" s="18">
        <f>IF(OR($B94="",Comparateur!D$17&lt;&gt;"OK",$B94&gt;Comparateur!D$11),"",ROUND(L93*Comparateur!D$10/12,2))</f>
        <v>404.9</v>
      </c>
      <c r="J94" s="18">
        <f>IF(I94="","",IF($B94=Comparateur!D$11,L93,Comparateur!D$20-I94))</f>
        <v>486.6</v>
      </c>
      <c r="K94" s="18">
        <f>IF(I94="","",ROUND(IF(Comparateur!D$12=Paramètres!$B$36,Comparateur!D$9,L93)*Comparateur!D$13/12,2))</f>
        <v>21.44</v>
      </c>
      <c r="L94" s="31">
        <f t="shared" si="12"/>
        <v>142420.92000000001</v>
      </c>
      <c r="M94" s="18">
        <f t="shared" si="13"/>
        <v>912.94</v>
      </c>
      <c r="N94" s="18">
        <f t="shared" si="14"/>
        <v>891.5</v>
      </c>
      <c r="O94" s="18">
        <f>IF(OR($B94="",Comparateur!E$17&lt;&gt;"OK",$B94&gt;Comparateur!E$11),"",ROUND(R93*Comparateur!E$10/12,2))</f>
        <v>424.49</v>
      </c>
      <c r="P94" s="18">
        <f>IF(O94="","",IF($B94=Comparateur!E$11,R93,Comparateur!E$20-O94))</f>
        <v>481.47</v>
      </c>
      <c r="Q94" s="18">
        <f>IF(O94="","",ROUND(IF(Comparateur!E$12=Paramètres!$B$36,Comparateur!E$9,R93)*Comparateur!E$13/12,2))</f>
        <v>30</v>
      </c>
      <c r="R94" s="31">
        <f t="shared" si="15"/>
        <v>143006.82999999999</v>
      </c>
      <c r="S94" s="18">
        <f t="shared" si="16"/>
        <v>935.96</v>
      </c>
      <c r="T94" s="18">
        <f t="shared" si="17"/>
        <v>905.96</v>
      </c>
    </row>
    <row r="95" spans="2:20" x14ac:dyDescent="0.35">
      <c r="B95" s="29">
        <f>IF(B94="","",IF(B94+1&gt;Comparateur!$C$47,"",B94+1))</f>
        <v>88</v>
      </c>
      <c r="C95" s="18">
        <f>IF(OR($B95="",Comparateur!C$17&lt;&gt;"OK",$B95&gt;Comparateur!C$11),"",ROUND(F94*Comparateur!C$10/12,2))</f>
        <v>384.12</v>
      </c>
      <c r="D95" s="18">
        <f>IF(C95="","",IF($B95=Comparateur!C$11,F94,Comparateur!C$20-C95))</f>
        <v>493.04999999999995</v>
      </c>
      <c r="E95" s="18">
        <f>IF(C95="","",ROUND(IF(Comparateur!C$12=Paramètres!$B$36,Comparateur!C$9,F94)*Comparateur!C$13/12,2))</f>
        <v>63</v>
      </c>
      <c r="F95" s="31">
        <f t="shared" si="9"/>
        <v>141336.57</v>
      </c>
      <c r="G95" s="18">
        <f t="shared" si="10"/>
        <v>940.17</v>
      </c>
      <c r="H95" s="18">
        <f t="shared" si="11"/>
        <v>877.17</v>
      </c>
      <c r="I95" s="18">
        <f>IF(OR($B95="",Comparateur!D$17&lt;&gt;"OK",$B95&gt;Comparateur!D$11),"",ROUND(L94*Comparateur!D$10/12,2))</f>
        <v>403.53</v>
      </c>
      <c r="J95" s="18">
        <f>IF(I95="","",IF($B95=Comparateur!D$11,L94,Comparateur!D$20-I95))</f>
        <v>487.97</v>
      </c>
      <c r="K95" s="18">
        <f>IF(I95="","",ROUND(IF(Comparateur!D$12=Paramètres!$B$36,Comparateur!D$9,L94)*Comparateur!D$13/12,2))</f>
        <v>21.36</v>
      </c>
      <c r="L95" s="31">
        <f t="shared" si="12"/>
        <v>141932.95000000001</v>
      </c>
      <c r="M95" s="18">
        <f t="shared" si="13"/>
        <v>912.86</v>
      </c>
      <c r="N95" s="18">
        <f t="shared" si="14"/>
        <v>891.5</v>
      </c>
      <c r="O95" s="18">
        <f>IF(OR($B95="",Comparateur!E$17&lt;&gt;"OK",$B95&gt;Comparateur!E$11),"",ROUND(R94*Comparateur!E$10/12,2))</f>
        <v>423.06</v>
      </c>
      <c r="P95" s="18">
        <f>IF(O95="","",IF($B95=Comparateur!E$11,R94,Comparateur!E$20-O95))</f>
        <v>482.90000000000003</v>
      </c>
      <c r="Q95" s="18">
        <f>IF(O95="","",ROUND(IF(Comparateur!E$12=Paramètres!$B$36,Comparateur!E$9,R94)*Comparateur!E$13/12,2))</f>
        <v>30</v>
      </c>
      <c r="R95" s="31">
        <f t="shared" si="15"/>
        <v>142523.93</v>
      </c>
      <c r="S95" s="18">
        <f t="shared" si="16"/>
        <v>935.96</v>
      </c>
      <c r="T95" s="18">
        <f t="shared" si="17"/>
        <v>905.96</v>
      </c>
    </row>
    <row r="96" spans="2:20" x14ac:dyDescent="0.35">
      <c r="B96" s="29">
        <f>IF(B95="","",IF(B95+1&gt;Comparateur!$C$47,"",B95+1))</f>
        <v>89</v>
      </c>
      <c r="C96" s="18">
        <f>IF(OR($B96="",Comparateur!C$17&lt;&gt;"OK",$B96&gt;Comparateur!C$11),"",ROUND(F95*Comparateur!C$10/12,2))</f>
        <v>382.79</v>
      </c>
      <c r="D96" s="18">
        <f>IF(C96="","",IF($B96=Comparateur!C$11,F95,Comparateur!C$20-C96))</f>
        <v>494.37999999999994</v>
      </c>
      <c r="E96" s="18">
        <f>IF(C96="","",ROUND(IF(Comparateur!C$12=Paramètres!$B$36,Comparateur!C$9,F95)*Comparateur!C$13/12,2))</f>
        <v>63</v>
      </c>
      <c r="F96" s="31">
        <f t="shared" si="9"/>
        <v>140842.19</v>
      </c>
      <c r="G96" s="18">
        <f t="shared" si="10"/>
        <v>940.17</v>
      </c>
      <c r="H96" s="18">
        <f t="shared" si="11"/>
        <v>877.17</v>
      </c>
      <c r="I96" s="18">
        <f>IF(OR($B96="",Comparateur!D$17&lt;&gt;"OK",$B96&gt;Comparateur!D$11),"",ROUND(L95*Comparateur!D$10/12,2))</f>
        <v>402.14</v>
      </c>
      <c r="J96" s="18">
        <f>IF(I96="","",IF($B96=Comparateur!D$11,L95,Comparateur!D$20-I96))</f>
        <v>489.36</v>
      </c>
      <c r="K96" s="18">
        <f>IF(I96="","",ROUND(IF(Comparateur!D$12=Paramètres!$B$36,Comparateur!D$9,L95)*Comparateur!D$13/12,2))</f>
        <v>21.29</v>
      </c>
      <c r="L96" s="31">
        <f t="shared" si="12"/>
        <v>141443.59</v>
      </c>
      <c r="M96" s="18">
        <f t="shared" si="13"/>
        <v>912.79</v>
      </c>
      <c r="N96" s="18">
        <f t="shared" si="14"/>
        <v>891.5</v>
      </c>
      <c r="O96" s="18">
        <f>IF(OR($B96="",Comparateur!E$17&lt;&gt;"OK",$B96&gt;Comparateur!E$11),"",ROUND(R95*Comparateur!E$10/12,2))</f>
        <v>421.63</v>
      </c>
      <c r="P96" s="18">
        <f>IF(O96="","",IF($B96=Comparateur!E$11,R95,Comparateur!E$20-O96))</f>
        <v>484.33000000000004</v>
      </c>
      <c r="Q96" s="18">
        <f>IF(O96="","",ROUND(IF(Comparateur!E$12=Paramètres!$B$36,Comparateur!E$9,R95)*Comparateur!E$13/12,2))</f>
        <v>30</v>
      </c>
      <c r="R96" s="31">
        <f t="shared" si="15"/>
        <v>142039.6</v>
      </c>
      <c r="S96" s="18">
        <f t="shared" si="16"/>
        <v>935.96</v>
      </c>
      <c r="T96" s="18">
        <f t="shared" si="17"/>
        <v>905.96</v>
      </c>
    </row>
    <row r="97" spans="2:20" x14ac:dyDescent="0.35">
      <c r="B97" s="29">
        <f>IF(B96="","",IF(B96+1&gt;Comparateur!$C$47,"",B96+1))</f>
        <v>90</v>
      </c>
      <c r="C97" s="18">
        <f>IF(OR($B97="",Comparateur!C$17&lt;&gt;"OK",$B97&gt;Comparateur!C$11),"",ROUND(F96*Comparateur!C$10/12,2))</f>
        <v>381.45</v>
      </c>
      <c r="D97" s="18">
        <f>IF(C97="","",IF($B97=Comparateur!C$11,F96,Comparateur!C$20-C97))</f>
        <v>495.71999999999997</v>
      </c>
      <c r="E97" s="18">
        <f>IF(C97="","",ROUND(IF(Comparateur!C$12=Paramètres!$B$36,Comparateur!C$9,F96)*Comparateur!C$13/12,2))</f>
        <v>63</v>
      </c>
      <c r="F97" s="31">
        <f t="shared" si="9"/>
        <v>140346.47</v>
      </c>
      <c r="G97" s="18">
        <f t="shared" si="10"/>
        <v>940.17</v>
      </c>
      <c r="H97" s="18">
        <f t="shared" si="11"/>
        <v>877.17</v>
      </c>
      <c r="I97" s="18">
        <f>IF(OR($B97="",Comparateur!D$17&lt;&gt;"OK",$B97&gt;Comparateur!D$11),"",ROUND(L96*Comparateur!D$10/12,2))</f>
        <v>400.76</v>
      </c>
      <c r="J97" s="18">
        <f>IF(I97="","",IF($B97=Comparateur!D$11,L96,Comparateur!D$20-I97))</f>
        <v>490.74</v>
      </c>
      <c r="K97" s="18">
        <f>IF(I97="","",ROUND(IF(Comparateur!D$12=Paramètres!$B$36,Comparateur!D$9,L96)*Comparateur!D$13/12,2))</f>
        <v>21.22</v>
      </c>
      <c r="L97" s="31">
        <f t="shared" si="12"/>
        <v>140952.85</v>
      </c>
      <c r="M97" s="18">
        <f t="shared" si="13"/>
        <v>912.72</v>
      </c>
      <c r="N97" s="18">
        <f t="shared" si="14"/>
        <v>891.5</v>
      </c>
      <c r="O97" s="18">
        <f>IF(OR($B97="",Comparateur!E$17&lt;&gt;"OK",$B97&gt;Comparateur!E$11),"",ROUND(R96*Comparateur!E$10/12,2))</f>
        <v>420.2</v>
      </c>
      <c r="P97" s="18">
        <f>IF(O97="","",IF($B97=Comparateur!E$11,R96,Comparateur!E$20-O97))</f>
        <v>485.76000000000005</v>
      </c>
      <c r="Q97" s="18">
        <f>IF(O97="","",ROUND(IF(Comparateur!E$12=Paramètres!$B$36,Comparateur!E$9,R96)*Comparateur!E$13/12,2))</f>
        <v>30</v>
      </c>
      <c r="R97" s="31">
        <f t="shared" si="15"/>
        <v>141553.84</v>
      </c>
      <c r="S97" s="18">
        <f t="shared" si="16"/>
        <v>935.96</v>
      </c>
      <c r="T97" s="18">
        <f t="shared" si="17"/>
        <v>905.96</v>
      </c>
    </row>
    <row r="98" spans="2:20" x14ac:dyDescent="0.35">
      <c r="B98" s="29">
        <f>IF(B97="","",IF(B97+1&gt;Comparateur!$C$47,"",B97+1))</f>
        <v>91</v>
      </c>
      <c r="C98" s="18">
        <f>IF(OR($B98="",Comparateur!C$17&lt;&gt;"OK",$B98&gt;Comparateur!C$11),"",ROUND(F97*Comparateur!C$10/12,2))</f>
        <v>380.11</v>
      </c>
      <c r="D98" s="18">
        <f>IF(C98="","",IF($B98=Comparateur!C$11,F97,Comparateur!C$20-C98))</f>
        <v>497.05999999999995</v>
      </c>
      <c r="E98" s="18">
        <f>IF(C98="","",ROUND(IF(Comparateur!C$12=Paramètres!$B$36,Comparateur!C$9,F97)*Comparateur!C$13/12,2))</f>
        <v>63</v>
      </c>
      <c r="F98" s="31">
        <f t="shared" si="9"/>
        <v>139849.41</v>
      </c>
      <c r="G98" s="18">
        <f t="shared" si="10"/>
        <v>940.17</v>
      </c>
      <c r="H98" s="18">
        <f t="shared" si="11"/>
        <v>877.17</v>
      </c>
      <c r="I98" s="18">
        <f>IF(OR($B98="",Comparateur!D$17&lt;&gt;"OK",$B98&gt;Comparateur!D$11),"",ROUND(L97*Comparateur!D$10/12,2))</f>
        <v>399.37</v>
      </c>
      <c r="J98" s="18">
        <f>IF(I98="","",IF($B98=Comparateur!D$11,L97,Comparateur!D$20-I98))</f>
        <v>492.13</v>
      </c>
      <c r="K98" s="18">
        <f>IF(I98="","",ROUND(IF(Comparateur!D$12=Paramètres!$B$36,Comparateur!D$9,L97)*Comparateur!D$13/12,2))</f>
        <v>21.14</v>
      </c>
      <c r="L98" s="31">
        <f t="shared" si="12"/>
        <v>140460.72</v>
      </c>
      <c r="M98" s="18">
        <f t="shared" si="13"/>
        <v>912.64</v>
      </c>
      <c r="N98" s="18">
        <f t="shared" si="14"/>
        <v>891.5</v>
      </c>
      <c r="O98" s="18">
        <f>IF(OR($B98="",Comparateur!E$17&lt;&gt;"OK",$B98&gt;Comparateur!E$11),"",ROUND(R97*Comparateur!E$10/12,2))</f>
        <v>418.76</v>
      </c>
      <c r="P98" s="18">
        <f>IF(O98="","",IF($B98=Comparateur!E$11,R97,Comparateur!E$20-O98))</f>
        <v>487.20000000000005</v>
      </c>
      <c r="Q98" s="18">
        <f>IF(O98="","",ROUND(IF(Comparateur!E$12=Paramètres!$B$36,Comparateur!E$9,R97)*Comparateur!E$13/12,2))</f>
        <v>30</v>
      </c>
      <c r="R98" s="31">
        <f t="shared" si="15"/>
        <v>141066.64000000001</v>
      </c>
      <c r="S98" s="18">
        <f t="shared" si="16"/>
        <v>935.96</v>
      </c>
      <c r="T98" s="18">
        <f t="shared" si="17"/>
        <v>905.96</v>
      </c>
    </row>
    <row r="99" spans="2:20" x14ac:dyDescent="0.35">
      <c r="B99" s="29">
        <f>IF(B98="","",IF(B98+1&gt;Comparateur!$C$47,"",B98+1))</f>
        <v>92</v>
      </c>
      <c r="C99" s="18">
        <f>IF(OR($B99="",Comparateur!C$17&lt;&gt;"OK",$B99&gt;Comparateur!C$11),"",ROUND(F98*Comparateur!C$10/12,2))</f>
        <v>378.76</v>
      </c>
      <c r="D99" s="18">
        <f>IF(C99="","",IF($B99=Comparateur!C$11,F98,Comparateur!C$20-C99))</f>
        <v>498.40999999999997</v>
      </c>
      <c r="E99" s="18">
        <f>IF(C99="","",ROUND(IF(Comparateur!C$12=Paramètres!$B$36,Comparateur!C$9,F98)*Comparateur!C$13/12,2))</f>
        <v>63</v>
      </c>
      <c r="F99" s="31">
        <f t="shared" si="9"/>
        <v>139351</v>
      </c>
      <c r="G99" s="18">
        <f t="shared" si="10"/>
        <v>940.17</v>
      </c>
      <c r="H99" s="18">
        <f t="shared" si="11"/>
        <v>877.17</v>
      </c>
      <c r="I99" s="18">
        <f>IF(OR($B99="",Comparateur!D$17&lt;&gt;"OK",$B99&gt;Comparateur!D$11),"",ROUND(L98*Comparateur!D$10/12,2))</f>
        <v>397.97</v>
      </c>
      <c r="J99" s="18">
        <f>IF(I99="","",IF($B99=Comparateur!D$11,L98,Comparateur!D$20-I99))</f>
        <v>493.53</v>
      </c>
      <c r="K99" s="18">
        <f>IF(I99="","",ROUND(IF(Comparateur!D$12=Paramètres!$B$36,Comparateur!D$9,L98)*Comparateur!D$13/12,2))</f>
        <v>21.07</v>
      </c>
      <c r="L99" s="31">
        <f t="shared" si="12"/>
        <v>139967.19</v>
      </c>
      <c r="M99" s="18">
        <f t="shared" si="13"/>
        <v>912.57</v>
      </c>
      <c r="N99" s="18">
        <f t="shared" si="14"/>
        <v>891.5</v>
      </c>
      <c r="O99" s="18">
        <f>IF(OR($B99="",Comparateur!E$17&lt;&gt;"OK",$B99&gt;Comparateur!E$11),"",ROUND(R98*Comparateur!E$10/12,2))</f>
        <v>417.32</v>
      </c>
      <c r="P99" s="18">
        <f>IF(O99="","",IF($B99=Comparateur!E$11,R98,Comparateur!E$20-O99))</f>
        <v>488.64000000000004</v>
      </c>
      <c r="Q99" s="18">
        <f>IF(O99="","",ROUND(IF(Comparateur!E$12=Paramètres!$B$36,Comparateur!E$9,R98)*Comparateur!E$13/12,2))</f>
        <v>30</v>
      </c>
      <c r="R99" s="31">
        <f t="shared" si="15"/>
        <v>140578</v>
      </c>
      <c r="S99" s="18">
        <f t="shared" si="16"/>
        <v>935.96</v>
      </c>
      <c r="T99" s="18">
        <f t="shared" si="17"/>
        <v>905.96</v>
      </c>
    </row>
    <row r="100" spans="2:20" x14ac:dyDescent="0.35">
      <c r="B100" s="29">
        <f>IF(B99="","",IF(B99+1&gt;Comparateur!$C$47,"",B99+1))</f>
        <v>93</v>
      </c>
      <c r="C100" s="18">
        <f>IF(OR($B100="",Comparateur!C$17&lt;&gt;"OK",$B100&gt;Comparateur!C$11),"",ROUND(F99*Comparateur!C$10/12,2))</f>
        <v>377.41</v>
      </c>
      <c r="D100" s="18">
        <f>IF(C100="","",IF($B100=Comparateur!C$11,F99,Comparateur!C$20-C100))</f>
        <v>499.75999999999993</v>
      </c>
      <c r="E100" s="18">
        <f>IF(C100="","",ROUND(IF(Comparateur!C$12=Paramètres!$B$36,Comparateur!C$9,F99)*Comparateur!C$13/12,2))</f>
        <v>63</v>
      </c>
      <c r="F100" s="31">
        <f t="shared" si="9"/>
        <v>138851.24</v>
      </c>
      <c r="G100" s="18">
        <f t="shared" si="10"/>
        <v>940.17</v>
      </c>
      <c r="H100" s="18">
        <f t="shared" si="11"/>
        <v>877.17</v>
      </c>
      <c r="I100" s="18">
        <f>IF(OR($B100="",Comparateur!D$17&lt;&gt;"OK",$B100&gt;Comparateur!D$11),"",ROUND(L99*Comparateur!D$10/12,2))</f>
        <v>396.57</v>
      </c>
      <c r="J100" s="18">
        <f>IF(I100="","",IF($B100=Comparateur!D$11,L99,Comparateur!D$20-I100))</f>
        <v>494.93</v>
      </c>
      <c r="K100" s="18">
        <f>IF(I100="","",ROUND(IF(Comparateur!D$12=Paramètres!$B$36,Comparateur!D$9,L99)*Comparateur!D$13/12,2))</f>
        <v>21</v>
      </c>
      <c r="L100" s="31">
        <f t="shared" si="12"/>
        <v>139472.26</v>
      </c>
      <c r="M100" s="18">
        <f t="shared" si="13"/>
        <v>912.5</v>
      </c>
      <c r="N100" s="18">
        <f t="shared" si="14"/>
        <v>891.5</v>
      </c>
      <c r="O100" s="18">
        <f>IF(OR($B100="",Comparateur!E$17&lt;&gt;"OK",$B100&gt;Comparateur!E$11),"",ROUND(R99*Comparateur!E$10/12,2))</f>
        <v>415.88</v>
      </c>
      <c r="P100" s="18">
        <f>IF(O100="","",IF($B100=Comparateur!E$11,R99,Comparateur!E$20-O100))</f>
        <v>490.08000000000004</v>
      </c>
      <c r="Q100" s="18">
        <f>IF(O100="","",ROUND(IF(Comparateur!E$12=Paramètres!$B$36,Comparateur!E$9,R99)*Comparateur!E$13/12,2))</f>
        <v>30</v>
      </c>
      <c r="R100" s="31">
        <f t="shared" si="15"/>
        <v>140087.92000000001</v>
      </c>
      <c r="S100" s="18">
        <f t="shared" si="16"/>
        <v>935.96</v>
      </c>
      <c r="T100" s="18">
        <f t="shared" si="17"/>
        <v>905.96</v>
      </c>
    </row>
    <row r="101" spans="2:20" x14ac:dyDescent="0.35">
      <c r="B101" s="29">
        <f>IF(B100="","",IF(B100+1&gt;Comparateur!$C$47,"",B100+1))</f>
        <v>94</v>
      </c>
      <c r="C101" s="18">
        <f>IF(OR($B101="",Comparateur!C$17&lt;&gt;"OK",$B101&gt;Comparateur!C$11),"",ROUND(F100*Comparateur!C$10/12,2))</f>
        <v>376.06</v>
      </c>
      <c r="D101" s="18">
        <f>IF(C101="","",IF($B101=Comparateur!C$11,F100,Comparateur!C$20-C101))</f>
        <v>501.10999999999996</v>
      </c>
      <c r="E101" s="18">
        <f>IF(C101="","",ROUND(IF(Comparateur!C$12=Paramètres!$B$36,Comparateur!C$9,F100)*Comparateur!C$13/12,2))</f>
        <v>63</v>
      </c>
      <c r="F101" s="31">
        <f t="shared" si="9"/>
        <v>138350.13</v>
      </c>
      <c r="G101" s="18">
        <f t="shared" si="10"/>
        <v>940.17</v>
      </c>
      <c r="H101" s="18">
        <f t="shared" si="11"/>
        <v>877.17</v>
      </c>
      <c r="I101" s="18">
        <f>IF(OR($B101="",Comparateur!D$17&lt;&gt;"OK",$B101&gt;Comparateur!D$11),"",ROUND(L100*Comparateur!D$10/12,2))</f>
        <v>395.17</v>
      </c>
      <c r="J101" s="18">
        <f>IF(I101="","",IF($B101=Comparateur!D$11,L100,Comparateur!D$20-I101))</f>
        <v>496.33</v>
      </c>
      <c r="K101" s="18">
        <f>IF(I101="","",ROUND(IF(Comparateur!D$12=Paramètres!$B$36,Comparateur!D$9,L100)*Comparateur!D$13/12,2))</f>
        <v>20.92</v>
      </c>
      <c r="L101" s="31">
        <f t="shared" si="12"/>
        <v>138975.93</v>
      </c>
      <c r="M101" s="18">
        <f t="shared" si="13"/>
        <v>912.42</v>
      </c>
      <c r="N101" s="18">
        <f t="shared" si="14"/>
        <v>891.5</v>
      </c>
      <c r="O101" s="18">
        <f>IF(OR($B101="",Comparateur!E$17&lt;&gt;"OK",$B101&gt;Comparateur!E$11),"",ROUND(R100*Comparateur!E$10/12,2))</f>
        <v>414.43</v>
      </c>
      <c r="P101" s="18">
        <f>IF(O101="","",IF($B101=Comparateur!E$11,R100,Comparateur!E$20-O101))</f>
        <v>491.53000000000003</v>
      </c>
      <c r="Q101" s="18">
        <f>IF(O101="","",ROUND(IF(Comparateur!E$12=Paramètres!$B$36,Comparateur!E$9,R100)*Comparateur!E$13/12,2))</f>
        <v>30</v>
      </c>
      <c r="R101" s="31">
        <f t="shared" si="15"/>
        <v>139596.39000000001</v>
      </c>
      <c r="S101" s="18">
        <f t="shared" si="16"/>
        <v>935.96</v>
      </c>
      <c r="T101" s="18">
        <f t="shared" si="17"/>
        <v>905.96</v>
      </c>
    </row>
    <row r="102" spans="2:20" x14ac:dyDescent="0.35">
      <c r="B102" s="29">
        <f>IF(B101="","",IF(B101+1&gt;Comparateur!$C$47,"",B101+1))</f>
        <v>95</v>
      </c>
      <c r="C102" s="18">
        <f>IF(OR($B102="",Comparateur!C$17&lt;&gt;"OK",$B102&gt;Comparateur!C$11),"",ROUND(F101*Comparateur!C$10/12,2))</f>
        <v>374.7</v>
      </c>
      <c r="D102" s="18">
        <f>IF(C102="","",IF($B102=Comparateur!C$11,F101,Comparateur!C$20-C102))</f>
        <v>502.46999999999997</v>
      </c>
      <c r="E102" s="18">
        <f>IF(C102="","",ROUND(IF(Comparateur!C$12=Paramètres!$B$36,Comparateur!C$9,F101)*Comparateur!C$13/12,2))</f>
        <v>63</v>
      </c>
      <c r="F102" s="31">
        <f t="shared" si="9"/>
        <v>137847.66</v>
      </c>
      <c r="G102" s="18">
        <f t="shared" si="10"/>
        <v>940.17</v>
      </c>
      <c r="H102" s="18">
        <f t="shared" si="11"/>
        <v>877.17</v>
      </c>
      <c r="I102" s="18">
        <f>IF(OR($B102="",Comparateur!D$17&lt;&gt;"OK",$B102&gt;Comparateur!D$11),"",ROUND(L101*Comparateur!D$10/12,2))</f>
        <v>393.77</v>
      </c>
      <c r="J102" s="18">
        <f>IF(I102="","",IF($B102=Comparateur!D$11,L101,Comparateur!D$20-I102))</f>
        <v>497.73</v>
      </c>
      <c r="K102" s="18">
        <f>IF(I102="","",ROUND(IF(Comparateur!D$12=Paramètres!$B$36,Comparateur!D$9,L101)*Comparateur!D$13/12,2))</f>
        <v>20.85</v>
      </c>
      <c r="L102" s="31">
        <f t="shared" si="12"/>
        <v>138478.20000000001</v>
      </c>
      <c r="M102" s="18">
        <f t="shared" si="13"/>
        <v>912.35</v>
      </c>
      <c r="N102" s="18">
        <f t="shared" si="14"/>
        <v>891.5</v>
      </c>
      <c r="O102" s="18">
        <f>IF(OR($B102="",Comparateur!E$17&lt;&gt;"OK",$B102&gt;Comparateur!E$11),"",ROUND(R101*Comparateur!E$10/12,2))</f>
        <v>412.97</v>
      </c>
      <c r="P102" s="18">
        <f>IF(O102="","",IF($B102=Comparateur!E$11,R101,Comparateur!E$20-O102))</f>
        <v>492.99</v>
      </c>
      <c r="Q102" s="18">
        <f>IF(O102="","",ROUND(IF(Comparateur!E$12=Paramètres!$B$36,Comparateur!E$9,R101)*Comparateur!E$13/12,2))</f>
        <v>30</v>
      </c>
      <c r="R102" s="31">
        <f t="shared" si="15"/>
        <v>139103.4</v>
      </c>
      <c r="S102" s="18">
        <f t="shared" si="16"/>
        <v>935.96</v>
      </c>
      <c r="T102" s="18">
        <f t="shared" si="17"/>
        <v>905.96</v>
      </c>
    </row>
    <row r="103" spans="2:20" x14ac:dyDescent="0.35">
      <c r="B103" s="29">
        <f>IF(B102="","",IF(B102+1&gt;Comparateur!$C$47,"",B102+1))</f>
        <v>96</v>
      </c>
      <c r="C103" s="18">
        <f>IF(OR($B103="",Comparateur!C$17&lt;&gt;"OK",$B103&gt;Comparateur!C$11),"",ROUND(F102*Comparateur!C$10/12,2))</f>
        <v>373.34</v>
      </c>
      <c r="D103" s="18">
        <f>IF(C103="","",IF($B103=Comparateur!C$11,F102,Comparateur!C$20-C103))</f>
        <v>503.83</v>
      </c>
      <c r="E103" s="18">
        <f>IF(C103="","",ROUND(IF(Comparateur!C$12=Paramètres!$B$36,Comparateur!C$9,F102)*Comparateur!C$13/12,2))</f>
        <v>63</v>
      </c>
      <c r="F103" s="31">
        <f t="shared" si="9"/>
        <v>137343.82999999999</v>
      </c>
      <c r="G103" s="18">
        <f t="shared" si="10"/>
        <v>940.17</v>
      </c>
      <c r="H103" s="18">
        <f t="shared" si="11"/>
        <v>877.17</v>
      </c>
      <c r="I103" s="18">
        <f>IF(OR($B103="",Comparateur!D$17&lt;&gt;"OK",$B103&gt;Comparateur!D$11),"",ROUND(L102*Comparateur!D$10/12,2))</f>
        <v>392.35</v>
      </c>
      <c r="J103" s="18">
        <f>IF(I103="","",IF($B103=Comparateur!D$11,L102,Comparateur!D$20-I103))</f>
        <v>499.15</v>
      </c>
      <c r="K103" s="18">
        <f>IF(I103="","",ROUND(IF(Comparateur!D$12=Paramètres!$B$36,Comparateur!D$9,L102)*Comparateur!D$13/12,2))</f>
        <v>20.77</v>
      </c>
      <c r="L103" s="31">
        <f t="shared" si="12"/>
        <v>137979.04999999999</v>
      </c>
      <c r="M103" s="18">
        <f t="shared" si="13"/>
        <v>912.27</v>
      </c>
      <c r="N103" s="18">
        <f t="shared" si="14"/>
        <v>891.5</v>
      </c>
      <c r="O103" s="18">
        <f>IF(OR($B103="",Comparateur!E$17&lt;&gt;"OK",$B103&gt;Comparateur!E$11),"",ROUND(R102*Comparateur!E$10/12,2))</f>
        <v>411.51</v>
      </c>
      <c r="P103" s="18">
        <f>IF(O103="","",IF($B103=Comparateur!E$11,R102,Comparateur!E$20-O103))</f>
        <v>494.45000000000005</v>
      </c>
      <c r="Q103" s="18">
        <f>IF(O103="","",ROUND(IF(Comparateur!E$12=Paramètres!$B$36,Comparateur!E$9,R102)*Comparateur!E$13/12,2))</f>
        <v>30</v>
      </c>
      <c r="R103" s="31">
        <f t="shared" si="15"/>
        <v>138608.95000000001</v>
      </c>
      <c r="S103" s="18">
        <f t="shared" si="16"/>
        <v>935.96</v>
      </c>
      <c r="T103" s="18">
        <f t="shared" si="17"/>
        <v>905.96</v>
      </c>
    </row>
    <row r="104" spans="2:20" x14ac:dyDescent="0.35">
      <c r="B104" s="29">
        <f>IF(B103="","",IF(B103+1&gt;Comparateur!$C$47,"",B103+1))</f>
        <v>97</v>
      </c>
      <c r="C104" s="18">
        <f>IF(OR($B104="",Comparateur!C$17&lt;&gt;"OK",$B104&gt;Comparateur!C$11),"",ROUND(F103*Comparateur!C$10/12,2))</f>
        <v>371.97</v>
      </c>
      <c r="D104" s="18">
        <f>IF(C104="","",IF($B104=Comparateur!C$11,F103,Comparateur!C$20-C104))</f>
        <v>505.19999999999993</v>
      </c>
      <c r="E104" s="18">
        <f>IF(C104="","",ROUND(IF(Comparateur!C$12=Paramètres!$B$36,Comparateur!C$9,F103)*Comparateur!C$13/12,2))</f>
        <v>63</v>
      </c>
      <c r="F104" s="31">
        <f t="shared" si="9"/>
        <v>136838.63</v>
      </c>
      <c r="G104" s="18">
        <f t="shared" si="10"/>
        <v>940.17</v>
      </c>
      <c r="H104" s="18">
        <f t="shared" si="11"/>
        <v>877.17</v>
      </c>
      <c r="I104" s="18">
        <f>IF(OR($B104="",Comparateur!D$17&lt;&gt;"OK",$B104&gt;Comparateur!D$11),"",ROUND(L103*Comparateur!D$10/12,2))</f>
        <v>390.94</v>
      </c>
      <c r="J104" s="18">
        <f>IF(I104="","",IF($B104=Comparateur!D$11,L103,Comparateur!D$20-I104))</f>
        <v>500.56</v>
      </c>
      <c r="K104" s="18">
        <f>IF(I104="","",ROUND(IF(Comparateur!D$12=Paramètres!$B$36,Comparateur!D$9,L103)*Comparateur!D$13/12,2))</f>
        <v>20.7</v>
      </c>
      <c r="L104" s="31">
        <f t="shared" si="12"/>
        <v>137478.49</v>
      </c>
      <c r="M104" s="18">
        <f t="shared" si="13"/>
        <v>912.2</v>
      </c>
      <c r="N104" s="18">
        <f t="shared" si="14"/>
        <v>891.5</v>
      </c>
      <c r="O104" s="18">
        <f>IF(OR($B104="",Comparateur!E$17&lt;&gt;"OK",$B104&gt;Comparateur!E$11),"",ROUND(R103*Comparateur!E$10/12,2))</f>
        <v>410.05</v>
      </c>
      <c r="P104" s="18">
        <f>IF(O104="","",IF($B104=Comparateur!E$11,R103,Comparateur!E$20-O104))</f>
        <v>495.91</v>
      </c>
      <c r="Q104" s="18">
        <f>IF(O104="","",ROUND(IF(Comparateur!E$12=Paramètres!$B$36,Comparateur!E$9,R103)*Comparateur!E$13/12,2))</f>
        <v>30</v>
      </c>
      <c r="R104" s="31">
        <f t="shared" si="15"/>
        <v>138113.04</v>
      </c>
      <c r="S104" s="18">
        <f t="shared" si="16"/>
        <v>935.96</v>
      </c>
      <c r="T104" s="18">
        <f t="shared" si="17"/>
        <v>905.96</v>
      </c>
    </row>
    <row r="105" spans="2:20" x14ac:dyDescent="0.35">
      <c r="B105" s="29">
        <f>IF(B104="","",IF(B104+1&gt;Comparateur!$C$47,"",B104+1))</f>
        <v>98</v>
      </c>
      <c r="C105" s="18">
        <f>IF(OR($B105="",Comparateur!C$17&lt;&gt;"OK",$B105&gt;Comparateur!C$11),"",ROUND(F104*Comparateur!C$10/12,2))</f>
        <v>370.6</v>
      </c>
      <c r="D105" s="18">
        <f>IF(C105="","",IF($B105=Comparateur!C$11,F104,Comparateur!C$20-C105))</f>
        <v>506.56999999999994</v>
      </c>
      <c r="E105" s="18">
        <f>IF(C105="","",ROUND(IF(Comparateur!C$12=Paramètres!$B$36,Comparateur!C$9,F104)*Comparateur!C$13/12,2))</f>
        <v>63</v>
      </c>
      <c r="F105" s="31">
        <f t="shared" si="9"/>
        <v>136332.06</v>
      </c>
      <c r="G105" s="18">
        <f t="shared" si="10"/>
        <v>940.17</v>
      </c>
      <c r="H105" s="18">
        <f t="shared" si="11"/>
        <v>877.17</v>
      </c>
      <c r="I105" s="18">
        <f>IF(OR($B105="",Comparateur!D$17&lt;&gt;"OK",$B105&gt;Comparateur!D$11),"",ROUND(L104*Comparateur!D$10/12,2))</f>
        <v>389.52</v>
      </c>
      <c r="J105" s="18">
        <f>IF(I105="","",IF($B105=Comparateur!D$11,L104,Comparateur!D$20-I105))</f>
        <v>501.98</v>
      </c>
      <c r="K105" s="18">
        <f>IF(I105="","",ROUND(IF(Comparateur!D$12=Paramètres!$B$36,Comparateur!D$9,L104)*Comparateur!D$13/12,2))</f>
        <v>20.62</v>
      </c>
      <c r="L105" s="31">
        <f t="shared" si="12"/>
        <v>136976.51</v>
      </c>
      <c r="M105" s="18">
        <f t="shared" si="13"/>
        <v>912.12</v>
      </c>
      <c r="N105" s="18">
        <f t="shared" si="14"/>
        <v>891.5</v>
      </c>
      <c r="O105" s="18">
        <f>IF(OR($B105="",Comparateur!E$17&lt;&gt;"OK",$B105&gt;Comparateur!E$11),"",ROUND(R104*Comparateur!E$10/12,2))</f>
        <v>408.58</v>
      </c>
      <c r="P105" s="18">
        <f>IF(O105="","",IF($B105=Comparateur!E$11,R104,Comparateur!E$20-O105))</f>
        <v>497.38000000000005</v>
      </c>
      <c r="Q105" s="18">
        <f>IF(O105="","",ROUND(IF(Comparateur!E$12=Paramètres!$B$36,Comparateur!E$9,R104)*Comparateur!E$13/12,2))</f>
        <v>30</v>
      </c>
      <c r="R105" s="31">
        <f t="shared" si="15"/>
        <v>137615.66</v>
      </c>
      <c r="S105" s="18">
        <f t="shared" si="16"/>
        <v>935.96</v>
      </c>
      <c r="T105" s="18">
        <f t="shared" si="17"/>
        <v>905.96</v>
      </c>
    </row>
    <row r="106" spans="2:20" x14ac:dyDescent="0.35">
      <c r="B106" s="29">
        <f>IF(B105="","",IF(B105+1&gt;Comparateur!$C$47,"",B105+1))</f>
        <v>99</v>
      </c>
      <c r="C106" s="18">
        <f>IF(OR($B106="",Comparateur!C$17&lt;&gt;"OK",$B106&gt;Comparateur!C$11),"",ROUND(F105*Comparateur!C$10/12,2))</f>
        <v>369.23</v>
      </c>
      <c r="D106" s="18">
        <f>IF(C106="","",IF($B106=Comparateur!C$11,F105,Comparateur!C$20-C106))</f>
        <v>507.93999999999994</v>
      </c>
      <c r="E106" s="18">
        <f>IF(C106="","",ROUND(IF(Comparateur!C$12=Paramètres!$B$36,Comparateur!C$9,F105)*Comparateur!C$13/12,2))</f>
        <v>63</v>
      </c>
      <c r="F106" s="31">
        <f t="shared" si="9"/>
        <v>135824.12</v>
      </c>
      <c r="G106" s="18">
        <f t="shared" si="10"/>
        <v>940.17</v>
      </c>
      <c r="H106" s="18">
        <f t="shared" si="11"/>
        <v>877.17</v>
      </c>
      <c r="I106" s="18">
        <f>IF(OR($B106="",Comparateur!D$17&lt;&gt;"OK",$B106&gt;Comparateur!D$11),"",ROUND(L105*Comparateur!D$10/12,2))</f>
        <v>388.1</v>
      </c>
      <c r="J106" s="18">
        <f>IF(I106="","",IF($B106=Comparateur!D$11,L105,Comparateur!D$20-I106))</f>
        <v>503.4</v>
      </c>
      <c r="K106" s="18">
        <f>IF(I106="","",ROUND(IF(Comparateur!D$12=Paramètres!$B$36,Comparateur!D$9,L105)*Comparateur!D$13/12,2))</f>
        <v>20.55</v>
      </c>
      <c r="L106" s="31">
        <f t="shared" si="12"/>
        <v>136473.10999999999</v>
      </c>
      <c r="M106" s="18">
        <f t="shared" si="13"/>
        <v>912.05</v>
      </c>
      <c r="N106" s="18">
        <f t="shared" si="14"/>
        <v>891.5</v>
      </c>
      <c r="O106" s="18">
        <f>IF(OR($B106="",Comparateur!E$17&lt;&gt;"OK",$B106&gt;Comparateur!E$11),"",ROUND(R105*Comparateur!E$10/12,2))</f>
        <v>407.11</v>
      </c>
      <c r="P106" s="18">
        <f>IF(O106="","",IF($B106=Comparateur!E$11,R105,Comparateur!E$20-O106))</f>
        <v>498.85</v>
      </c>
      <c r="Q106" s="18">
        <f>IF(O106="","",ROUND(IF(Comparateur!E$12=Paramètres!$B$36,Comparateur!E$9,R105)*Comparateur!E$13/12,2))</f>
        <v>30</v>
      </c>
      <c r="R106" s="31">
        <f t="shared" si="15"/>
        <v>137116.81</v>
      </c>
      <c r="S106" s="18">
        <f t="shared" si="16"/>
        <v>935.96</v>
      </c>
      <c r="T106" s="18">
        <f t="shared" si="17"/>
        <v>905.96</v>
      </c>
    </row>
    <row r="107" spans="2:20" x14ac:dyDescent="0.35">
      <c r="B107" s="29">
        <f>IF(B106="","",IF(B106+1&gt;Comparateur!$C$47,"",B106+1))</f>
        <v>100</v>
      </c>
      <c r="C107" s="18">
        <f>IF(OR($B107="",Comparateur!C$17&lt;&gt;"OK",$B107&gt;Comparateur!C$11),"",ROUND(F106*Comparateur!C$10/12,2))</f>
        <v>367.86</v>
      </c>
      <c r="D107" s="18">
        <f>IF(C107="","",IF($B107=Comparateur!C$11,F106,Comparateur!C$20-C107))</f>
        <v>509.30999999999995</v>
      </c>
      <c r="E107" s="18">
        <f>IF(C107="","",ROUND(IF(Comparateur!C$12=Paramètres!$B$36,Comparateur!C$9,F106)*Comparateur!C$13/12,2))</f>
        <v>63</v>
      </c>
      <c r="F107" s="31">
        <f t="shared" si="9"/>
        <v>135314.81</v>
      </c>
      <c r="G107" s="18">
        <f t="shared" si="10"/>
        <v>940.17</v>
      </c>
      <c r="H107" s="18">
        <f t="shared" si="11"/>
        <v>877.17</v>
      </c>
      <c r="I107" s="18">
        <f>IF(OR($B107="",Comparateur!D$17&lt;&gt;"OK",$B107&gt;Comparateur!D$11),"",ROUND(L106*Comparateur!D$10/12,2))</f>
        <v>386.67</v>
      </c>
      <c r="J107" s="18">
        <f>IF(I107="","",IF($B107=Comparateur!D$11,L106,Comparateur!D$20-I107))</f>
        <v>504.83</v>
      </c>
      <c r="K107" s="18">
        <f>IF(I107="","",ROUND(IF(Comparateur!D$12=Paramètres!$B$36,Comparateur!D$9,L106)*Comparateur!D$13/12,2))</f>
        <v>20.47</v>
      </c>
      <c r="L107" s="31">
        <f t="shared" si="12"/>
        <v>135968.28</v>
      </c>
      <c r="M107" s="18">
        <f t="shared" si="13"/>
        <v>911.97</v>
      </c>
      <c r="N107" s="18">
        <f t="shared" si="14"/>
        <v>891.5</v>
      </c>
      <c r="O107" s="18">
        <f>IF(OR($B107="",Comparateur!E$17&lt;&gt;"OK",$B107&gt;Comparateur!E$11),"",ROUND(R106*Comparateur!E$10/12,2))</f>
        <v>405.64</v>
      </c>
      <c r="P107" s="18">
        <f>IF(O107="","",IF($B107=Comparateur!E$11,R106,Comparateur!E$20-O107))</f>
        <v>500.32000000000005</v>
      </c>
      <c r="Q107" s="18">
        <f>IF(O107="","",ROUND(IF(Comparateur!E$12=Paramètres!$B$36,Comparateur!E$9,R106)*Comparateur!E$13/12,2))</f>
        <v>30</v>
      </c>
      <c r="R107" s="31">
        <f t="shared" si="15"/>
        <v>136616.49</v>
      </c>
      <c r="S107" s="18">
        <f t="shared" si="16"/>
        <v>935.96</v>
      </c>
      <c r="T107" s="18">
        <f t="shared" si="17"/>
        <v>905.96</v>
      </c>
    </row>
    <row r="108" spans="2:20" x14ac:dyDescent="0.35">
      <c r="B108" s="29">
        <f>IF(B107="","",IF(B107+1&gt;Comparateur!$C$47,"",B107+1))</f>
        <v>101</v>
      </c>
      <c r="C108" s="18">
        <f>IF(OR($B108="",Comparateur!C$17&lt;&gt;"OK",$B108&gt;Comparateur!C$11),"",ROUND(F107*Comparateur!C$10/12,2))</f>
        <v>366.48</v>
      </c>
      <c r="D108" s="18">
        <f>IF(C108="","",IF($B108=Comparateur!C$11,F107,Comparateur!C$20-C108))</f>
        <v>510.68999999999994</v>
      </c>
      <c r="E108" s="18">
        <f>IF(C108="","",ROUND(IF(Comparateur!C$12=Paramètres!$B$36,Comparateur!C$9,F107)*Comparateur!C$13/12,2))</f>
        <v>63</v>
      </c>
      <c r="F108" s="31">
        <f t="shared" si="9"/>
        <v>134804.12</v>
      </c>
      <c r="G108" s="18">
        <f t="shared" si="10"/>
        <v>940.17</v>
      </c>
      <c r="H108" s="18">
        <f t="shared" si="11"/>
        <v>877.17</v>
      </c>
      <c r="I108" s="18">
        <f>IF(OR($B108="",Comparateur!D$17&lt;&gt;"OK",$B108&gt;Comparateur!D$11),"",ROUND(L107*Comparateur!D$10/12,2))</f>
        <v>385.24</v>
      </c>
      <c r="J108" s="18">
        <f>IF(I108="","",IF($B108=Comparateur!D$11,L107,Comparateur!D$20-I108))</f>
        <v>506.26</v>
      </c>
      <c r="K108" s="18">
        <f>IF(I108="","",ROUND(IF(Comparateur!D$12=Paramètres!$B$36,Comparateur!D$9,L107)*Comparateur!D$13/12,2))</f>
        <v>20.399999999999999</v>
      </c>
      <c r="L108" s="31">
        <f t="shared" si="12"/>
        <v>135462.01999999999</v>
      </c>
      <c r="M108" s="18">
        <f t="shared" si="13"/>
        <v>911.9</v>
      </c>
      <c r="N108" s="18">
        <f t="shared" si="14"/>
        <v>891.5</v>
      </c>
      <c r="O108" s="18">
        <f>IF(OR($B108="",Comparateur!E$17&lt;&gt;"OK",$B108&gt;Comparateur!E$11),"",ROUND(R107*Comparateur!E$10/12,2))</f>
        <v>404.16</v>
      </c>
      <c r="P108" s="18">
        <f>IF(O108="","",IF($B108=Comparateur!E$11,R107,Comparateur!E$20-O108))</f>
        <v>501.8</v>
      </c>
      <c r="Q108" s="18">
        <f>IF(O108="","",ROUND(IF(Comparateur!E$12=Paramètres!$B$36,Comparateur!E$9,R107)*Comparateur!E$13/12,2))</f>
        <v>30</v>
      </c>
      <c r="R108" s="31">
        <f t="shared" si="15"/>
        <v>136114.69</v>
      </c>
      <c r="S108" s="18">
        <f t="shared" si="16"/>
        <v>935.96</v>
      </c>
      <c r="T108" s="18">
        <f t="shared" si="17"/>
        <v>905.96</v>
      </c>
    </row>
    <row r="109" spans="2:20" x14ac:dyDescent="0.35">
      <c r="B109" s="29">
        <f>IF(B108="","",IF(B108+1&gt;Comparateur!$C$47,"",B108+1))</f>
        <v>102</v>
      </c>
      <c r="C109" s="18">
        <f>IF(OR($B109="",Comparateur!C$17&lt;&gt;"OK",$B109&gt;Comparateur!C$11),"",ROUND(F108*Comparateur!C$10/12,2))</f>
        <v>365.09</v>
      </c>
      <c r="D109" s="18">
        <f>IF(C109="","",IF($B109=Comparateur!C$11,F108,Comparateur!C$20-C109))</f>
        <v>512.07999999999993</v>
      </c>
      <c r="E109" s="18">
        <f>IF(C109="","",ROUND(IF(Comparateur!C$12=Paramètres!$B$36,Comparateur!C$9,F108)*Comparateur!C$13/12,2))</f>
        <v>63</v>
      </c>
      <c r="F109" s="31">
        <f t="shared" si="9"/>
        <v>134292.04</v>
      </c>
      <c r="G109" s="18">
        <f t="shared" si="10"/>
        <v>940.16999999999985</v>
      </c>
      <c r="H109" s="18">
        <f t="shared" si="11"/>
        <v>877.16999999999985</v>
      </c>
      <c r="I109" s="18">
        <f>IF(OR($B109="",Comparateur!D$17&lt;&gt;"OK",$B109&gt;Comparateur!D$11),"",ROUND(L108*Comparateur!D$10/12,2))</f>
        <v>383.81</v>
      </c>
      <c r="J109" s="18">
        <f>IF(I109="","",IF($B109=Comparateur!D$11,L108,Comparateur!D$20-I109))</f>
        <v>507.69</v>
      </c>
      <c r="K109" s="18">
        <f>IF(I109="","",ROUND(IF(Comparateur!D$12=Paramètres!$B$36,Comparateur!D$9,L108)*Comparateur!D$13/12,2))</f>
        <v>20.32</v>
      </c>
      <c r="L109" s="31">
        <f t="shared" si="12"/>
        <v>134954.32999999999</v>
      </c>
      <c r="M109" s="18">
        <f t="shared" si="13"/>
        <v>911.82</v>
      </c>
      <c r="N109" s="18">
        <f t="shared" si="14"/>
        <v>891.5</v>
      </c>
      <c r="O109" s="18">
        <f>IF(OR($B109="",Comparateur!E$17&lt;&gt;"OK",$B109&gt;Comparateur!E$11),"",ROUND(R108*Comparateur!E$10/12,2))</f>
        <v>402.67</v>
      </c>
      <c r="P109" s="18">
        <f>IF(O109="","",IF($B109=Comparateur!E$11,R108,Comparateur!E$20-O109))</f>
        <v>503.29</v>
      </c>
      <c r="Q109" s="18">
        <f>IF(O109="","",ROUND(IF(Comparateur!E$12=Paramètres!$B$36,Comparateur!E$9,R108)*Comparateur!E$13/12,2))</f>
        <v>30</v>
      </c>
      <c r="R109" s="31">
        <f t="shared" si="15"/>
        <v>135611.4</v>
      </c>
      <c r="S109" s="18">
        <f t="shared" si="16"/>
        <v>935.96</v>
      </c>
      <c r="T109" s="18">
        <f t="shared" si="17"/>
        <v>905.96</v>
      </c>
    </row>
    <row r="110" spans="2:20" x14ac:dyDescent="0.35">
      <c r="B110" s="29">
        <f>IF(B109="","",IF(B109+1&gt;Comparateur!$C$47,"",B109+1))</f>
        <v>103</v>
      </c>
      <c r="C110" s="18">
        <f>IF(OR($B110="",Comparateur!C$17&lt;&gt;"OK",$B110&gt;Comparateur!C$11),"",ROUND(F109*Comparateur!C$10/12,2))</f>
        <v>363.71</v>
      </c>
      <c r="D110" s="18">
        <f>IF(C110="","",IF($B110=Comparateur!C$11,F109,Comparateur!C$20-C110))</f>
        <v>513.46</v>
      </c>
      <c r="E110" s="18">
        <f>IF(C110="","",ROUND(IF(Comparateur!C$12=Paramètres!$B$36,Comparateur!C$9,F109)*Comparateur!C$13/12,2))</f>
        <v>63</v>
      </c>
      <c r="F110" s="31">
        <f t="shared" si="9"/>
        <v>133778.57999999999</v>
      </c>
      <c r="G110" s="18">
        <f t="shared" si="10"/>
        <v>940.17000000000007</v>
      </c>
      <c r="H110" s="18">
        <f t="shared" si="11"/>
        <v>877.17000000000007</v>
      </c>
      <c r="I110" s="18">
        <f>IF(OR($B110="",Comparateur!D$17&lt;&gt;"OK",$B110&gt;Comparateur!D$11),"",ROUND(L109*Comparateur!D$10/12,2))</f>
        <v>382.37</v>
      </c>
      <c r="J110" s="18">
        <f>IF(I110="","",IF($B110=Comparateur!D$11,L109,Comparateur!D$20-I110))</f>
        <v>509.13</v>
      </c>
      <c r="K110" s="18">
        <f>IF(I110="","",ROUND(IF(Comparateur!D$12=Paramètres!$B$36,Comparateur!D$9,L109)*Comparateur!D$13/12,2))</f>
        <v>20.239999999999998</v>
      </c>
      <c r="L110" s="31">
        <f t="shared" si="12"/>
        <v>134445.20000000001</v>
      </c>
      <c r="M110" s="18">
        <f t="shared" si="13"/>
        <v>911.74</v>
      </c>
      <c r="N110" s="18">
        <f t="shared" si="14"/>
        <v>891.5</v>
      </c>
      <c r="O110" s="18">
        <f>IF(OR($B110="",Comparateur!E$17&lt;&gt;"OK",$B110&gt;Comparateur!E$11),"",ROUND(R109*Comparateur!E$10/12,2))</f>
        <v>401.18</v>
      </c>
      <c r="P110" s="18">
        <f>IF(O110="","",IF($B110=Comparateur!E$11,R109,Comparateur!E$20-O110))</f>
        <v>504.78000000000003</v>
      </c>
      <c r="Q110" s="18">
        <f>IF(O110="","",ROUND(IF(Comparateur!E$12=Paramètres!$B$36,Comparateur!E$9,R109)*Comparateur!E$13/12,2))</f>
        <v>30</v>
      </c>
      <c r="R110" s="31">
        <f t="shared" si="15"/>
        <v>135106.62</v>
      </c>
      <c r="S110" s="18">
        <f t="shared" si="16"/>
        <v>935.96</v>
      </c>
      <c r="T110" s="18">
        <f t="shared" si="17"/>
        <v>905.96</v>
      </c>
    </row>
    <row r="111" spans="2:20" x14ac:dyDescent="0.35">
      <c r="B111" s="29">
        <f>IF(B110="","",IF(B110+1&gt;Comparateur!$C$47,"",B110+1))</f>
        <v>104</v>
      </c>
      <c r="C111" s="18">
        <f>IF(OR($B111="",Comparateur!C$17&lt;&gt;"OK",$B111&gt;Comparateur!C$11),"",ROUND(F110*Comparateur!C$10/12,2))</f>
        <v>362.32</v>
      </c>
      <c r="D111" s="18">
        <f>IF(C111="","",IF($B111=Comparateur!C$11,F110,Comparateur!C$20-C111))</f>
        <v>514.84999999999991</v>
      </c>
      <c r="E111" s="18">
        <f>IF(C111="","",ROUND(IF(Comparateur!C$12=Paramètres!$B$36,Comparateur!C$9,F110)*Comparateur!C$13/12,2))</f>
        <v>63</v>
      </c>
      <c r="F111" s="31">
        <f t="shared" si="9"/>
        <v>133263.73000000001</v>
      </c>
      <c r="G111" s="18">
        <f t="shared" si="10"/>
        <v>940.16999999999985</v>
      </c>
      <c r="H111" s="18">
        <f t="shared" si="11"/>
        <v>877.16999999999985</v>
      </c>
      <c r="I111" s="18">
        <f>IF(OR($B111="",Comparateur!D$17&lt;&gt;"OK",$B111&gt;Comparateur!D$11),"",ROUND(L110*Comparateur!D$10/12,2))</f>
        <v>380.93</v>
      </c>
      <c r="J111" s="18">
        <f>IF(I111="","",IF($B111=Comparateur!D$11,L110,Comparateur!D$20-I111))</f>
        <v>510.57</v>
      </c>
      <c r="K111" s="18">
        <f>IF(I111="","",ROUND(IF(Comparateur!D$12=Paramètres!$B$36,Comparateur!D$9,L110)*Comparateur!D$13/12,2))</f>
        <v>20.170000000000002</v>
      </c>
      <c r="L111" s="31">
        <f t="shared" si="12"/>
        <v>133934.63</v>
      </c>
      <c r="M111" s="18">
        <f t="shared" si="13"/>
        <v>911.67</v>
      </c>
      <c r="N111" s="18">
        <f t="shared" si="14"/>
        <v>891.5</v>
      </c>
      <c r="O111" s="18">
        <f>IF(OR($B111="",Comparateur!E$17&lt;&gt;"OK",$B111&gt;Comparateur!E$11),"",ROUND(R110*Comparateur!E$10/12,2))</f>
        <v>399.69</v>
      </c>
      <c r="P111" s="18">
        <f>IF(O111="","",IF($B111=Comparateur!E$11,R110,Comparateur!E$20-O111))</f>
        <v>506.27000000000004</v>
      </c>
      <c r="Q111" s="18">
        <f>IF(O111="","",ROUND(IF(Comparateur!E$12=Paramètres!$B$36,Comparateur!E$9,R110)*Comparateur!E$13/12,2))</f>
        <v>30</v>
      </c>
      <c r="R111" s="31">
        <f t="shared" si="15"/>
        <v>134600.35</v>
      </c>
      <c r="S111" s="18">
        <f t="shared" si="16"/>
        <v>935.96</v>
      </c>
      <c r="T111" s="18">
        <f t="shared" si="17"/>
        <v>905.96</v>
      </c>
    </row>
    <row r="112" spans="2:20" x14ac:dyDescent="0.35">
      <c r="B112" s="29">
        <f>IF(B111="","",IF(B111+1&gt;Comparateur!$C$47,"",B111+1))</f>
        <v>105</v>
      </c>
      <c r="C112" s="18">
        <f>IF(OR($B112="",Comparateur!C$17&lt;&gt;"OK",$B112&gt;Comparateur!C$11),"",ROUND(F111*Comparateur!C$10/12,2))</f>
        <v>360.92</v>
      </c>
      <c r="D112" s="18">
        <f>IF(C112="","",IF($B112=Comparateur!C$11,F111,Comparateur!C$20-C112))</f>
        <v>516.25</v>
      </c>
      <c r="E112" s="18">
        <f>IF(C112="","",ROUND(IF(Comparateur!C$12=Paramètres!$B$36,Comparateur!C$9,F111)*Comparateur!C$13/12,2))</f>
        <v>63</v>
      </c>
      <c r="F112" s="31">
        <f t="shared" si="9"/>
        <v>132747.48000000001</v>
      </c>
      <c r="G112" s="18">
        <f t="shared" si="10"/>
        <v>940.17000000000007</v>
      </c>
      <c r="H112" s="18">
        <f t="shared" si="11"/>
        <v>877.17000000000007</v>
      </c>
      <c r="I112" s="18">
        <f>IF(OR($B112="",Comparateur!D$17&lt;&gt;"OK",$B112&gt;Comparateur!D$11),"",ROUND(L111*Comparateur!D$10/12,2))</f>
        <v>379.48</v>
      </c>
      <c r="J112" s="18">
        <f>IF(I112="","",IF($B112=Comparateur!D$11,L111,Comparateur!D$20-I112))</f>
        <v>512.02</v>
      </c>
      <c r="K112" s="18">
        <f>IF(I112="","",ROUND(IF(Comparateur!D$12=Paramètres!$B$36,Comparateur!D$9,L111)*Comparateur!D$13/12,2))</f>
        <v>20.09</v>
      </c>
      <c r="L112" s="31">
        <f t="shared" si="12"/>
        <v>133422.60999999999</v>
      </c>
      <c r="M112" s="18">
        <f t="shared" si="13"/>
        <v>911.59</v>
      </c>
      <c r="N112" s="18">
        <f t="shared" si="14"/>
        <v>891.5</v>
      </c>
      <c r="O112" s="18">
        <f>IF(OR($B112="",Comparateur!E$17&lt;&gt;"OK",$B112&gt;Comparateur!E$11),"",ROUND(R111*Comparateur!E$10/12,2))</f>
        <v>398.19</v>
      </c>
      <c r="P112" s="18">
        <f>IF(O112="","",IF($B112=Comparateur!E$11,R111,Comparateur!E$20-O112))</f>
        <v>507.77000000000004</v>
      </c>
      <c r="Q112" s="18">
        <f>IF(O112="","",ROUND(IF(Comparateur!E$12=Paramètres!$B$36,Comparateur!E$9,R111)*Comparateur!E$13/12,2))</f>
        <v>30</v>
      </c>
      <c r="R112" s="31">
        <f t="shared" si="15"/>
        <v>134092.57999999999</v>
      </c>
      <c r="S112" s="18">
        <f t="shared" si="16"/>
        <v>935.96</v>
      </c>
      <c r="T112" s="18">
        <f t="shared" si="17"/>
        <v>905.96</v>
      </c>
    </row>
    <row r="113" spans="2:20" x14ac:dyDescent="0.35">
      <c r="B113" s="29">
        <f>IF(B112="","",IF(B112+1&gt;Comparateur!$C$47,"",B112+1))</f>
        <v>106</v>
      </c>
      <c r="C113" s="18">
        <f>IF(OR($B113="",Comparateur!C$17&lt;&gt;"OK",$B113&gt;Comparateur!C$11),"",ROUND(F112*Comparateur!C$10/12,2))</f>
        <v>359.52</v>
      </c>
      <c r="D113" s="18">
        <f>IF(C113="","",IF($B113=Comparateur!C$11,F112,Comparateur!C$20-C113))</f>
        <v>517.65</v>
      </c>
      <c r="E113" s="18">
        <f>IF(C113="","",ROUND(IF(Comparateur!C$12=Paramètres!$B$36,Comparateur!C$9,F112)*Comparateur!C$13/12,2))</f>
        <v>63</v>
      </c>
      <c r="F113" s="31">
        <f t="shared" si="9"/>
        <v>132229.82999999999</v>
      </c>
      <c r="G113" s="18">
        <f t="shared" si="10"/>
        <v>940.17</v>
      </c>
      <c r="H113" s="18">
        <f t="shared" si="11"/>
        <v>877.17</v>
      </c>
      <c r="I113" s="18">
        <f>IF(OR($B113="",Comparateur!D$17&lt;&gt;"OK",$B113&gt;Comparateur!D$11),"",ROUND(L112*Comparateur!D$10/12,2))</f>
        <v>378.03</v>
      </c>
      <c r="J113" s="18">
        <f>IF(I113="","",IF($B113=Comparateur!D$11,L112,Comparateur!D$20-I113))</f>
        <v>513.47</v>
      </c>
      <c r="K113" s="18">
        <f>IF(I113="","",ROUND(IF(Comparateur!D$12=Paramètres!$B$36,Comparateur!D$9,L112)*Comparateur!D$13/12,2))</f>
        <v>20.010000000000002</v>
      </c>
      <c r="L113" s="31">
        <f t="shared" si="12"/>
        <v>132909.14000000001</v>
      </c>
      <c r="M113" s="18">
        <f t="shared" si="13"/>
        <v>911.51</v>
      </c>
      <c r="N113" s="18">
        <f t="shared" si="14"/>
        <v>891.5</v>
      </c>
      <c r="O113" s="18">
        <f>IF(OR($B113="",Comparateur!E$17&lt;&gt;"OK",$B113&gt;Comparateur!E$11),"",ROUND(R112*Comparateur!E$10/12,2))</f>
        <v>396.69</v>
      </c>
      <c r="P113" s="18">
        <f>IF(O113="","",IF($B113=Comparateur!E$11,R112,Comparateur!E$20-O113))</f>
        <v>509.27000000000004</v>
      </c>
      <c r="Q113" s="18">
        <f>IF(O113="","",ROUND(IF(Comparateur!E$12=Paramètres!$B$36,Comparateur!E$9,R112)*Comparateur!E$13/12,2))</f>
        <v>30</v>
      </c>
      <c r="R113" s="31">
        <f t="shared" si="15"/>
        <v>133583.31</v>
      </c>
      <c r="S113" s="18">
        <f t="shared" si="16"/>
        <v>935.96</v>
      </c>
      <c r="T113" s="18">
        <f t="shared" si="17"/>
        <v>905.96</v>
      </c>
    </row>
    <row r="114" spans="2:20" x14ac:dyDescent="0.35">
      <c r="B114" s="29">
        <f>IF(B113="","",IF(B113+1&gt;Comparateur!$C$47,"",B113+1))</f>
        <v>107</v>
      </c>
      <c r="C114" s="18">
        <f>IF(OR($B114="",Comparateur!C$17&lt;&gt;"OK",$B114&gt;Comparateur!C$11),"",ROUND(F113*Comparateur!C$10/12,2))</f>
        <v>358.12</v>
      </c>
      <c r="D114" s="18">
        <f>IF(C114="","",IF($B114=Comparateur!C$11,F113,Comparateur!C$20-C114))</f>
        <v>519.04999999999995</v>
      </c>
      <c r="E114" s="18">
        <f>IF(C114="","",ROUND(IF(Comparateur!C$12=Paramètres!$B$36,Comparateur!C$9,F113)*Comparateur!C$13/12,2))</f>
        <v>63</v>
      </c>
      <c r="F114" s="31">
        <f t="shared" si="9"/>
        <v>131710.78</v>
      </c>
      <c r="G114" s="18">
        <f t="shared" si="10"/>
        <v>940.17</v>
      </c>
      <c r="H114" s="18">
        <f t="shared" si="11"/>
        <v>877.17</v>
      </c>
      <c r="I114" s="18">
        <f>IF(OR($B114="",Comparateur!D$17&lt;&gt;"OK",$B114&gt;Comparateur!D$11),"",ROUND(L113*Comparateur!D$10/12,2))</f>
        <v>376.58</v>
      </c>
      <c r="J114" s="18">
        <f>IF(I114="","",IF($B114=Comparateur!D$11,L113,Comparateur!D$20-I114))</f>
        <v>514.92000000000007</v>
      </c>
      <c r="K114" s="18">
        <f>IF(I114="","",ROUND(IF(Comparateur!D$12=Paramètres!$B$36,Comparateur!D$9,L113)*Comparateur!D$13/12,2))</f>
        <v>19.940000000000001</v>
      </c>
      <c r="L114" s="31">
        <f t="shared" si="12"/>
        <v>132394.22</v>
      </c>
      <c r="M114" s="18">
        <f t="shared" si="13"/>
        <v>911.44</v>
      </c>
      <c r="N114" s="18">
        <f t="shared" si="14"/>
        <v>891.5</v>
      </c>
      <c r="O114" s="18">
        <f>IF(OR($B114="",Comparateur!E$17&lt;&gt;"OK",$B114&gt;Comparateur!E$11),"",ROUND(R113*Comparateur!E$10/12,2))</f>
        <v>395.18</v>
      </c>
      <c r="P114" s="18">
        <f>IF(O114="","",IF($B114=Comparateur!E$11,R113,Comparateur!E$20-O114))</f>
        <v>510.78000000000003</v>
      </c>
      <c r="Q114" s="18">
        <f>IF(O114="","",ROUND(IF(Comparateur!E$12=Paramètres!$B$36,Comparateur!E$9,R113)*Comparateur!E$13/12,2))</f>
        <v>30</v>
      </c>
      <c r="R114" s="31">
        <f t="shared" si="15"/>
        <v>133072.53</v>
      </c>
      <c r="S114" s="18">
        <f t="shared" si="16"/>
        <v>935.96</v>
      </c>
      <c r="T114" s="18">
        <f t="shared" si="17"/>
        <v>905.96</v>
      </c>
    </row>
    <row r="115" spans="2:20" x14ac:dyDescent="0.35">
      <c r="B115" s="29">
        <f>IF(B114="","",IF(B114+1&gt;Comparateur!$C$47,"",B114+1))</f>
        <v>108</v>
      </c>
      <c r="C115" s="18">
        <f>IF(OR($B115="",Comparateur!C$17&lt;&gt;"OK",$B115&gt;Comparateur!C$11),"",ROUND(F114*Comparateur!C$10/12,2))</f>
        <v>356.72</v>
      </c>
      <c r="D115" s="18">
        <f>IF(C115="","",IF($B115=Comparateur!C$11,F114,Comparateur!C$20-C115))</f>
        <v>520.44999999999993</v>
      </c>
      <c r="E115" s="18">
        <f>IF(C115="","",ROUND(IF(Comparateur!C$12=Paramètres!$B$36,Comparateur!C$9,F114)*Comparateur!C$13/12,2))</f>
        <v>63</v>
      </c>
      <c r="F115" s="31">
        <f t="shared" si="9"/>
        <v>131190.32999999999</v>
      </c>
      <c r="G115" s="18">
        <f t="shared" si="10"/>
        <v>940.17</v>
      </c>
      <c r="H115" s="18">
        <f t="shared" si="11"/>
        <v>877.17</v>
      </c>
      <c r="I115" s="18">
        <f>IF(OR($B115="",Comparateur!D$17&lt;&gt;"OK",$B115&gt;Comparateur!D$11),"",ROUND(L114*Comparateur!D$10/12,2))</f>
        <v>375.12</v>
      </c>
      <c r="J115" s="18">
        <f>IF(I115="","",IF($B115=Comparateur!D$11,L114,Comparateur!D$20-I115))</f>
        <v>516.38</v>
      </c>
      <c r="K115" s="18">
        <f>IF(I115="","",ROUND(IF(Comparateur!D$12=Paramètres!$B$36,Comparateur!D$9,L114)*Comparateur!D$13/12,2))</f>
        <v>19.86</v>
      </c>
      <c r="L115" s="31">
        <f t="shared" si="12"/>
        <v>131877.84</v>
      </c>
      <c r="M115" s="18">
        <f t="shared" si="13"/>
        <v>911.36</v>
      </c>
      <c r="N115" s="18">
        <f t="shared" si="14"/>
        <v>891.5</v>
      </c>
      <c r="O115" s="18">
        <f>IF(OR($B115="",Comparateur!E$17&lt;&gt;"OK",$B115&gt;Comparateur!E$11),"",ROUND(R114*Comparateur!E$10/12,2))</f>
        <v>393.67</v>
      </c>
      <c r="P115" s="18">
        <f>IF(O115="","",IF($B115=Comparateur!E$11,R114,Comparateur!E$20-O115))</f>
        <v>512.29</v>
      </c>
      <c r="Q115" s="18">
        <f>IF(O115="","",ROUND(IF(Comparateur!E$12=Paramètres!$B$36,Comparateur!E$9,R114)*Comparateur!E$13/12,2))</f>
        <v>30</v>
      </c>
      <c r="R115" s="31">
        <f t="shared" si="15"/>
        <v>132560.24</v>
      </c>
      <c r="S115" s="18">
        <f t="shared" si="16"/>
        <v>935.96</v>
      </c>
      <c r="T115" s="18">
        <f t="shared" si="17"/>
        <v>905.96</v>
      </c>
    </row>
    <row r="116" spans="2:20" x14ac:dyDescent="0.35">
      <c r="B116" s="29">
        <f>IF(B115="","",IF(B115+1&gt;Comparateur!$C$47,"",B115+1))</f>
        <v>109</v>
      </c>
      <c r="C116" s="18">
        <f>IF(OR($B116="",Comparateur!C$17&lt;&gt;"OK",$B116&gt;Comparateur!C$11),"",ROUND(F115*Comparateur!C$10/12,2))</f>
        <v>355.31</v>
      </c>
      <c r="D116" s="18">
        <f>IF(C116="","",IF($B116=Comparateur!C$11,F115,Comparateur!C$20-C116))</f>
        <v>521.8599999999999</v>
      </c>
      <c r="E116" s="18">
        <f>IF(C116="","",ROUND(IF(Comparateur!C$12=Paramètres!$B$36,Comparateur!C$9,F115)*Comparateur!C$13/12,2))</f>
        <v>63</v>
      </c>
      <c r="F116" s="31">
        <f t="shared" si="9"/>
        <v>130668.47</v>
      </c>
      <c r="G116" s="18">
        <f t="shared" si="10"/>
        <v>940.16999999999985</v>
      </c>
      <c r="H116" s="18">
        <f t="shared" si="11"/>
        <v>877.16999999999985</v>
      </c>
      <c r="I116" s="18">
        <f>IF(OR($B116="",Comparateur!D$17&lt;&gt;"OK",$B116&gt;Comparateur!D$11),"",ROUND(L115*Comparateur!D$10/12,2))</f>
        <v>373.65</v>
      </c>
      <c r="J116" s="18">
        <f>IF(I116="","",IF($B116=Comparateur!D$11,L115,Comparateur!D$20-I116))</f>
        <v>517.85</v>
      </c>
      <c r="K116" s="18">
        <f>IF(I116="","",ROUND(IF(Comparateur!D$12=Paramètres!$B$36,Comparateur!D$9,L115)*Comparateur!D$13/12,2))</f>
        <v>19.78</v>
      </c>
      <c r="L116" s="31">
        <f t="shared" si="12"/>
        <v>131359.99</v>
      </c>
      <c r="M116" s="18">
        <f t="shared" si="13"/>
        <v>911.28</v>
      </c>
      <c r="N116" s="18">
        <f t="shared" si="14"/>
        <v>891.5</v>
      </c>
      <c r="O116" s="18">
        <f>IF(OR($B116="",Comparateur!E$17&lt;&gt;"OK",$B116&gt;Comparateur!E$11),"",ROUND(R115*Comparateur!E$10/12,2))</f>
        <v>392.16</v>
      </c>
      <c r="P116" s="18">
        <f>IF(O116="","",IF($B116=Comparateur!E$11,R115,Comparateur!E$20-O116))</f>
        <v>513.79999999999995</v>
      </c>
      <c r="Q116" s="18">
        <f>IF(O116="","",ROUND(IF(Comparateur!E$12=Paramètres!$B$36,Comparateur!E$9,R115)*Comparateur!E$13/12,2))</f>
        <v>30</v>
      </c>
      <c r="R116" s="31">
        <f t="shared" si="15"/>
        <v>132046.44</v>
      </c>
      <c r="S116" s="18">
        <f t="shared" si="16"/>
        <v>935.96</v>
      </c>
      <c r="T116" s="18">
        <f t="shared" si="17"/>
        <v>905.96</v>
      </c>
    </row>
    <row r="117" spans="2:20" x14ac:dyDescent="0.35">
      <c r="B117" s="29">
        <f>IF(B116="","",IF(B116+1&gt;Comparateur!$C$47,"",B116+1))</f>
        <v>110</v>
      </c>
      <c r="C117" s="18">
        <f>IF(OR($B117="",Comparateur!C$17&lt;&gt;"OK",$B117&gt;Comparateur!C$11),"",ROUND(F116*Comparateur!C$10/12,2))</f>
        <v>353.89</v>
      </c>
      <c r="D117" s="18">
        <f>IF(C117="","",IF($B117=Comparateur!C$11,F116,Comparateur!C$20-C117))</f>
        <v>523.28</v>
      </c>
      <c r="E117" s="18">
        <f>IF(C117="","",ROUND(IF(Comparateur!C$12=Paramètres!$B$36,Comparateur!C$9,F116)*Comparateur!C$13/12,2))</f>
        <v>63</v>
      </c>
      <c r="F117" s="31">
        <f t="shared" si="9"/>
        <v>130145.19</v>
      </c>
      <c r="G117" s="18">
        <f t="shared" si="10"/>
        <v>940.17</v>
      </c>
      <c r="H117" s="18">
        <f t="shared" si="11"/>
        <v>877.17</v>
      </c>
      <c r="I117" s="18">
        <f>IF(OR($B117="",Comparateur!D$17&lt;&gt;"OK",$B117&gt;Comparateur!D$11),"",ROUND(L116*Comparateur!D$10/12,2))</f>
        <v>372.19</v>
      </c>
      <c r="J117" s="18">
        <f>IF(I117="","",IF($B117=Comparateur!D$11,L116,Comparateur!D$20-I117))</f>
        <v>519.30999999999995</v>
      </c>
      <c r="K117" s="18">
        <f>IF(I117="","",ROUND(IF(Comparateur!D$12=Paramètres!$B$36,Comparateur!D$9,L116)*Comparateur!D$13/12,2))</f>
        <v>19.7</v>
      </c>
      <c r="L117" s="31">
        <f t="shared" si="12"/>
        <v>130840.68</v>
      </c>
      <c r="M117" s="18">
        <f t="shared" si="13"/>
        <v>911.2</v>
      </c>
      <c r="N117" s="18">
        <f t="shared" si="14"/>
        <v>891.5</v>
      </c>
      <c r="O117" s="18">
        <f>IF(OR($B117="",Comparateur!E$17&lt;&gt;"OK",$B117&gt;Comparateur!E$11),"",ROUND(R116*Comparateur!E$10/12,2))</f>
        <v>390.64</v>
      </c>
      <c r="P117" s="18">
        <f>IF(O117="","",IF($B117=Comparateur!E$11,R116,Comparateur!E$20-O117))</f>
        <v>515.32000000000005</v>
      </c>
      <c r="Q117" s="18">
        <f>IF(O117="","",ROUND(IF(Comparateur!E$12=Paramètres!$B$36,Comparateur!E$9,R116)*Comparateur!E$13/12,2))</f>
        <v>30</v>
      </c>
      <c r="R117" s="31">
        <f t="shared" si="15"/>
        <v>131531.12</v>
      </c>
      <c r="S117" s="18">
        <f t="shared" si="16"/>
        <v>935.96</v>
      </c>
      <c r="T117" s="18">
        <f t="shared" si="17"/>
        <v>905.96</v>
      </c>
    </row>
    <row r="118" spans="2:20" x14ac:dyDescent="0.35">
      <c r="B118" s="29">
        <f>IF(B117="","",IF(B117+1&gt;Comparateur!$C$47,"",B117+1))</f>
        <v>111</v>
      </c>
      <c r="C118" s="18">
        <f>IF(OR($B118="",Comparateur!C$17&lt;&gt;"OK",$B118&gt;Comparateur!C$11),"",ROUND(F117*Comparateur!C$10/12,2))</f>
        <v>352.48</v>
      </c>
      <c r="D118" s="18">
        <f>IF(C118="","",IF($B118=Comparateur!C$11,F117,Comparateur!C$20-C118))</f>
        <v>524.68999999999994</v>
      </c>
      <c r="E118" s="18">
        <f>IF(C118="","",ROUND(IF(Comparateur!C$12=Paramètres!$B$36,Comparateur!C$9,F117)*Comparateur!C$13/12,2))</f>
        <v>63</v>
      </c>
      <c r="F118" s="31">
        <f t="shared" si="9"/>
        <v>129620.5</v>
      </c>
      <c r="G118" s="18">
        <f t="shared" si="10"/>
        <v>940.17</v>
      </c>
      <c r="H118" s="18">
        <f t="shared" si="11"/>
        <v>877.17</v>
      </c>
      <c r="I118" s="18">
        <f>IF(OR($B118="",Comparateur!D$17&lt;&gt;"OK",$B118&gt;Comparateur!D$11),"",ROUND(L117*Comparateur!D$10/12,2))</f>
        <v>370.72</v>
      </c>
      <c r="J118" s="18">
        <f>IF(I118="","",IF($B118=Comparateur!D$11,L117,Comparateur!D$20-I118))</f>
        <v>520.78</v>
      </c>
      <c r="K118" s="18">
        <f>IF(I118="","",ROUND(IF(Comparateur!D$12=Paramètres!$B$36,Comparateur!D$9,L117)*Comparateur!D$13/12,2))</f>
        <v>19.63</v>
      </c>
      <c r="L118" s="31">
        <f t="shared" si="12"/>
        <v>130319.9</v>
      </c>
      <c r="M118" s="18">
        <f t="shared" si="13"/>
        <v>911.13</v>
      </c>
      <c r="N118" s="18">
        <f t="shared" si="14"/>
        <v>891.5</v>
      </c>
      <c r="O118" s="18">
        <f>IF(OR($B118="",Comparateur!E$17&lt;&gt;"OK",$B118&gt;Comparateur!E$11),"",ROUND(R117*Comparateur!E$10/12,2))</f>
        <v>389.11</v>
      </c>
      <c r="P118" s="18">
        <f>IF(O118="","",IF($B118=Comparateur!E$11,R117,Comparateur!E$20-O118))</f>
        <v>516.85</v>
      </c>
      <c r="Q118" s="18">
        <f>IF(O118="","",ROUND(IF(Comparateur!E$12=Paramètres!$B$36,Comparateur!E$9,R117)*Comparateur!E$13/12,2))</f>
        <v>30</v>
      </c>
      <c r="R118" s="31">
        <f t="shared" si="15"/>
        <v>131014.27</v>
      </c>
      <c r="S118" s="18">
        <f t="shared" si="16"/>
        <v>935.96</v>
      </c>
      <c r="T118" s="18">
        <f t="shared" si="17"/>
        <v>905.96</v>
      </c>
    </row>
    <row r="119" spans="2:20" x14ac:dyDescent="0.35">
      <c r="B119" s="29">
        <f>IF(B118="","",IF(B118+1&gt;Comparateur!$C$47,"",B118+1))</f>
        <v>112</v>
      </c>
      <c r="C119" s="18">
        <f>IF(OR($B119="",Comparateur!C$17&lt;&gt;"OK",$B119&gt;Comparateur!C$11),"",ROUND(F118*Comparateur!C$10/12,2))</f>
        <v>351.06</v>
      </c>
      <c r="D119" s="18">
        <f>IF(C119="","",IF($B119=Comparateur!C$11,F118,Comparateur!C$20-C119))</f>
        <v>526.1099999999999</v>
      </c>
      <c r="E119" s="18">
        <f>IF(C119="","",ROUND(IF(Comparateur!C$12=Paramètres!$B$36,Comparateur!C$9,F118)*Comparateur!C$13/12,2))</f>
        <v>63</v>
      </c>
      <c r="F119" s="31">
        <f t="shared" si="9"/>
        <v>129094.39</v>
      </c>
      <c r="G119" s="18">
        <f t="shared" si="10"/>
        <v>940.16999999999985</v>
      </c>
      <c r="H119" s="18">
        <f t="shared" si="11"/>
        <v>877.16999999999985</v>
      </c>
      <c r="I119" s="18">
        <f>IF(OR($B119="",Comparateur!D$17&lt;&gt;"OK",$B119&gt;Comparateur!D$11),"",ROUND(L118*Comparateur!D$10/12,2))</f>
        <v>369.24</v>
      </c>
      <c r="J119" s="18">
        <f>IF(I119="","",IF($B119=Comparateur!D$11,L118,Comparateur!D$20-I119))</f>
        <v>522.26</v>
      </c>
      <c r="K119" s="18">
        <f>IF(I119="","",ROUND(IF(Comparateur!D$12=Paramètres!$B$36,Comparateur!D$9,L118)*Comparateur!D$13/12,2))</f>
        <v>19.55</v>
      </c>
      <c r="L119" s="31">
        <f t="shared" si="12"/>
        <v>129797.64</v>
      </c>
      <c r="M119" s="18">
        <f t="shared" si="13"/>
        <v>911.05</v>
      </c>
      <c r="N119" s="18">
        <f t="shared" si="14"/>
        <v>891.5</v>
      </c>
      <c r="O119" s="18">
        <f>IF(OR($B119="",Comparateur!E$17&lt;&gt;"OK",$B119&gt;Comparateur!E$11),"",ROUND(R118*Comparateur!E$10/12,2))</f>
        <v>387.58</v>
      </c>
      <c r="P119" s="18">
        <f>IF(O119="","",IF($B119=Comparateur!E$11,R118,Comparateur!E$20-O119))</f>
        <v>518.38000000000011</v>
      </c>
      <c r="Q119" s="18">
        <f>IF(O119="","",ROUND(IF(Comparateur!E$12=Paramètres!$B$36,Comparateur!E$9,R118)*Comparateur!E$13/12,2))</f>
        <v>30</v>
      </c>
      <c r="R119" s="31">
        <f t="shared" si="15"/>
        <v>130495.89</v>
      </c>
      <c r="S119" s="18">
        <f t="shared" si="16"/>
        <v>935.96</v>
      </c>
      <c r="T119" s="18">
        <f t="shared" si="17"/>
        <v>905.96</v>
      </c>
    </row>
    <row r="120" spans="2:20" x14ac:dyDescent="0.35">
      <c r="B120" s="29">
        <f>IF(B119="","",IF(B119+1&gt;Comparateur!$C$47,"",B119+1))</f>
        <v>113</v>
      </c>
      <c r="C120" s="18">
        <f>IF(OR($B120="",Comparateur!C$17&lt;&gt;"OK",$B120&gt;Comparateur!C$11),"",ROUND(F119*Comparateur!C$10/12,2))</f>
        <v>349.63</v>
      </c>
      <c r="D120" s="18">
        <f>IF(C120="","",IF($B120=Comparateur!C$11,F119,Comparateur!C$20-C120))</f>
        <v>527.54</v>
      </c>
      <c r="E120" s="18">
        <f>IF(C120="","",ROUND(IF(Comparateur!C$12=Paramètres!$B$36,Comparateur!C$9,F119)*Comparateur!C$13/12,2))</f>
        <v>63</v>
      </c>
      <c r="F120" s="31">
        <f t="shared" si="9"/>
        <v>128566.85</v>
      </c>
      <c r="G120" s="18">
        <f t="shared" si="10"/>
        <v>940.17</v>
      </c>
      <c r="H120" s="18">
        <f t="shared" si="11"/>
        <v>877.17</v>
      </c>
      <c r="I120" s="18">
        <f>IF(OR($B120="",Comparateur!D$17&lt;&gt;"OK",$B120&gt;Comparateur!D$11),"",ROUND(L119*Comparateur!D$10/12,2))</f>
        <v>367.76</v>
      </c>
      <c r="J120" s="18">
        <f>IF(I120="","",IF($B120=Comparateur!D$11,L119,Comparateur!D$20-I120))</f>
        <v>523.74</v>
      </c>
      <c r="K120" s="18">
        <f>IF(I120="","",ROUND(IF(Comparateur!D$12=Paramètres!$B$36,Comparateur!D$9,L119)*Comparateur!D$13/12,2))</f>
        <v>19.47</v>
      </c>
      <c r="L120" s="31">
        <f t="shared" si="12"/>
        <v>129273.9</v>
      </c>
      <c r="M120" s="18">
        <f t="shared" si="13"/>
        <v>910.97</v>
      </c>
      <c r="N120" s="18">
        <f t="shared" si="14"/>
        <v>891.5</v>
      </c>
      <c r="O120" s="18">
        <f>IF(OR($B120="",Comparateur!E$17&lt;&gt;"OK",$B120&gt;Comparateur!E$11),"",ROUND(R119*Comparateur!E$10/12,2))</f>
        <v>386.05</v>
      </c>
      <c r="P120" s="18">
        <f>IF(O120="","",IF($B120=Comparateur!E$11,R119,Comparateur!E$20-O120))</f>
        <v>519.91000000000008</v>
      </c>
      <c r="Q120" s="18">
        <f>IF(O120="","",ROUND(IF(Comparateur!E$12=Paramètres!$B$36,Comparateur!E$9,R119)*Comparateur!E$13/12,2))</f>
        <v>30</v>
      </c>
      <c r="R120" s="31">
        <f t="shared" si="15"/>
        <v>129975.98</v>
      </c>
      <c r="S120" s="18">
        <f t="shared" si="16"/>
        <v>935.96</v>
      </c>
      <c r="T120" s="18">
        <f t="shared" si="17"/>
        <v>905.96</v>
      </c>
    </row>
    <row r="121" spans="2:20" x14ac:dyDescent="0.35">
      <c r="B121" s="29">
        <f>IF(B120="","",IF(B120+1&gt;Comparateur!$C$47,"",B120+1))</f>
        <v>114</v>
      </c>
      <c r="C121" s="18">
        <f>IF(OR($B121="",Comparateur!C$17&lt;&gt;"OK",$B121&gt;Comparateur!C$11),"",ROUND(F120*Comparateur!C$10/12,2))</f>
        <v>348.2</v>
      </c>
      <c r="D121" s="18">
        <f>IF(C121="","",IF($B121=Comparateur!C$11,F120,Comparateur!C$20-C121))</f>
        <v>528.97</v>
      </c>
      <c r="E121" s="18">
        <f>IF(C121="","",ROUND(IF(Comparateur!C$12=Paramètres!$B$36,Comparateur!C$9,F120)*Comparateur!C$13/12,2))</f>
        <v>63</v>
      </c>
      <c r="F121" s="31">
        <f t="shared" si="9"/>
        <v>128037.88</v>
      </c>
      <c r="G121" s="18">
        <f t="shared" si="10"/>
        <v>940.17000000000007</v>
      </c>
      <c r="H121" s="18">
        <f t="shared" si="11"/>
        <v>877.17000000000007</v>
      </c>
      <c r="I121" s="18">
        <f>IF(OR($B121="",Comparateur!D$17&lt;&gt;"OK",$B121&gt;Comparateur!D$11),"",ROUND(L120*Comparateur!D$10/12,2))</f>
        <v>366.28</v>
      </c>
      <c r="J121" s="18">
        <f>IF(I121="","",IF($B121=Comparateur!D$11,L120,Comparateur!D$20-I121))</f>
        <v>525.22</v>
      </c>
      <c r="K121" s="18">
        <f>IF(I121="","",ROUND(IF(Comparateur!D$12=Paramètres!$B$36,Comparateur!D$9,L120)*Comparateur!D$13/12,2))</f>
        <v>19.39</v>
      </c>
      <c r="L121" s="31">
        <f t="shared" si="12"/>
        <v>128748.68</v>
      </c>
      <c r="M121" s="18">
        <f t="shared" si="13"/>
        <v>910.89</v>
      </c>
      <c r="N121" s="18">
        <f t="shared" si="14"/>
        <v>891.5</v>
      </c>
      <c r="O121" s="18">
        <f>IF(OR($B121="",Comparateur!E$17&lt;&gt;"OK",$B121&gt;Comparateur!E$11),"",ROUND(R120*Comparateur!E$10/12,2))</f>
        <v>384.51</v>
      </c>
      <c r="P121" s="18">
        <f>IF(O121="","",IF($B121=Comparateur!E$11,R120,Comparateur!E$20-O121))</f>
        <v>521.45000000000005</v>
      </c>
      <c r="Q121" s="18">
        <f>IF(O121="","",ROUND(IF(Comparateur!E$12=Paramètres!$B$36,Comparateur!E$9,R120)*Comparateur!E$13/12,2))</f>
        <v>30</v>
      </c>
      <c r="R121" s="31">
        <f t="shared" si="15"/>
        <v>129454.53</v>
      </c>
      <c r="S121" s="18">
        <f t="shared" si="16"/>
        <v>935.96</v>
      </c>
      <c r="T121" s="18">
        <f t="shared" si="17"/>
        <v>905.96</v>
      </c>
    </row>
    <row r="122" spans="2:20" x14ac:dyDescent="0.35">
      <c r="B122" s="29">
        <f>IF(B121="","",IF(B121+1&gt;Comparateur!$C$47,"",B121+1))</f>
        <v>115</v>
      </c>
      <c r="C122" s="18">
        <f>IF(OR($B122="",Comparateur!C$17&lt;&gt;"OK",$B122&gt;Comparateur!C$11),"",ROUND(F121*Comparateur!C$10/12,2))</f>
        <v>346.77</v>
      </c>
      <c r="D122" s="18">
        <f>IF(C122="","",IF($B122=Comparateur!C$11,F121,Comparateur!C$20-C122))</f>
        <v>530.4</v>
      </c>
      <c r="E122" s="18">
        <f>IF(C122="","",ROUND(IF(Comparateur!C$12=Paramètres!$B$36,Comparateur!C$9,F121)*Comparateur!C$13/12,2))</f>
        <v>63</v>
      </c>
      <c r="F122" s="31">
        <f t="shared" si="9"/>
        <v>127507.48</v>
      </c>
      <c r="G122" s="18">
        <f t="shared" si="10"/>
        <v>940.17</v>
      </c>
      <c r="H122" s="18">
        <f t="shared" si="11"/>
        <v>877.17</v>
      </c>
      <c r="I122" s="18">
        <f>IF(OR($B122="",Comparateur!D$17&lt;&gt;"OK",$B122&gt;Comparateur!D$11),"",ROUND(L121*Comparateur!D$10/12,2))</f>
        <v>364.79</v>
      </c>
      <c r="J122" s="18">
        <f>IF(I122="","",IF($B122=Comparateur!D$11,L121,Comparateur!D$20-I122))</f>
        <v>526.71</v>
      </c>
      <c r="K122" s="18">
        <f>IF(I122="","",ROUND(IF(Comparateur!D$12=Paramètres!$B$36,Comparateur!D$9,L121)*Comparateur!D$13/12,2))</f>
        <v>19.309999999999999</v>
      </c>
      <c r="L122" s="31">
        <f t="shared" si="12"/>
        <v>128221.97</v>
      </c>
      <c r="M122" s="18">
        <f t="shared" si="13"/>
        <v>910.81</v>
      </c>
      <c r="N122" s="18">
        <f t="shared" si="14"/>
        <v>891.5</v>
      </c>
      <c r="O122" s="18">
        <f>IF(OR($B122="",Comparateur!E$17&lt;&gt;"OK",$B122&gt;Comparateur!E$11),"",ROUND(R121*Comparateur!E$10/12,2))</f>
        <v>382.97</v>
      </c>
      <c r="P122" s="18">
        <f>IF(O122="","",IF($B122=Comparateur!E$11,R121,Comparateur!E$20-O122))</f>
        <v>522.99</v>
      </c>
      <c r="Q122" s="18">
        <f>IF(O122="","",ROUND(IF(Comparateur!E$12=Paramètres!$B$36,Comparateur!E$9,R121)*Comparateur!E$13/12,2))</f>
        <v>30</v>
      </c>
      <c r="R122" s="31">
        <f t="shared" si="15"/>
        <v>128931.54</v>
      </c>
      <c r="S122" s="18">
        <f t="shared" si="16"/>
        <v>935.96</v>
      </c>
      <c r="T122" s="18">
        <f t="shared" si="17"/>
        <v>905.96</v>
      </c>
    </row>
    <row r="123" spans="2:20" x14ac:dyDescent="0.35">
      <c r="B123" s="29">
        <f>IF(B122="","",IF(B122+1&gt;Comparateur!$C$47,"",B122+1))</f>
        <v>116</v>
      </c>
      <c r="C123" s="18">
        <f>IF(OR($B123="",Comparateur!C$17&lt;&gt;"OK",$B123&gt;Comparateur!C$11),"",ROUND(F122*Comparateur!C$10/12,2))</f>
        <v>345.33</v>
      </c>
      <c r="D123" s="18">
        <f>IF(C123="","",IF($B123=Comparateur!C$11,F122,Comparateur!C$20-C123))</f>
        <v>531.83999999999992</v>
      </c>
      <c r="E123" s="18">
        <f>IF(C123="","",ROUND(IF(Comparateur!C$12=Paramètres!$B$36,Comparateur!C$9,F122)*Comparateur!C$13/12,2))</f>
        <v>63</v>
      </c>
      <c r="F123" s="31">
        <f t="shared" si="9"/>
        <v>126975.64</v>
      </c>
      <c r="G123" s="18">
        <f t="shared" si="10"/>
        <v>940.16999999999985</v>
      </c>
      <c r="H123" s="18">
        <f t="shared" si="11"/>
        <v>877.16999999999985</v>
      </c>
      <c r="I123" s="18">
        <f>IF(OR($B123="",Comparateur!D$17&lt;&gt;"OK",$B123&gt;Comparateur!D$11),"",ROUND(L122*Comparateur!D$10/12,2))</f>
        <v>363.3</v>
      </c>
      <c r="J123" s="18">
        <f>IF(I123="","",IF($B123=Comparateur!D$11,L122,Comparateur!D$20-I123))</f>
        <v>528.20000000000005</v>
      </c>
      <c r="K123" s="18">
        <f>IF(I123="","",ROUND(IF(Comparateur!D$12=Paramètres!$B$36,Comparateur!D$9,L122)*Comparateur!D$13/12,2))</f>
        <v>19.23</v>
      </c>
      <c r="L123" s="31">
        <f t="shared" si="12"/>
        <v>127693.77</v>
      </c>
      <c r="M123" s="18">
        <f t="shared" si="13"/>
        <v>910.73</v>
      </c>
      <c r="N123" s="18">
        <f t="shared" si="14"/>
        <v>891.5</v>
      </c>
      <c r="O123" s="18">
        <f>IF(OR($B123="",Comparateur!E$17&lt;&gt;"OK",$B123&gt;Comparateur!E$11),"",ROUND(R122*Comparateur!E$10/12,2))</f>
        <v>381.42</v>
      </c>
      <c r="P123" s="18">
        <f>IF(O123="","",IF($B123=Comparateur!E$11,R122,Comparateur!E$20-O123))</f>
        <v>524.54</v>
      </c>
      <c r="Q123" s="18">
        <f>IF(O123="","",ROUND(IF(Comparateur!E$12=Paramètres!$B$36,Comparateur!E$9,R122)*Comparateur!E$13/12,2))</f>
        <v>30</v>
      </c>
      <c r="R123" s="31">
        <f t="shared" si="15"/>
        <v>128407</v>
      </c>
      <c r="S123" s="18">
        <f t="shared" si="16"/>
        <v>935.96</v>
      </c>
      <c r="T123" s="18">
        <f t="shared" si="17"/>
        <v>905.96</v>
      </c>
    </row>
    <row r="124" spans="2:20" x14ac:dyDescent="0.35">
      <c r="B124" s="29">
        <f>IF(B123="","",IF(B123+1&gt;Comparateur!$C$47,"",B123+1))</f>
        <v>117</v>
      </c>
      <c r="C124" s="18">
        <f>IF(OR($B124="",Comparateur!C$17&lt;&gt;"OK",$B124&gt;Comparateur!C$11),"",ROUND(F123*Comparateur!C$10/12,2))</f>
        <v>343.89</v>
      </c>
      <c r="D124" s="18">
        <f>IF(C124="","",IF($B124=Comparateur!C$11,F123,Comparateur!C$20-C124))</f>
        <v>533.28</v>
      </c>
      <c r="E124" s="18">
        <f>IF(C124="","",ROUND(IF(Comparateur!C$12=Paramètres!$B$36,Comparateur!C$9,F123)*Comparateur!C$13/12,2))</f>
        <v>63</v>
      </c>
      <c r="F124" s="31">
        <f t="shared" si="9"/>
        <v>126442.36</v>
      </c>
      <c r="G124" s="18">
        <f t="shared" si="10"/>
        <v>940.17</v>
      </c>
      <c r="H124" s="18">
        <f t="shared" si="11"/>
        <v>877.17</v>
      </c>
      <c r="I124" s="18">
        <f>IF(OR($B124="",Comparateur!D$17&lt;&gt;"OK",$B124&gt;Comparateur!D$11),"",ROUND(L123*Comparateur!D$10/12,2))</f>
        <v>361.8</v>
      </c>
      <c r="J124" s="18">
        <f>IF(I124="","",IF($B124=Comparateur!D$11,L123,Comparateur!D$20-I124))</f>
        <v>529.70000000000005</v>
      </c>
      <c r="K124" s="18">
        <f>IF(I124="","",ROUND(IF(Comparateur!D$12=Paramètres!$B$36,Comparateur!D$9,L123)*Comparateur!D$13/12,2))</f>
        <v>19.149999999999999</v>
      </c>
      <c r="L124" s="31">
        <f t="shared" si="12"/>
        <v>127164.07</v>
      </c>
      <c r="M124" s="18">
        <f t="shared" si="13"/>
        <v>910.65</v>
      </c>
      <c r="N124" s="18">
        <f t="shared" si="14"/>
        <v>891.5</v>
      </c>
      <c r="O124" s="18">
        <f>IF(OR($B124="",Comparateur!E$17&lt;&gt;"OK",$B124&gt;Comparateur!E$11),"",ROUND(R123*Comparateur!E$10/12,2))</f>
        <v>379.87</v>
      </c>
      <c r="P124" s="18">
        <f>IF(O124="","",IF($B124=Comparateur!E$11,R123,Comparateur!E$20-O124))</f>
        <v>526.09</v>
      </c>
      <c r="Q124" s="18">
        <f>IF(O124="","",ROUND(IF(Comparateur!E$12=Paramètres!$B$36,Comparateur!E$9,R123)*Comparateur!E$13/12,2))</f>
        <v>30</v>
      </c>
      <c r="R124" s="31">
        <f t="shared" si="15"/>
        <v>127880.91</v>
      </c>
      <c r="S124" s="18">
        <f t="shared" si="16"/>
        <v>935.96</v>
      </c>
      <c r="T124" s="18">
        <f t="shared" si="17"/>
        <v>905.96</v>
      </c>
    </row>
    <row r="125" spans="2:20" x14ac:dyDescent="0.35">
      <c r="B125" s="29">
        <f>IF(B124="","",IF(B124+1&gt;Comparateur!$C$47,"",B124+1))</f>
        <v>118</v>
      </c>
      <c r="C125" s="18">
        <f>IF(OR($B125="",Comparateur!C$17&lt;&gt;"OK",$B125&gt;Comparateur!C$11),"",ROUND(F124*Comparateur!C$10/12,2))</f>
        <v>342.45</v>
      </c>
      <c r="D125" s="18">
        <f>IF(C125="","",IF($B125=Comparateur!C$11,F124,Comparateur!C$20-C125))</f>
        <v>534.72</v>
      </c>
      <c r="E125" s="18">
        <f>IF(C125="","",ROUND(IF(Comparateur!C$12=Paramètres!$B$36,Comparateur!C$9,F124)*Comparateur!C$13/12,2))</f>
        <v>63</v>
      </c>
      <c r="F125" s="31">
        <f t="shared" si="9"/>
        <v>125907.64</v>
      </c>
      <c r="G125" s="18">
        <f t="shared" si="10"/>
        <v>940.17000000000007</v>
      </c>
      <c r="H125" s="18">
        <f t="shared" si="11"/>
        <v>877.17000000000007</v>
      </c>
      <c r="I125" s="18">
        <f>IF(OR($B125="",Comparateur!D$17&lt;&gt;"OK",$B125&gt;Comparateur!D$11),"",ROUND(L124*Comparateur!D$10/12,2))</f>
        <v>360.3</v>
      </c>
      <c r="J125" s="18">
        <f>IF(I125="","",IF($B125=Comparateur!D$11,L124,Comparateur!D$20-I125))</f>
        <v>531.20000000000005</v>
      </c>
      <c r="K125" s="18">
        <f>IF(I125="","",ROUND(IF(Comparateur!D$12=Paramètres!$B$36,Comparateur!D$9,L124)*Comparateur!D$13/12,2))</f>
        <v>19.07</v>
      </c>
      <c r="L125" s="31">
        <f t="shared" si="12"/>
        <v>126632.87</v>
      </c>
      <c r="M125" s="18">
        <f t="shared" si="13"/>
        <v>910.57</v>
      </c>
      <c r="N125" s="18">
        <f t="shared" si="14"/>
        <v>891.5</v>
      </c>
      <c r="O125" s="18">
        <f>IF(OR($B125="",Comparateur!E$17&lt;&gt;"OK",$B125&gt;Comparateur!E$11),"",ROUND(R124*Comparateur!E$10/12,2))</f>
        <v>378.31</v>
      </c>
      <c r="P125" s="18">
        <f>IF(O125="","",IF($B125=Comparateur!E$11,R124,Comparateur!E$20-O125))</f>
        <v>527.65000000000009</v>
      </c>
      <c r="Q125" s="18">
        <f>IF(O125="","",ROUND(IF(Comparateur!E$12=Paramètres!$B$36,Comparateur!E$9,R124)*Comparateur!E$13/12,2))</f>
        <v>30</v>
      </c>
      <c r="R125" s="31">
        <f t="shared" si="15"/>
        <v>127353.26</v>
      </c>
      <c r="S125" s="18">
        <f t="shared" si="16"/>
        <v>935.96</v>
      </c>
      <c r="T125" s="18">
        <f t="shared" si="17"/>
        <v>905.96</v>
      </c>
    </row>
    <row r="126" spans="2:20" x14ac:dyDescent="0.35">
      <c r="B126" s="29">
        <f>IF(B125="","",IF(B125+1&gt;Comparateur!$C$47,"",B125+1))</f>
        <v>119</v>
      </c>
      <c r="C126" s="18">
        <f>IF(OR($B126="",Comparateur!C$17&lt;&gt;"OK",$B126&gt;Comparateur!C$11),"",ROUND(F125*Comparateur!C$10/12,2))</f>
        <v>341</v>
      </c>
      <c r="D126" s="18">
        <f>IF(C126="","",IF($B126=Comparateur!C$11,F125,Comparateur!C$20-C126))</f>
        <v>536.16999999999996</v>
      </c>
      <c r="E126" s="18">
        <f>IF(C126="","",ROUND(IF(Comparateur!C$12=Paramètres!$B$36,Comparateur!C$9,F125)*Comparateur!C$13/12,2))</f>
        <v>63</v>
      </c>
      <c r="F126" s="31">
        <f t="shared" si="9"/>
        <v>125371.47</v>
      </c>
      <c r="G126" s="18">
        <f t="shared" si="10"/>
        <v>940.17</v>
      </c>
      <c r="H126" s="18">
        <f t="shared" si="11"/>
        <v>877.17</v>
      </c>
      <c r="I126" s="18">
        <f>IF(OR($B126="",Comparateur!D$17&lt;&gt;"OK",$B126&gt;Comparateur!D$11),"",ROUND(L125*Comparateur!D$10/12,2))</f>
        <v>358.79</v>
      </c>
      <c r="J126" s="18">
        <f>IF(I126="","",IF($B126=Comparateur!D$11,L125,Comparateur!D$20-I126))</f>
        <v>532.71</v>
      </c>
      <c r="K126" s="18">
        <f>IF(I126="","",ROUND(IF(Comparateur!D$12=Paramètres!$B$36,Comparateur!D$9,L125)*Comparateur!D$13/12,2))</f>
        <v>18.989999999999998</v>
      </c>
      <c r="L126" s="31">
        <f t="shared" si="12"/>
        <v>126100.16</v>
      </c>
      <c r="M126" s="18">
        <f t="shared" si="13"/>
        <v>910.49</v>
      </c>
      <c r="N126" s="18">
        <f t="shared" si="14"/>
        <v>891.5</v>
      </c>
      <c r="O126" s="18">
        <f>IF(OR($B126="",Comparateur!E$17&lt;&gt;"OK",$B126&gt;Comparateur!E$11),"",ROUND(R125*Comparateur!E$10/12,2))</f>
        <v>376.75</v>
      </c>
      <c r="P126" s="18">
        <f>IF(O126="","",IF($B126=Comparateur!E$11,R125,Comparateur!E$20-O126))</f>
        <v>529.21</v>
      </c>
      <c r="Q126" s="18">
        <f>IF(O126="","",ROUND(IF(Comparateur!E$12=Paramètres!$B$36,Comparateur!E$9,R125)*Comparateur!E$13/12,2))</f>
        <v>30</v>
      </c>
      <c r="R126" s="31">
        <f t="shared" si="15"/>
        <v>126824.05</v>
      </c>
      <c r="S126" s="18">
        <f t="shared" si="16"/>
        <v>935.96</v>
      </c>
      <c r="T126" s="18">
        <f t="shared" si="17"/>
        <v>905.96</v>
      </c>
    </row>
    <row r="127" spans="2:20" x14ac:dyDescent="0.35">
      <c r="B127" s="29">
        <f>IF(B126="","",IF(B126+1&gt;Comparateur!$C$47,"",B126+1))</f>
        <v>120</v>
      </c>
      <c r="C127" s="18">
        <f>IF(OR($B127="",Comparateur!C$17&lt;&gt;"OK",$B127&gt;Comparateur!C$11),"",ROUND(F126*Comparateur!C$10/12,2))</f>
        <v>339.55</v>
      </c>
      <c r="D127" s="18">
        <f>IF(C127="","",IF($B127=Comparateur!C$11,F126,Comparateur!C$20-C127))</f>
        <v>537.61999999999989</v>
      </c>
      <c r="E127" s="18">
        <f>IF(C127="","",ROUND(IF(Comparateur!C$12=Paramètres!$B$36,Comparateur!C$9,F126)*Comparateur!C$13/12,2))</f>
        <v>63</v>
      </c>
      <c r="F127" s="31">
        <f t="shared" si="9"/>
        <v>124833.85</v>
      </c>
      <c r="G127" s="18">
        <f t="shared" si="10"/>
        <v>940.16999999999985</v>
      </c>
      <c r="H127" s="18">
        <f t="shared" si="11"/>
        <v>877.16999999999985</v>
      </c>
      <c r="I127" s="18">
        <f>IF(OR($B127="",Comparateur!D$17&lt;&gt;"OK",$B127&gt;Comparateur!D$11),"",ROUND(L126*Comparateur!D$10/12,2))</f>
        <v>357.28</v>
      </c>
      <c r="J127" s="18">
        <f>IF(I127="","",IF($B127=Comparateur!D$11,L126,Comparateur!D$20-I127))</f>
        <v>534.22</v>
      </c>
      <c r="K127" s="18">
        <f>IF(I127="","",ROUND(IF(Comparateur!D$12=Paramètres!$B$36,Comparateur!D$9,L126)*Comparateur!D$13/12,2))</f>
        <v>18.920000000000002</v>
      </c>
      <c r="L127" s="31">
        <f t="shared" si="12"/>
        <v>125565.94</v>
      </c>
      <c r="M127" s="18">
        <f t="shared" si="13"/>
        <v>910.42</v>
      </c>
      <c r="N127" s="18">
        <f t="shared" si="14"/>
        <v>891.5</v>
      </c>
      <c r="O127" s="18">
        <f>IF(OR($B127="",Comparateur!E$17&lt;&gt;"OK",$B127&gt;Comparateur!E$11),"",ROUND(R126*Comparateur!E$10/12,2))</f>
        <v>375.19</v>
      </c>
      <c r="P127" s="18">
        <f>IF(O127="","",IF($B127=Comparateur!E$11,R126,Comparateur!E$20-O127))</f>
        <v>530.77</v>
      </c>
      <c r="Q127" s="18">
        <f>IF(O127="","",ROUND(IF(Comparateur!E$12=Paramètres!$B$36,Comparateur!E$9,R126)*Comparateur!E$13/12,2))</f>
        <v>30</v>
      </c>
      <c r="R127" s="31">
        <f t="shared" si="15"/>
        <v>126293.28</v>
      </c>
      <c r="S127" s="18">
        <f t="shared" si="16"/>
        <v>935.96</v>
      </c>
      <c r="T127" s="18">
        <f t="shared" si="17"/>
        <v>905.96</v>
      </c>
    </row>
    <row r="128" spans="2:20" x14ac:dyDescent="0.35">
      <c r="B128" s="29">
        <f>IF(B127="","",IF(B127+1&gt;Comparateur!$C$47,"",B127+1))</f>
        <v>121</v>
      </c>
      <c r="C128" s="18">
        <f>IF(OR($B128="",Comparateur!C$17&lt;&gt;"OK",$B128&gt;Comparateur!C$11),"",ROUND(F127*Comparateur!C$10/12,2))</f>
        <v>338.09</v>
      </c>
      <c r="D128" s="18">
        <f>IF(C128="","",IF($B128=Comparateur!C$11,F127,Comparateur!C$20-C128))</f>
        <v>539.07999999999993</v>
      </c>
      <c r="E128" s="18">
        <f>IF(C128="","",ROUND(IF(Comparateur!C$12=Paramètres!$B$36,Comparateur!C$9,F127)*Comparateur!C$13/12,2))</f>
        <v>63</v>
      </c>
      <c r="F128" s="31">
        <f t="shared" si="9"/>
        <v>124294.77</v>
      </c>
      <c r="G128" s="18">
        <f t="shared" si="10"/>
        <v>940.16999999999985</v>
      </c>
      <c r="H128" s="18">
        <f t="shared" si="11"/>
        <v>877.16999999999985</v>
      </c>
      <c r="I128" s="18">
        <f>IF(OR($B128="",Comparateur!D$17&lt;&gt;"OK",$B128&gt;Comparateur!D$11),"",ROUND(L127*Comparateur!D$10/12,2))</f>
        <v>355.77</v>
      </c>
      <c r="J128" s="18">
        <f>IF(I128="","",IF($B128=Comparateur!D$11,L127,Comparateur!D$20-I128))</f>
        <v>535.73</v>
      </c>
      <c r="K128" s="18">
        <f>IF(I128="","",ROUND(IF(Comparateur!D$12=Paramètres!$B$36,Comparateur!D$9,L127)*Comparateur!D$13/12,2))</f>
        <v>18.829999999999998</v>
      </c>
      <c r="L128" s="31">
        <f t="shared" si="12"/>
        <v>125030.21</v>
      </c>
      <c r="M128" s="18">
        <f t="shared" si="13"/>
        <v>910.33</v>
      </c>
      <c r="N128" s="18">
        <f t="shared" si="14"/>
        <v>891.5</v>
      </c>
      <c r="O128" s="18">
        <f>IF(OR($B128="",Comparateur!E$17&lt;&gt;"OK",$B128&gt;Comparateur!E$11),"",ROUND(R127*Comparateur!E$10/12,2))</f>
        <v>373.62</v>
      </c>
      <c r="P128" s="18">
        <f>IF(O128="","",IF($B128=Comparateur!E$11,R127,Comparateur!E$20-O128))</f>
        <v>532.34</v>
      </c>
      <c r="Q128" s="18">
        <f>IF(O128="","",ROUND(IF(Comparateur!E$12=Paramètres!$B$36,Comparateur!E$9,R127)*Comparateur!E$13/12,2))</f>
        <v>30</v>
      </c>
      <c r="R128" s="31">
        <f t="shared" si="15"/>
        <v>125760.94</v>
      </c>
      <c r="S128" s="18">
        <f t="shared" si="16"/>
        <v>935.96</v>
      </c>
      <c r="T128" s="18">
        <f t="shared" si="17"/>
        <v>905.96</v>
      </c>
    </row>
    <row r="129" spans="2:20" x14ac:dyDescent="0.35">
      <c r="B129" s="29">
        <f>IF(B128="","",IF(B128+1&gt;Comparateur!$C$47,"",B128+1))</f>
        <v>122</v>
      </c>
      <c r="C129" s="18">
        <f>IF(OR($B129="",Comparateur!C$17&lt;&gt;"OK",$B129&gt;Comparateur!C$11),"",ROUND(F128*Comparateur!C$10/12,2))</f>
        <v>336.63</v>
      </c>
      <c r="D129" s="18">
        <f>IF(C129="","",IF($B129=Comparateur!C$11,F128,Comparateur!C$20-C129))</f>
        <v>540.54</v>
      </c>
      <c r="E129" s="18">
        <f>IF(C129="","",ROUND(IF(Comparateur!C$12=Paramètres!$B$36,Comparateur!C$9,F128)*Comparateur!C$13/12,2))</f>
        <v>63</v>
      </c>
      <c r="F129" s="31">
        <f t="shared" si="9"/>
        <v>123754.23</v>
      </c>
      <c r="G129" s="18">
        <f t="shared" si="10"/>
        <v>940.17</v>
      </c>
      <c r="H129" s="18">
        <f t="shared" si="11"/>
        <v>877.17</v>
      </c>
      <c r="I129" s="18">
        <f>IF(OR($B129="",Comparateur!D$17&lt;&gt;"OK",$B129&gt;Comparateur!D$11),"",ROUND(L128*Comparateur!D$10/12,2))</f>
        <v>354.25</v>
      </c>
      <c r="J129" s="18">
        <f>IF(I129="","",IF($B129=Comparateur!D$11,L128,Comparateur!D$20-I129))</f>
        <v>537.25</v>
      </c>
      <c r="K129" s="18">
        <f>IF(I129="","",ROUND(IF(Comparateur!D$12=Paramètres!$B$36,Comparateur!D$9,L128)*Comparateur!D$13/12,2))</f>
        <v>18.75</v>
      </c>
      <c r="L129" s="31">
        <f t="shared" si="12"/>
        <v>124492.96</v>
      </c>
      <c r="M129" s="18">
        <f t="shared" si="13"/>
        <v>910.25</v>
      </c>
      <c r="N129" s="18">
        <f t="shared" si="14"/>
        <v>891.5</v>
      </c>
      <c r="O129" s="18">
        <f>IF(OR($B129="",Comparateur!E$17&lt;&gt;"OK",$B129&gt;Comparateur!E$11),"",ROUND(R128*Comparateur!E$10/12,2))</f>
        <v>372.04</v>
      </c>
      <c r="P129" s="18">
        <f>IF(O129="","",IF($B129=Comparateur!E$11,R128,Comparateur!E$20-O129))</f>
        <v>533.92000000000007</v>
      </c>
      <c r="Q129" s="18">
        <f>IF(O129="","",ROUND(IF(Comparateur!E$12=Paramètres!$B$36,Comparateur!E$9,R128)*Comparateur!E$13/12,2))</f>
        <v>30</v>
      </c>
      <c r="R129" s="31">
        <f t="shared" si="15"/>
        <v>125227.02</v>
      </c>
      <c r="S129" s="18">
        <f t="shared" si="16"/>
        <v>935.96</v>
      </c>
      <c r="T129" s="18">
        <f t="shared" si="17"/>
        <v>905.96</v>
      </c>
    </row>
    <row r="130" spans="2:20" x14ac:dyDescent="0.35">
      <c r="B130" s="29">
        <f>IF(B129="","",IF(B129+1&gt;Comparateur!$C$47,"",B129+1))</f>
        <v>123</v>
      </c>
      <c r="C130" s="18">
        <f>IF(OR($B130="",Comparateur!C$17&lt;&gt;"OK",$B130&gt;Comparateur!C$11),"",ROUND(F129*Comparateur!C$10/12,2))</f>
        <v>335.17</v>
      </c>
      <c r="D130" s="18">
        <f>IF(C130="","",IF($B130=Comparateur!C$11,F129,Comparateur!C$20-C130))</f>
        <v>542</v>
      </c>
      <c r="E130" s="18">
        <f>IF(C130="","",ROUND(IF(Comparateur!C$12=Paramètres!$B$36,Comparateur!C$9,F129)*Comparateur!C$13/12,2))</f>
        <v>63</v>
      </c>
      <c r="F130" s="31">
        <f t="shared" si="9"/>
        <v>123212.23</v>
      </c>
      <c r="G130" s="18">
        <f t="shared" si="10"/>
        <v>940.17000000000007</v>
      </c>
      <c r="H130" s="18">
        <f t="shared" si="11"/>
        <v>877.17000000000007</v>
      </c>
      <c r="I130" s="18">
        <f>IF(OR($B130="",Comparateur!D$17&lt;&gt;"OK",$B130&gt;Comparateur!D$11),"",ROUND(L129*Comparateur!D$10/12,2))</f>
        <v>352.73</v>
      </c>
      <c r="J130" s="18">
        <f>IF(I130="","",IF($B130=Comparateur!D$11,L129,Comparateur!D$20-I130))</f>
        <v>538.77</v>
      </c>
      <c r="K130" s="18">
        <f>IF(I130="","",ROUND(IF(Comparateur!D$12=Paramètres!$B$36,Comparateur!D$9,L129)*Comparateur!D$13/12,2))</f>
        <v>18.670000000000002</v>
      </c>
      <c r="L130" s="31">
        <f t="shared" si="12"/>
        <v>123954.19</v>
      </c>
      <c r="M130" s="18">
        <f t="shared" si="13"/>
        <v>910.17</v>
      </c>
      <c r="N130" s="18">
        <f t="shared" si="14"/>
        <v>891.5</v>
      </c>
      <c r="O130" s="18">
        <f>IF(OR($B130="",Comparateur!E$17&lt;&gt;"OK",$B130&gt;Comparateur!E$11),"",ROUND(R129*Comparateur!E$10/12,2))</f>
        <v>370.46</v>
      </c>
      <c r="P130" s="18">
        <f>IF(O130="","",IF($B130=Comparateur!E$11,R129,Comparateur!E$20-O130))</f>
        <v>535.5</v>
      </c>
      <c r="Q130" s="18">
        <f>IF(O130="","",ROUND(IF(Comparateur!E$12=Paramètres!$B$36,Comparateur!E$9,R129)*Comparateur!E$13/12,2))</f>
        <v>30</v>
      </c>
      <c r="R130" s="31">
        <f t="shared" si="15"/>
        <v>124691.52</v>
      </c>
      <c r="S130" s="18">
        <f t="shared" si="16"/>
        <v>935.96</v>
      </c>
      <c r="T130" s="18">
        <f t="shared" si="17"/>
        <v>905.96</v>
      </c>
    </row>
    <row r="131" spans="2:20" x14ac:dyDescent="0.35">
      <c r="B131" s="29">
        <f>IF(B130="","",IF(B130+1&gt;Comparateur!$C$47,"",B130+1))</f>
        <v>124</v>
      </c>
      <c r="C131" s="18">
        <f>IF(OR($B131="",Comparateur!C$17&lt;&gt;"OK",$B131&gt;Comparateur!C$11),"",ROUND(F130*Comparateur!C$10/12,2))</f>
        <v>333.7</v>
      </c>
      <c r="D131" s="18">
        <f>IF(C131="","",IF($B131=Comparateur!C$11,F130,Comparateur!C$20-C131))</f>
        <v>543.47</v>
      </c>
      <c r="E131" s="18">
        <f>IF(C131="","",ROUND(IF(Comparateur!C$12=Paramètres!$B$36,Comparateur!C$9,F130)*Comparateur!C$13/12,2))</f>
        <v>63</v>
      </c>
      <c r="F131" s="31">
        <f t="shared" si="9"/>
        <v>122668.76</v>
      </c>
      <c r="G131" s="18">
        <f t="shared" si="10"/>
        <v>940.17000000000007</v>
      </c>
      <c r="H131" s="18">
        <f t="shared" si="11"/>
        <v>877.17000000000007</v>
      </c>
      <c r="I131" s="18">
        <f>IF(OR($B131="",Comparateur!D$17&lt;&gt;"OK",$B131&gt;Comparateur!D$11),"",ROUND(L130*Comparateur!D$10/12,2))</f>
        <v>351.2</v>
      </c>
      <c r="J131" s="18">
        <f>IF(I131="","",IF($B131=Comparateur!D$11,L130,Comparateur!D$20-I131))</f>
        <v>540.29999999999995</v>
      </c>
      <c r="K131" s="18">
        <f>IF(I131="","",ROUND(IF(Comparateur!D$12=Paramètres!$B$36,Comparateur!D$9,L130)*Comparateur!D$13/12,2))</f>
        <v>18.59</v>
      </c>
      <c r="L131" s="31">
        <f t="shared" si="12"/>
        <v>123413.89</v>
      </c>
      <c r="M131" s="18">
        <f t="shared" si="13"/>
        <v>910.09</v>
      </c>
      <c r="N131" s="18">
        <f t="shared" si="14"/>
        <v>891.5</v>
      </c>
      <c r="O131" s="18">
        <f>IF(OR($B131="",Comparateur!E$17&lt;&gt;"OK",$B131&gt;Comparateur!E$11),"",ROUND(R130*Comparateur!E$10/12,2))</f>
        <v>368.88</v>
      </c>
      <c r="P131" s="18">
        <f>IF(O131="","",IF($B131=Comparateur!E$11,R130,Comparateur!E$20-O131))</f>
        <v>537.08000000000004</v>
      </c>
      <c r="Q131" s="18">
        <f>IF(O131="","",ROUND(IF(Comparateur!E$12=Paramètres!$B$36,Comparateur!E$9,R130)*Comparateur!E$13/12,2))</f>
        <v>30</v>
      </c>
      <c r="R131" s="31">
        <f t="shared" si="15"/>
        <v>124154.44</v>
      </c>
      <c r="S131" s="18">
        <f t="shared" si="16"/>
        <v>935.96</v>
      </c>
      <c r="T131" s="18">
        <f t="shared" si="17"/>
        <v>905.96</v>
      </c>
    </row>
    <row r="132" spans="2:20" x14ac:dyDescent="0.35">
      <c r="B132" s="29">
        <f>IF(B131="","",IF(B131+1&gt;Comparateur!$C$47,"",B131+1))</f>
        <v>125</v>
      </c>
      <c r="C132" s="18">
        <f>IF(OR($B132="",Comparateur!C$17&lt;&gt;"OK",$B132&gt;Comparateur!C$11),"",ROUND(F131*Comparateur!C$10/12,2))</f>
        <v>332.23</v>
      </c>
      <c r="D132" s="18">
        <f>IF(C132="","",IF($B132=Comparateur!C$11,F131,Comparateur!C$20-C132))</f>
        <v>544.93999999999994</v>
      </c>
      <c r="E132" s="18">
        <f>IF(C132="","",ROUND(IF(Comparateur!C$12=Paramètres!$B$36,Comparateur!C$9,F131)*Comparateur!C$13/12,2))</f>
        <v>63</v>
      </c>
      <c r="F132" s="31">
        <f t="shared" si="9"/>
        <v>122123.82</v>
      </c>
      <c r="G132" s="18">
        <f t="shared" si="10"/>
        <v>940.17</v>
      </c>
      <c r="H132" s="18">
        <f t="shared" si="11"/>
        <v>877.17</v>
      </c>
      <c r="I132" s="18">
        <f>IF(OR($B132="",Comparateur!D$17&lt;&gt;"OK",$B132&gt;Comparateur!D$11),"",ROUND(L131*Comparateur!D$10/12,2))</f>
        <v>349.67</v>
      </c>
      <c r="J132" s="18">
        <f>IF(I132="","",IF($B132=Comparateur!D$11,L131,Comparateur!D$20-I132))</f>
        <v>541.82999999999993</v>
      </c>
      <c r="K132" s="18">
        <f>IF(I132="","",ROUND(IF(Comparateur!D$12=Paramètres!$B$36,Comparateur!D$9,L131)*Comparateur!D$13/12,2))</f>
        <v>18.510000000000002</v>
      </c>
      <c r="L132" s="31">
        <f t="shared" si="12"/>
        <v>122872.06</v>
      </c>
      <c r="M132" s="18">
        <f t="shared" si="13"/>
        <v>910.01</v>
      </c>
      <c r="N132" s="18">
        <f t="shared" si="14"/>
        <v>891.5</v>
      </c>
      <c r="O132" s="18">
        <f>IF(OR($B132="",Comparateur!E$17&lt;&gt;"OK",$B132&gt;Comparateur!E$11),"",ROUND(R131*Comparateur!E$10/12,2))</f>
        <v>367.29</v>
      </c>
      <c r="P132" s="18">
        <f>IF(O132="","",IF($B132=Comparateur!E$11,R131,Comparateur!E$20-O132))</f>
        <v>538.67000000000007</v>
      </c>
      <c r="Q132" s="18">
        <f>IF(O132="","",ROUND(IF(Comparateur!E$12=Paramètres!$B$36,Comparateur!E$9,R131)*Comparateur!E$13/12,2))</f>
        <v>30</v>
      </c>
      <c r="R132" s="31">
        <f t="shared" si="15"/>
        <v>123615.77</v>
      </c>
      <c r="S132" s="18">
        <f t="shared" si="16"/>
        <v>935.96</v>
      </c>
      <c r="T132" s="18">
        <f t="shared" si="17"/>
        <v>905.96</v>
      </c>
    </row>
    <row r="133" spans="2:20" x14ac:dyDescent="0.35">
      <c r="B133" s="29">
        <f>IF(B132="","",IF(B132+1&gt;Comparateur!$C$47,"",B132+1))</f>
        <v>126</v>
      </c>
      <c r="C133" s="18">
        <f>IF(OR($B133="",Comparateur!C$17&lt;&gt;"OK",$B133&gt;Comparateur!C$11),"",ROUND(F132*Comparateur!C$10/12,2))</f>
        <v>330.75</v>
      </c>
      <c r="D133" s="18">
        <f>IF(C133="","",IF($B133=Comparateur!C$11,F132,Comparateur!C$20-C133))</f>
        <v>546.41999999999996</v>
      </c>
      <c r="E133" s="18">
        <f>IF(C133="","",ROUND(IF(Comparateur!C$12=Paramètres!$B$36,Comparateur!C$9,F132)*Comparateur!C$13/12,2))</f>
        <v>63</v>
      </c>
      <c r="F133" s="31">
        <f t="shared" si="9"/>
        <v>121577.4</v>
      </c>
      <c r="G133" s="18">
        <f t="shared" si="10"/>
        <v>940.17</v>
      </c>
      <c r="H133" s="18">
        <f t="shared" si="11"/>
        <v>877.17</v>
      </c>
      <c r="I133" s="18">
        <f>IF(OR($B133="",Comparateur!D$17&lt;&gt;"OK",$B133&gt;Comparateur!D$11),"",ROUND(L132*Comparateur!D$10/12,2))</f>
        <v>348.14</v>
      </c>
      <c r="J133" s="18">
        <f>IF(I133="","",IF($B133=Comparateur!D$11,L132,Comparateur!D$20-I133))</f>
        <v>543.36</v>
      </c>
      <c r="K133" s="18">
        <f>IF(I133="","",ROUND(IF(Comparateur!D$12=Paramètres!$B$36,Comparateur!D$9,L132)*Comparateur!D$13/12,2))</f>
        <v>18.43</v>
      </c>
      <c r="L133" s="31">
        <f t="shared" si="12"/>
        <v>122328.7</v>
      </c>
      <c r="M133" s="18">
        <f t="shared" si="13"/>
        <v>909.93</v>
      </c>
      <c r="N133" s="18">
        <f t="shared" si="14"/>
        <v>891.5</v>
      </c>
      <c r="O133" s="18">
        <f>IF(OR($B133="",Comparateur!E$17&lt;&gt;"OK",$B133&gt;Comparateur!E$11),"",ROUND(R132*Comparateur!E$10/12,2))</f>
        <v>365.7</v>
      </c>
      <c r="P133" s="18">
        <f>IF(O133="","",IF($B133=Comparateur!E$11,R132,Comparateur!E$20-O133))</f>
        <v>540.26</v>
      </c>
      <c r="Q133" s="18">
        <f>IF(O133="","",ROUND(IF(Comparateur!E$12=Paramètres!$B$36,Comparateur!E$9,R132)*Comparateur!E$13/12,2))</f>
        <v>30</v>
      </c>
      <c r="R133" s="31">
        <f t="shared" si="15"/>
        <v>123075.51</v>
      </c>
      <c r="S133" s="18">
        <f t="shared" si="16"/>
        <v>935.96</v>
      </c>
      <c r="T133" s="18">
        <f t="shared" si="17"/>
        <v>905.96</v>
      </c>
    </row>
    <row r="134" spans="2:20" x14ac:dyDescent="0.35">
      <c r="B134" s="29">
        <f>IF(B133="","",IF(B133+1&gt;Comparateur!$C$47,"",B133+1))</f>
        <v>127</v>
      </c>
      <c r="C134" s="18">
        <f>IF(OR($B134="",Comparateur!C$17&lt;&gt;"OK",$B134&gt;Comparateur!C$11),"",ROUND(F133*Comparateur!C$10/12,2))</f>
        <v>329.27</v>
      </c>
      <c r="D134" s="18">
        <f>IF(C134="","",IF($B134=Comparateur!C$11,F133,Comparateur!C$20-C134))</f>
        <v>547.9</v>
      </c>
      <c r="E134" s="18">
        <f>IF(C134="","",ROUND(IF(Comparateur!C$12=Paramètres!$B$36,Comparateur!C$9,F133)*Comparateur!C$13/12,2))</f>
        <v>63</v>
      </c>
      <c r="F134" s="31">
        <f t="shared" si="9"/>
        <v>121029.5</v>
      </c>
      <c r="G134" s="18">
        <f t="shared" si="10"/>
        <v>940.17</v>
      </c>
      <c r="H134" s="18">
        <f t="shared" si="11"/>
        <v>877.17</v>
      </c>
      <c r="I134" s="18">
        <f>IF(OR($B134="",Comparateur!D$17&lt;&gt;"OK",$B134&gt;Comparateur!D$11),"",ROUND(L133*Comparateur!D$10/12,2))</f>
        <v>346.6</v>
      </c>
      <c r="J134" s="18">
        <f>IF(I134="","",IF($B134=Comparateur!D$11,L133,Comparateur!D$20-I134))</f>
        <v>544.9</v>
      </c>
      <c r="K134" s="18">
        <f>IF(I134="","",ROUND(IF(Comparateur!D$12=Paramètres!$B$36,Comparateur!D$9,L133)*Comparateur!D$13/12,2))</f>
        <v>18.350000000000001</v>
      </c>
      <c r="L134" s="31">
        <f t="shared" si="12"/>
        <v>121783.8</v>
      </c>
      <c r="M134" s="18">
        <f t="shared" si="13"/>
        <v>909.85</v>
      </c>
      <c r="N134" s="18">
        <f t="shared" si="14"/>
        <v>891.5</v>
      </c>
      <c r="O134" s="18">
        <f>IF(OR($B134="",Comparateur!E$17&lt;&gt;"OK",$B134&gt;Comparateur!E$11),"",ROUND(R133*Comparateur!E$10/12,2))</f>
        <v>364.1</v>
      </c>
      <c r="P134" s="18">
        <f>IF(O134="","",IF($B134=Comparateur!E$11,R133,Comparateur!E$20-O134))</f>
        <v>541.86</v>
      </c>
      <c r="Q134" s="18">
        <f>IF(O134="","",ROUND(IF(Comparateur!E$12=Paramètres!$B$36,Comparateur!E$9,R133)*Comparateur!E$13/12,2))</f>
        <v>30</v>
      </c>
      <c r="R134" s="31">
        <f t="shared" si="15"/>
        <v>122533.65</v>
      </c>
      <c r="S134" s="18">
        <f t="shared" si="16"/>
        <v>935.96</v>
      </c>
      <c r="T134" s="18">
        <f t="shared" si="17"/>
        <v>905.96</v>
      </c>
    </row>
    <row r="135" spans="2:20" x14ac:dyDescent="0.35">
      <c r="B135" s="29">
        <f>IF(B134="","",IF(B134+1&gt;Comparateur!$C$47,"",B134+1))</f>
        <v>128</v>
      </c>
      <c r="C135" s="18">
        <f>IF(OR($B135="",Comparateur!C$17&lt;&gt;"OK",$B135&gt;Comparateur!C$11),"",ROUND(F134*Comparateur!C$10/12,2))</f>
        <v>327.79</v>
      </c>
      <c r="D135" s="18">
        <f>IF(C135="","",IF($B135=Comparateur!C$11,F134,Comparateur!C$20-C135))</f>
        <v>549.37999999999988</v>
      </c>
      <c r="E135" s="18">
        <f>IF(C135="","",ROUND(IF(Comparateur!C$12=Paramètres!$B$36,Comparateur!C$9,F134)*Comparateur!C$13/12,2))</f>
        <v>63</v>
      </c>
      <c r="F135" s="31">
        <f t="shared" si="9"/>
        <v>120480.12</v>
      </c>
      <c r="G135" s="18">
        <f t="shared" si="10"/>
        <v>940.16999999999985</v>
      </c>
      <c r="H135" s="18">
        <f t="shared" si="11"/>
        <v>877.16999999999985</v>
      </c>
      <c r="I135" s="18">
        <f>IF(OR($B135="",Comparateur!D$17&lt;&gt;"OK",$B135&gt;Comparateur!D$11),"",ROUND(L134*Comparateur!D$10/12,2))</f>
        <v>345.05</v>
      </c>
      <c r="J135" s="18">
        <f>IF(I135="","",IF($B135=Comparateur!D$11,L134,Comparateur!D$20-I135))</f>
        <v>546.45000000000005</v>
      </c>
      <c r="K135" s="18">
        <f>IF(I135="","",ROUND(IF(Comparateur!D$12=Paramètres!$B$36,Comparateur!D$9,L134)*Comparateur!D$13/12,2))</f>
        <v>18.27</v>
      </c>
      <c r="L135" s="31">
        <f t="shared" si="12"/>
        <v>121237.35</v>
      </c>
      <c r="M135" s="18">
        <f t="shared" si="13"/>
        <v>909.77</v>
      </c>
      <c r="N135" s="18">
        <f t="shared" si="14"/>
        <v>891.5</v>
      </c>
      <c r="O135" s="18">
        <f>IF(OR($B135="",Comparateur!E$17&lt;&gt;"OK",$B135&gt;Comparateur!E$11),"",ROUND(R134*Comparateur!E$10/12,2))</f>
        <v>362.5</v>
      </c>
      <c r="P135" s="18">
        <f>IF(O135="","",IF($B135=Comparateur!E$11,R134,Comparateur!E$20-O135))</f>
        <v>543.46</v>
      </c>
      <c r="Q135" s="18">
        <f>IF(O135="","",ROUND(IF(Comparateur!E$12=Paramètres!$B$36,Comparateur!E$9,R134)*Comparateur!E$13/12,2))</f>
        <v>30</v>
      </c>
      <c r="R135" s="31">
        <f t="shared" si="15"/>
        <v>121990.19</v>
      </c>
      <c r="S135" s="18">
        <f t="shared" si="16"/>
        <v>935.96</v>
      </c>
      <c r="T135" s="18">
        <f t="shared" si="17"/>
        <v>905.96</v>
      </c>
    </row>
    <row r="136" spans="2:20" x14ac:dyDescent="0.35">
      <c r="B136" s="29">
        <f>IF(B135="","",IF(B135+1&gt;Comparateur!$C$47,"",B135+1))</f>
        <v>129</v>
      </c>
      <c r="C136" s="18">
        <f>IF(OR($B136="",Comparateur!C$17&lt;&gt;"OK",$B136&gt;Comparateur!C$11),"",ROUND(F135*Comparateur!C$10/12,2))</f>
        <v>326.3</v>
      </c>
      <c r="D136" s="18">
        <f>IF(C136="","",IF($B136=Comparateur!C$11,F135,Comparateur!C$20-C136))</f>
        <v>550.86999999999989</v>
      </c>
      <c r="E136" s="18">
        <f>IF(C136="","",ROUND(IF(Comparateur!C$12=Paramètres!$B$36,Comparateur!C$9,F135)*Comparateur!C$13/12,2))</f>
        <v>63</v>
      </c>
      <c r="F136" s="31">
        <f t="shared" ref="F136:F199" si="18">IF(C136="","",ROUND(F135-D136,2))</f>
        <v>119929.25</v>
      </c>
      <c r="G136" s="18">
        <f t="shared" ref="G136:G199" si="19">IF(C136="","",C136+D136+E136)</f>
        <v>940.16999999999985</v>
      </c>
      <c r="H136" s="18">
        <f t="shared" ref="H136:H199" si="20">IF(C136="","",C136+D136)</f>
        <v>877.16999999999985</v>
      </c>
      <c r="I136" s="18">
        <f>IF(OR($B136="",Comparateur!D$17&lt;&gt;"OK",$B136&gt;Comparateur!D$11),"",ROUND(L135*Comparateur!D$10/12,2))</f>
        <v>343.51</v>
      </c>
      <c r="J136" s="18">
        <f>IF(I136="","",IF($B136=Comparateur!D$11,L135,Comparateur!D$20-I136))</f>
        <v>547.99</v>
      </c>
      <c r="K136" s="18">
        <f>IF(I136="","",ROUND(IF(Comparateur!D$12=Paramètres!$B$36,Comparateur!D$9,L135)*Comparateur!D$13/12,2))</f>
        <v>18.190000000000001</v>
      </c>
      <c r="L136" s="31">
        <f t="shared" ref="L136:L199" si="21">IF(I136="","",ROUND(L135-J136,2))</f>
        <v>120689.36</v>
      </c>
      <c r="M136" s="18">
        <f t="shared" ref="M136:M199" si="22">IF(I136="","",I136+J136+K136)</f>
        <v>909.69</v>
      </c>
      <c r="N136" s="18">
        <f t="shared" ref="N136:N199" si="23">IF(I136="","",I136+J136)</f>
        <v>891.5</v>
      </c>
      <c r="O136" s="18">
        <f>IF(OR($B136="",Comparateur!E$17&lt;&gt;"OK",$B136&gt;Comparateur!E$11),"",ROUND(R135*Comparateur!E$10/12,2))</f>
        <v>360.89</v>
      </c>
      <c r="P136" s="18">
        <f>IF(O136="","",IF($B136=Comparateur!E$11,R135,Comparateur!E$20-O136))</f>
        <v>545.07000000000005</v>
      </c>
      <c r="Q136" s="18">
        <f>IF(O136="","",ROUND(IF(Comparateur!E$12=Paramètres!$B$36,Comparateur!E$9,R135)*Comparateur!E$13/12,2))</f>
        <v>30</v>
      </c>
      <c r="R136" s="31">
        <f t="shared" ref="R136:R199" si="24">IF(O136="","",ROUND(R135-P136,2))</f>
        <v>121445.12</v>
      </c>
      <c r="S136" s="18">
        <f t="shared" ref="S136:S199" si="25">IF(O136="","",O136+P136+Q136)</f>
        <v>935.96</v>
      </c>
      <c r="T136" s="18">
        <f t="shared" ref="T136:T199" si="26">IF(O136="","",O136+P136)</f>
        <v>905.96</v>
      </c>
    </row>
    <row r="137" spans="2:20" x14ac:dyDescent="0.35">
      <c r="B137" s="29">
        <f>IF(B136="","",IF(B136+1&gt;Comparateur!$C$47,"",B136+1))</f>
        <v>130</v>
      </c>
      <c r="C137" s="18">
        <f>IF(OR($B137="",Comparateur!C$17&lt;&gt;"OK",$B137&gt;Comparateur!C$11),"",ROUND(F136*Comparateur!C$10/12,2))</f>
        <v>324.81</v>
      </c>
      <c r="D137" s="18">
        <f>IF(C137="","",IF($B137=Comparateur!C$11,F136,Comparateur!C$20-C137))</f>
        <v>552.3599999999999</v>
      </c>
      <c r="E137" s="18">
        <f>IF(C137="","",ROUND(IF(Comparateur!C$12=Paramètres!$B$36,Comparateur!C$9,F136)*Comparateur!C$13/12,2))</f>
        <v>63</v>
      </c>
      <c r="F137" s="31">
        <f t="shared" si="18"/>
        <v>119376.89</v>
      </c>
      <c r="G137" s="18">
        <f t="shared" si="19"/>
        <v>940.16999999999985</v>
      </c>
      <c r="H137" s="18">
        <f t="shared" si="20"/>
        <v>877.16999999999985</v>
      </c>
      <c r="I137" s="18">
        <f>IF(OR($B137="",Comparateur!D$17&lt;&gt;"OK",$B137&gt;Comparateur!D$11),"",ROUND(L136*Comparateur!D$10/12,2))</f>
        <v>341.95</v>
      </c>
      <c r="J137" s="18">
        <f>IF(I137="","",IF($B137=Comparateur!D$11,L136,Comparateur!D$20-I137))</f>
        <v>549.54999999999995</v>
      </c>
      <c r="K137" s="18">
        <f>IF(I137="","",ROUND(IF(Comparateur!D$12=Paramètres!$B$36,Comparateur!D$9,L136)*Comparateur!D$13/12,2))</f>
        <v>18.100000000000001</v>
      </c>
      <c r="L137" s="31">
        <f t="shared" si="21"/>
        <v>120139.81</v>
      </c>
      <c r="M137" s="18">
        <f t="shared" si="22"/>
        <v>909.6</v>
      </c>
      <c r="N137" s="18">
        <f t="shared" si="23"/>
        <v>891.5</v>
      </c>
      <c r="O137" s="18">
        <f>IF(OR($B137="",Comparateur!E$17&lt;&gt;"OK",$B137&gt;Comparateur!E$11),"",ROUND(R136*Comparateur!E$10/12,2))</f>
        <v>359.28</v>
      </c>
      <c r="P137" s="18">
        <f>IF(O137="","",IF($B137=Comparateur!E$11,R136,Comparateur!E$20-O137))</f>
        <v>546.68000000000006</v>
      </c>
      <c r="Q137" s="18">
        <f>IF(O137="","",ROUND(IF(Comparateur!E$12=Paramètres!$B$36,Comparateur!E$9,R136)*Comparateur!E$13/12,2))</f>
        <v>30</v>
      </c>
      <c r="R137" s="31">
        <f t="shared" si="24"/>
        <v>120898.44</v>
      </c>
      <c r="S137" s="18">
        <f t="shared" si="25"/>
        <v>935.96</v>
      </c>
      <c r="T137" s="18">
        <f t="shared" si="26"/>
        <v>905.96</v>
      </c>
    </row>
    <row r="138" spans="2:20" x14ac:dyDescent="0.35">
      <c r="B138" s="29">
        <f>IF(B137="","",IF(B137+1&gt;Comparateur!$C$47,"",B137+1))</f>
        <v>131</v>
      </c>
      <c r="C138" s="18">
        <f>IF(OR($B138="",Comparateur!C$17&lt;&gt;"OK",$B138&gt;Comparateur!C$11),"",ROUND(F137*Comparateur!C$10/12,2))</f>
        <v>323.31</v>
      </c>
      <c r="D138" s="18">
        <f>IF(C138="","",IF($B138=Comparateur!C$11,F137,Comparateur!C$20-C138))</f>
        <v>553.8599999999999</v>
      </c>
      <c r="E138" s="18">
        <f>IF(C138="","",ROUND(IF(Comparateur!C$12=Paramètres!$B$36,Comparateur!C$9,F137)*Comparateur!C$13/12,2))</f>
        <v>63</v>
      </c>
      <c r="F138" s="31">
        <f t="shared" si="18"/>
        <v>118823.03</v>
      </c>
      <c r="G138" s="18">
        <f t="shared" si="19"/>
        <v>940.16999999999985</v>
      </c>
      <c r="H138" s="18">
        <f t="shared" si="20"/>
        <v>877.16999999999985</v>
      </c>
      <c r="I138" s="18">
        <f>IF(OR($B138="",Comparateur!D$17&lt;&gt;"OK",$B138&gt;Comparateur!D$11),"",ROUND(L137*Comparateur!D$10/12,2))</f>
        <v>340.4</v>
      </c>
      <c r="J138" s="18">
        <f>IF(I138="","",IF($B138=Comparateur!D$11,L137,Comparateur!D$20-I138))</f>
        <v>551.1</v>
      </c>
      <c r="K138" s="18">
        <f>IF(I138="","",ROUND(IF(Comparateur!D$12=Paramètres!$B$36,Comparateur!D$9,L137)*Comparateur!D$13/12,2))</f>
        <v>18.02</v>
      </c>
      <c r="L138" s="31">
        <f t="shared" si="21"/>
        <v>119588.71</v>
      </c>
      <c r="M138" s="18">
        <f t="shared" si="22"/>
        <v>909.52</v>
      </c>
      <c r="N138" s="18">
        <f t="shared" si="23"/>
        <v>891.5</v>
      </c>
      <c r="O138" s="18">
        <f>IF(OR($B138="",Comparateur!E$17&lt;&gt;"OK",$B138&gt;Comparateur!E$11),"",ROUND(R137*Comparateur!E$10/12,2))</f>
        <v>357.66</v>
      </c>
      <c r="P138" s="18">
        <f>IF(O138="","",IF($B138=Comparateur!E$11,R137,Comparateur!E$20-O138))</f>
        <v>548.29999999999995</v>
      </c>
      <c r="Q138" s="18">
        <f>IF(O138="","",ROUND(IF(Comparateur!E$12=Paramètres!$B$36,Comparateur!E$9,R137)*Comparateur!E$13/12,2))</f>
        <v>30</v>
      </c>
      <c r="R138" s="31">
        <f t="shared" si="24"/>
        <v>120350.14</v>
      </c>
      <c r="S138" s="18">
        <f t="shared" si="25"/>
        <v>935.96</v>
      </c>
      <c r="T138" s="18">
        <f t="shared" si="26"/>
        <v>905.96</v>
      </c>
    </row>
    <row r="139" spans="2:20" x14ac:dyDescent="0.35">
      <c r="B139" s="29">
        <f>IF(B138="","",IF(B138+1&gt;Comparateur!$C$47,"",B138+1))</f>
        <v>132</v>
      </c>
      <c r="C139" s="18">
        <f>IF(OR($B139="",Comparateur!C$17&lt;&gt;"OK",$B139&gt;Comparateur!C$11),"",ROUND(F138*Comparateur!C$10/12,2))</f>
        <v>321.81</v>
      </c>
      <c r="D139" s="18">
        <f>IF(C139="","",IF($B139=Comparateur!C$11,F138,Comparateur!C$20-C139))</f>
        <v>555.3599999999999</v>
      </c>
      <c r="E139" s="18">
        <f>IF(C139="","",ROUND(IF(Comparateur!C$12=Paramètres!$B$36,Comparateur!C$9,F138)*Comparateur!C$13/12,2))</f>
        <v>63</v>
      </c>
      <c r="F139" s="31">
        <f t="shared" si="18"/>
        <v>118267.67</v>
      </c>
      <c r="G139" s="18">
        <f t="shared" si="19"/>
        <v>940.16999999999985</v>
      </c>
      <c r="H139" s="18">
        <f t="shared" si="20"/>
        <v>877.16999999999985</v>
      </c>
      <c r="I139" s="18">
        <f>IF(OR($B139="",Comparateur!D$17&lt;&gt;"OK",$B139&gt;Comparateur!D$11),"",ROUND(L138*Comparateur!D$10/12,2))</f>
        <v>338.83</v>
      </c>
      <c r="J139" s="18">
        <f>IF(I139="","",IF($B139=Comparateur!D$11,L138,Comparateur!D$20-I139))</f>
        <v>552.67000000000007</v>
      </c>
      <c r="K139" s="18">
        <f>IF(I139="","",ROUND(IF(Comparateur!D$12=Paramètres!$B$36,Comparateur!D$9,L138)*Comparateur!D$13/12,2))</f>
        <v>17.940000000000001</v>
      </c>
      <c r="L139" s="31">
        <f t="shared" si="21"/>
        <v>119036.04</v>
      </c>
      <c r="M139" s="18">
        <f t="shared" si="22"/>
        <v>909.44</v>
      </c>
      <c r="N139" s="18">
        <f t="shared" si="23"/>
        <v>891.5</v>
      </c>
      <c r="O139" s="18">
        <f>IF(OR($B139="",Comparateur!E$17&lt;&gt;"OK",$B139&gt;Comparateur!E$11),"",ROUND(R138*Comparateur!E$10/12,2))</f>
        <v>356.04</v>
      </c>
      <c r="P139" s="18">
        <f>IF(O139="","",IF($B139=Comparateur!E$11,R138,Comparateur!E$20-O139))</f>
        <v>549.92000000000007</v>
      </c>
      <c r="Q139" s="18">
        <f>IF(O139="","",ROUND(IF(Comparateur!E$12=Paramètres!$B$36,Comparateur!E$9,R138)*Comparateur!E$13/12,2))</f>
        <v>30</v>
      </c>
      <c r="R139" s="31">
        <f t="shared" si="24"/>
        <v>119800.22</v>
      </c>
      <c r="S139" s="18">
        <f t="shared" si="25"/>
        <v>935.96</v>
      </c>
      <c r="T139" s="18">
        <f t="shared" si="26"/>
        <v>905.96</v>
      </c>
    </row>
    <row r="140" spans="2:20" x14ac:dyDescent="0.35">
      <c r="B140" s="29">
        <f>IF(B139="","",IF(B139+1&gt;Comparateur!$C$47,"",B139+1))</f>
        <v>133</v>
      </c>
      <c r="C140" s="18">
        <f>IF(OR($B140="",Comparateur!C$17&lt;&gt;"OK",$B140&gt;Comparateur!C$11),"",ROUND(F139*Comparateur!C$10/12,2))</f>
        <v>320.31</v>
      </c>
      <c r="D140" s="18">
        <f>IF(C140="","",IF($B140=Comparateur!C$11,F139,Comparateur!C$20-C140))</f>
        <v>556.8599999999999</v>
      </c>
      <c r="E140" s="18">
        <f>IF(C140="","",ROUND(IF(Comparateur!C$12=Paramètres!$B$36,Comparateur!C$9,F139)*Comparateur!C$13/12,2))</f>
        <v>63</v>
      </c>
      <c r="F140" s="31">
        <f t="shared" si="18"/>
        <v>117710.81</v>
      </c>
      <c r="G140" s="18">
        <f t="shared" si="19"/>
        <v>940.16999999999985</v>
      </c>
      <c r="H140" s="18">
        <f t="shared" si="20"/>
        <v>877.16999999999985</v>
      </c>
      <c r="I140" s="18">
        <f>IF(OR($B140="",Comparateur!D$17&lt;&gt;"OK",$B140&gt;Comparateur!D$11),"",ROUND(L139*Comparateur!D$10/12,2))</f>
        <v>337.27</v>
      </c>
      <c r="J140" s="18">
        <f>IF(I140="","",IF($B140=Comparateur!D$11,L139,Comparateur!D$20-I140))</f>
        <v>554.23</v>
      </c>
      <c r="K140" s="18">
        <f>IF(I140="","",ROUND(IF(Comparateur!D$12=Paramètres!$B$36,Comparateur!D$9,L139)*Comparateur!D$13/12,2))</f>
        <v>17.86</v>
      </c>
      <c r="L140" s="31">
        <f t="shared" si="21"/>
        <v>118481.81</v>
      </c>
      <c r="M140" s="18">
        <f t="shared" si="22"/>
        <v>909.36</v>
      </c>
      <c r="N140" s="18">
        <f t="shared" si="23"/>
        <v>891.5</v>
      </c>
      <c r="O140" s="18">
        <f>IF(OR($B140="",Comparateur!E$17&lt;&gt;"OK",$B140&gt;Comparateur!E$11),"",ROUND(R139*Comparateur!E$10/12,2))</f>
        <v>354.41</v>
      </c>
      <c r="P140" s="18">
        <f>IF(O140="","",IF($B140=Comparateur!E$11,R139,Comparateur!E$20-O140))</f>
        <v>551.54999999999995</v>
      </c>
      <c r="Q140" s="18">
        <f>IF(O140="","",ROUND(IF(Comparateur!E$12=Paramètres!$B$36,Comparateur!E$9,R139)*Comparateur!E$13/12,2))</f>
        <v>30</v>
      </c>
      <c r="R140" s="31">
        <f t="shared" si="24"/>
        <v>119248.67</v>
      </c>
      <c r="S140" s="18">
        <f t="shared" si="25"/>
        <v>935.96</v>
      </c>
      <c r="T140" s="18">
        <f t="shared" si="26"/>
        <v>905.96</v>
      </c>
    </row>
    <row r="141" spans="2:20" x14ac:dyDescent="0.35">
      <c r="B141" s="29">
        <f>IF(B140="","",IF(B140+1&gt;Comparateur!$C$47,"",B140+1))</f>
        <v>134</v>
      </c>
      <c r="C141" s="18">
        <f>IF(OR($B141="",Comparateur!C$17&lt;&gt;"OK",$B141&gt;Comparateur!C$11),"",ROUND(F140*Comparateur!C$10/12,2))</f>
        <v>318.8</v>
      </c>
      <c r="D141" s="18">
        <f>IF(C141="","",IF($B141=Comparateur!C$11,F140,Comparateur!C$20-C141))</f>
        <v>558.36999999999989</v>
      </c>
      <c r="E141" s="18">
        <f>IF(C141="","",ROUND(IF(Comparateur!C$12=Paramètres!$B$36,Comparateur!C$9,F140)*Comparateur!C$13/12,2))</f>
        <v>63</v>
      </c>
      <c r="F141" s="31">
        <f t="shared" si="18"/>
        <v>117152.44</v>
      </c>
      <c r="G141" s="18">
        <f t="shared" si="19"/>
        <v>940.16999999999985</v>
      </c>
      <c r="H141" s="18">
        <f t="shared" si="20"/>
        <v>877.16999999999985</v>
      </c>
      <c r="I141" s="18">
        <f>IF(OR($B141="",Comparateur!D$17&lt;&gt;"OK",$B141&gt;Comparateur!D$11),"",ROUND(L140*Comparateur!D$10/12,2))</f>
        <v>335.7</v>
      </c>
      <c r="J141" s="18">
        <f>IF(I141="","",IF($B141=Comparateur!D$11,L140,Comparateur!D$20-I141))</f>
        <v>555.79999999999995</v>
      </c>
      <c r="K141" s="18">
        <f>IF(I141="","",ROUND(IF(Comparateur!D$12=Paramètres!$B$36,Comparateur!D$9,L140)*Comparateur!D$13/12,2))</f>
        <v>17.77</v>
      </c>
      <c r="L141" s="31">
        <f t="shared" si="21"/>
        <v>117926.01</v>
      </c>
      <c r="M141" s="18">
        <f t="shared" si="22"/>
        <v>909.27</v>
      </c>
      <c r="N141" s="18">
        <f t="shared" si="23"/>
        <v>891.5</v>
      </c>
      <c r="O141" s="18">
        <f>IF(OR($B141="",Comparateur!E$17&lt;&gt;"OK",$B141&gt;Comparateur!E$11),"",ROUND(R140*Comparateur!E$10/12,2))</f>
        <v>352.78</v>
      </c>
      <c r="P141" s="18">
        <f>IF(O141="","",IF($B141=Comparateur!E$11,R140,Comparateur!E$20-O141))</f>
        <v>553.18000000000006</v>
      </c>
      <c r="Q141" s="18">
        <f>IF(O141="","",ROUND(IF(Comparateur!E$12=Paramètres!$B$36,Comparateur!E$9,R140)*Comparateur!E$13/12,2))</f>
        <v>30</v>
      </c>
      <c r="R141" s="31">
        <f t="shared" si="24"/>
        <v>118695.49</v>
      </c>
      <c r="S141" s="18">
        <f t="shared" si="25"/>
        <v>935.96</v>
      </c>
      <c r="T141" s="18">
        <f t="shared" si="26"/>
        <v>905.96</v>
      </c>
    </row>
    <row r="142" spans="2:20" x14ac:dyDescent="0.35">
      <c r="B142" s="29">
        <f>IF(B141="","",IF(B141+1&gt;Comparateur!$C$47,"",B141+1))</f>
        <v>135</v>
      </c>
      <c r="C142" s="18">
        <f>IF(OR($B142="",Comparateur!C$17&lt;&gt;"OK",$B142&gt;Comparateur!C$11),"",ROUND(F141*Comparateur!C$10/12,2))</f>
        <v>317.29000000000002</v>
      </c>
      <c r="D142" s="18">
        <f>IF(C142="","",IF($B142=Comparateur!C$11,F141,Comparateur!C$20-C142))</f>
        <v>559.87999999999988</v>
      </c>
      <c r="E142" s="18">
        <f>IF(C142="","",ROUND(IF(Comparateur!C$12=Paramètres!$B$36,Comparateur!C$9,F141)*Comparateur!C$13/12,2))</f>
        <v>63</v>
      </c>
      <c r="F142" s="31">
        <f t="shared" si="18"/>
        <v>116592.56</v>
      </c>
      <c r="G142" s="18">
        <f t="shared" si="19"/>
        <v>940.16999999999985</v>
      </c>
      <c r="H142" s="18">
        <f t="shared" si="20"/>
        <v>877.16999999999985</v>
      </c>
      <c r="I142" s="18">
        <f>IF(OR($B142="",Comparateur!D$17&lt;&gt;"OK",$B142&gt;Comparateur!D$11),"",ROUND(L141*Comparateur!D$10/12,2))</f>
        <v>334.12</v>
      </c>
      <c r="J142" s="18">
        <f>IF(I142="","",IF($B142=Comparateur!D$11,L141,Comparateur!D$20-I142))</f>
        <v>557.38</v>
      </c>
      <c r="K142" s="18">
        <f>IF(I142="","",ROUND(IF(Comparateur!D$12=Paramètres!$B$36,Comparateur!D$9,L141)*Comparateur!D$13/12,2))</f>
        <v>17.690000000000001</v>
      </c>
      <c r="L142" s="31">
        <f t="shared" si="21"/>
        <v>117368.63</v>
      </c>
      <c r="M142" s="18">
        <f t="shared" si="22"/>
        <v>909.19</v>
      </c>
      <c r="N142" s="18">
        <f t="shared" si="23"/>
        <v>891.5</v>
      </c>
      <c r="O142" s="18">
        <f>IF(OR($B142="",Comparateur!E$17&lt;&gt;"OK",$B142&gt;Comparateur!E$11),"",ROUND(R141*Comparateur!E$10/12,2))</f>
        <v>351.14</v>
      </c>
      <c r="P142" s="18">
        <f>IF(O142="","",IF($B142=Comparateur!E$11,R141,Comparateur!E$20-O142))</f>
        <v>554.82000000000005</v>
      </c>
      <c r="Q142" s="18">
        <f>IF(O142="","",ROUND(IF(Comparateur!E$12=Paramètres!$B$36,Comparateur!E$9,R141)*Comparateur!E$13/12,2))</f>
        <v>30</v>
      </c>
      <c r="R142" s="31">
        <f t="shared" si="24"/>
        <v>118140.67</v>
      </c>
      <c r="S142" s="18">
        <f t="shared" si="25"/>
        <v>935.96</v>
      </c>
      <c r="T142" s="18">
        <f t="shared" si="26"/>
        <v>905.96</v>
      </c>
    </row>
    <row r="143" spans="2:20" x14ac:dyDescent="0.35">
      <c r="B143" s="29">
        <f>IF(B142="","",IF(B142+1&gt;Comparateur!$C$47,"",B142+1))</f>
        <v>136</v>
      </c>
      <c r="C143" s="18">
        <f>IF(OR($B143="",Comparateur!C$17&lt;&gt;"OK",$B143&gt;Comparateur!C$11),"",ROUND(F142*Comparateur!C$10/12,2))</f>
        <v>315.77</v>
      </c>
      <c r="D143" s="18">
        <f>IF(C143="","",IF($B143=Comparateur!C$11,F142,Comparateur!C$20-C143))</f>
        <v>561.4</v>
      </c>
      <c r="E143" s="18">
        <f>IF(C143="","",ROUND(IF(Comparateur!C$12=Paramètres!$B$36,Comparateur!C$9,F142)*Comparateur!C$13/12,2))</f>
        <v>63</v>
      </c>
      <c r="F143" s="31">
        <f t="shared" si="18"/>
        <v>116031.16</v>
      </c>
      <c r="G143" s="18">
        <f t="shared" si="19"/>
        <v>940.17</v>
      </c>
      <c r="H143" s="18">
        <f t="shared" si="20"/>
        <v>877.17</v>
      </c>
      <c r="I143" s="18">
        <f>IF(OR($B143="",Comparateur!D$17&lt;&gt;"OK",$B143&gt;Comparateur!D$11),"",ROUND(L142*Comparateur!D$10/12,2))</f>
        <v>332.54</v>
      </c>
      <c r="J143" s="18">
        <f>IF(I143="","",IF($B143=Comparateur!D$11,L142,Comparateur!D$20-I143))</f>
        <v>558.96</v>
      </c>
      <c r="K143" s="18">
        <f>IF(I143="","",ROUND(IF(Comparateur!D$12=Paramètres!$B$36,Comparateur!D$9,L142)*Comparateur!D$13/12,2))</f>
        <v>17.61</v>
      </c>
      <c r="L143" s="31">
        <f t="shared" si="21"/>
        <v>116809.67</v>
      </c>
      <c r="M143" s="18">
        <f t="shared" si="22"/>
        <v>909.11</v>
      </c>
      <c r="N143" s="18">
        <f t="shared" si="23"/>
        <v>891.5</v>
      </c>
      <c r="O143" s="18">
        <f>IF(OR($B143="",Comparateur!E$17&lt;&gt;"OK",$B143&gt;Comparateur!E$11),"",ROUND(R142*Comparateur!E$10/12,2))</f>
        <v>349.5</v>
      </c>
      <c r="P143" s="18">
        <f>IF(O143="","",IF($B143=Comparateur!E$11,R142,Comparateur!E$20-O143))</f>
        <v>556.46</v>
      </c>
      <c r="Q143" s="18">
        <f>IF(O143="","",ROUND(IF(Comparateur!E$12=Paramètres!$B$36,Comparateur!E$9,R142)*Comparateur!E$13/12,2))</f>
        <v>30</v>
      </c>
      <c r="R143" s="31">
        <f t="shared" si="24"/>
        <v>117584.21</v>
      </c>
      <c r="S143" s="18">
        <f t="shared" si="25"/>
        <v>935.96</v>
      </c>
      <c r="T143" s="18">
        <f t="shared" si="26"/>
        <v>905.96</v>
      </c>
    </row>
    <row r="144" spans="2:20" x14ac:dyDescent="0.35">
      <c r="B144" s="29">
        <f>IF(B143="","",IF(B143+1&gt;Comparateur!$C$47,"",B143+1))</f>
        <v>137</v>
      </c>
      <c r="C144" s="18">
        <f>IF(OR($B144="",Comparateur!C$17&lt;&gt;"OK",$B144&gt;Comparateur!C$11),"",ROUND(F143*Comparateur!C$10/12,2))</f>
        <v>314.25</v>
      </c>
      <c r="D144" s="18">
        <f>IF(C144="","",IF($B144=Comparateur!C$11,F143,Comparateur!C$20-C144))</f>
        <v>562.91999999999996</v>
      </c>
      <c r="E144" s="18">
        <f>IF(C144="","",ROUND(IF(Comparateur!C$12=Paramètres!$B$36,Comparateur!C$9,F143)*Comparateur!C$13/12,2))</f>
        <v>63</v>
      </c>
      <c r="F144" s="31">
        <f t="shared" si="18"/>
        <v>115468.24</v>
      </c>
      <c r="G144" s="18">
        <f t="shared" si="19"/>
        <v>940.17</v>
      </c>
      <c r="H144" s="18">
        <f t="shared" si="20"/>
        <v>877.17</v>
      </c>
      <c r="I144" s="18">
        <f>IF(OR($B144="",Comparateur!D$17&lt;&gt;"OK",$B144&gt;Comparateur!D$11),"",ROUND(L143*Comparateur!D$10/12,2))</f>
        <v>330.96</v>
      </c>
      <c r="J144" s="18">
        <f>IF(I144="","",IF($B144=Comparateur!D$11,L143,Comparateur!D$20-I144))</f>
        <v>560.54</v>
      </c>
      <c r="K144" s="18">
        <f>IF(I144="","",ROUND(IF(Comparateur!D$12=Paramètres!$B$36,Comparateur!D$9,L143)*Comparateur!D$13/12,2))</f>
        <v>17.52</v>
      </c>
      <c r="L144" s="31">
        <f t="shared" si="21"/>
        <v>116249.13</v>
      </c>
      <c r="M144" s="18">
        <f t="shared" si="22"/>
        <v>909.02</v>
      </c>
      <c r="N144" s="18">
        <f t="shared" si="23"/>
        <v>891.5</v>
      </c>
      <c r="O144" s="18">
        <f>IF(OR($B144="",Comparateur!E$17&lt;&gt;"OK",$B144&gt;Comparateur!E$11),"",ROUND(R143*Comparateur!E$10/12,2))</f>
        <v>347.85</v>
      </c>
      <c r="P144" s="18">
        <f>IF(O144="","",IF($B144=Comparateur!E$11,R143,Comparateur!E$20-O144))</f>
        <v>558.11</v>
      </c>
      <c r="Q144" s="18">
        <f>IF(O144="","",ROUND(IF(Comparateur!E$12=Paramètres!$B$36,Comparateur!E$9,R143)*Comparateur!E$13/12,2))</f>
        <v>30</v>
      </c>
      <c r="R144" s="31">
        <f t="shared" si="24"/>
        <v>117026.1</v>
      </c>
      <c r="S144" s="18">
        <f t="shared" si="25"/>
        <v>935.96</v>
      </c>
      <c r="T144" s="18">
        <f t="shared" si="26"/>
        <v>905.96</v>
      </c>
    </row>
    <row r="145" spans="2:20" x14ac:dyDescent="0.35">
      <c r="B145" s="29">
        <f>IF(B144="","",IF(B144+1&gt;Comparateur!$C$47,"",B144+1))</f>
        <v>138</v>
      </c>
      <c r="C145" s="18">
        <f>IF(OR($B145="",Comparateur!C$17&lt;&gt;"OK",$B145&gt;Comparateur!C$11),"",ROUND(F144*Comparateur!C$10/12,2))</f>
        <v>312.73</v>
      </c>
      <c r="D145" s="18">
        <f>IF(C145="","",IF($B145=Comparateur!C$11,F144,Comparateur!C$20-C145))</f>
        <v>564.43999999999994</v>
      </c>
      <c r="E145" s="18">
        <f>IF(C145="","",ROUND(IF(Comparateur!C$12=Paramètres!$B$36,Comparateur!C$9,F144)*Comparateur!C$13/12,2))</f>
        <v>63</v>
      </c>
      <c r="F145" s="31">
        <f t="shared" si="18"/>
        <v>114903.8</v>
      </c>
      <c r="G145" s="18">
        <f t="shared" si="19"/>
        <v>940.17</v>
      </c>
      <c r="H145" s="18">
        <f t="shared" si="20"/>
        <v>877.17</v>
      </c>
      <c r="I145" s="18">
        <f>IF(OR($B145="",Comparateur!D$17&lt;&gt;"OK",$B145&gt;Comparateur!D$11),"",ROUND(L144*Comparateur!D$10/12,2))</f>
        <v>329.37</v>
      </c>
      <c r="J145" s="18">
        <f>IF(I145="","",IF($B145=Comparateur!D$11,L144,Comparateur!D$20-I145))</f>
        <v>562.13</v>
      </c>
      <c r="K145" s="18">
        <f>IF(I145="","",ROUND(IF(Comparateur!D$12=Paramètres!$B$36,Comparateur!D$9,L144)*Comparateur!D$13/12,2))</f>
        <v>17.440000000000001</v>
      </c>
      <c r="L145" s="31">
        <f t="shared" si="21"/>
        <v>115687</v>
      </c>
      <c r="M145" s="18">
        <f t="shared" si="22"/>
        <v>908.94</v>
      </c>
      <c r="N145" s="18">
        <f t="shared" si="23"/>
        <v>891.5</v>
      </c>
      <c r="O145" s="18">
        <f>IF(OR($B145="",Comparateur!E$17&lt;&gt;"OK",$B145&gt;Comparateur!E$11),"",ROUND(R144*Comparateur!E$10/12,2))</f>
        <v>346.2</v>
      </c>
      <c r="P145" s="18">
        <f>IF(O145="","",IF($B145=Comparateur!E$11,R144,Comparateur!E$20-O145))</f>
        <v>559.76</v>
      </c>
      <c r="Q145" s="18">
        <f>IF(O145="","",ROUND(IF(Comparateur!E$12=Paramètres!$B$36,Comparateur!E$9,R144)*Comparateur!E$13/12,2))</f>
        <v>30</v>
      </c>
      <c r="R145" s="31">
        <f t="shared" si="24"/>
        <v>116466.34</v>
      </c>
      <c r="S145" s="18">
        <f t="shared" si="25"/>
        <v>935.96</v>
      </c>
      <c r="T145" s="18">
        <f t="shared" si="26"/>
        <v>905.96</v>
      </c>
    </row>
    <row r="146" spans="2:20" x14ac:dyDescent="0.35">
      <c r="B146" s="29">
        <f>IF(B145="","",IF(B145+1&gt;Comparateur!$C$47,"",B145+1))</f>
        <v>139</v>
      </c>
      <c r="C146" s="18">
        <f>IF(OR($B146="",Comparateur!C$17&lt;&gt;"OK",$B146&gt;Comparateur!C$11),"",ROUND(F145*Comparateur!C$10/12,2))</f>
        <v>311.2</v>
      </c>
      <c r="D146" s="18">
        <f>IF(C146="","",IF($B146=Comparateur!C$11,F145,Comparateur!C$20-C146))</f>
        <v>565.97</v>
      </c>
      <c r="E146" s="18">
        <f>IF(C146="","",ROUND(IF(Comparateur!C$12=Paramètres!$B$36,Comparateur!C$9,F145)*Comparateur!C$13/12,2))</f>
        <v>63</v>
      </c>
      <c r="F146" s="31">
        <f t="shared" si="18"/>
        <v>114337.83</v>
      </c>
      <c r="G146" s="18">
        <f t="shared" si="19"/>
        <v>940.17000000000007</v>
      </c>
      <c r="H146" s="18">
        <f t="shared" si="20"/>
        <v>877.17000000000007</v>
      </c>
      <c r="I146" s="18">
        <f>IF(OR($B146="",Comparateur!D$17&lt;&gt;"OK",$B146&gt;Comparateur!D$11),"",ROUND(L145*Comparateur!D$10/12,2))</f>
        <v>327.78</v>
      </c>
      <c r="J146" s="18">
        <f>IF(I146="","",IF($B146=Comparateur!D$11,L145,Comparateur!D$20-I146))</f>
        <v>563.72</v>
      </c>
      <c r="K146" s="18">
        <f>IF(I146="","",ROUND(IF(Comparateur!D$12=Paramètres!$B$36,Comparateur!D$9,L145)*Comparateur!D$13/12,2))</f>
        <v>17.350000000000001</v>
      </c>
      <c r="L146" s="31">
        <f t="shared" si="21"/>
        <v>115123.28</v>
      </c>
      <c r="M146" s="18">
        <f t="shared" si="22"/>
        <v>908.85</v>
      </c>
      <c r="N146" s="18">
        <f t="shared" si="23"/>
        <v>891.5</v>
      </c>
      <c r="O146" s="18">
        <f>IF(OR($B146="",Comparateur!E$17&lt;&gt;"OK",$B146&gt;Comparateur!E$11),"",ROUND(R145*Comparateur!E$10/12,2))</f>
        <v>344.55</v>
      </c>
      <c r="P146" s="18">
        <f>IF(O146="","",IF($B146=Comparateur!E$11,R145,Comparateur!E$20-O146))</f>
        <v>561.41000000000008</v>
      </c>
      <c r="Q146" s="18">
        <f>IF(O146="","",ROUND(IF(Comparateur!E$12=Paramètres!$B$36,Comparateur!E$9,R145)*Comparateur!E$13/12,2))</f>
        <v>30</v>
      </c>
      <c r="R146" s="31">
        <f t="shared" si="24"/>
        <v>115904.93</v>
      </c>
      <c r="S146" s="18">
        <f t="shared" si="25"/>
        <v>935.96</v>
      </c>
      <c r="T146" s="18">
        <f t="shared" si="26"/>
        <v>905.96</v>
      </c>
    </row>
    <row r="147" spans="2:20" x14ac:dyDescent="0.35">
      <c r="B147" s="29">
        <f>IF(B146="","",IF(B146+1&gt;Comparateur!$C$47,"",B146+1))</f>
        <v>140</v>
      </c>
      <c r="C147" s="18">
        <f>IF(OR($B147="",Comparateur!C$17&lt;&gt;"OK",$B147&gt;Comparateur!C$11),"",ROUND(F146*Comparateur!C$10/12,2))</f>
        <v>309.66000000000003</v>
      </c>
      <c r="D147" s="18">
        <f>IF(C147="","",IF($B147=Comparateur!C$11,F146,Comparateur!C$20-C147))</f>
        <v>567.51</v>
      </c>
      <c r="E147" s="18">
        <f>IF(C147="","",ROUND(IF(Comparateur!C$12=Paramètres!$B$36,Comparateur!C$9,F146)*Comparateur!C$13/12,2))</f>
        <v>63</v>
      </c>
      <c r="F147" s="31">
        <f t="shared" si="18"/>
        <v>113770.32</v>
      </c>
      <c r="G147" s="18">
        <f t="shared" si="19"/>
        <v>940.17000000000007</v>
      </c>
      <c r="H147" s="18">
        <f t="shared" si="20"/>
        <v>877.17000000000007</v>
      </c>
      <c r="I147" s="18">
        <f>IF(OR($B147="",Comparateur!D$17&lt;&gt;"OK",$B147&gt;Comparateur!D$11),"",ROUND(L146*Comparateur!D$10/12,2))</f>
        <v>326.18</v>
      </c>
      <c r="J147" s="18">
        <f>IF(I147="","",IF($B147=Comparateur!D$11,L146,Comparateur!D$20-I147))</f>
        <v>565.31999999999994</v>
      </c>
      <c r="K147" s="18">
        <f>IF(I147="","",ROUND(IF(Comparateur!D$12=Paramètres!$B$36,Comparateur!D$9,L146)*Comparateur!D$13/12,2))</f>
        <v>17.27</v>
      </c>
      <c r="L147" s="31">
        <f t="shared" si="21"/>
        <v>114557.96</v>
      </c>
      <c r="M147" s="18">
        <f t="shared" si="22"/>
        <v>908.77</v>
      </c>
      <c r="N147" s="18">
        <f t="shared" si="23"/>
        <v>891.5</v>
      </c>
      <c r="O147" s="18">
        <f>IF(OR($B147="",Comparateur!E$17&lt;&gt;"OK",$B147&gt;Comparateur!E$11),"",ROUND(R146*Comparateur!E$10/12,2))</f>
        <v>342.89</v>
      </c>
      <c r="P147" s="18">
        <f>IF(O147="","",IF($B147=Comparateur!E$11,R146,Comparateur!E$20-O147))</f>
        <v>563.07000000000005</v>
      </c>
      <c r="Q147" s="18">
        <f>IF(O147="","",ROUND(IF(Comparateur!E$12=Paramètres!$B$36,Comparateur!E$9,R146)*Comparateur!E$13/12,2))</f>
        <v>30</v>
      </c>
      <c r="R147" s="31">
        <f t="shared" si="24"/>
        <v>115341.86</v>
      </c>
      <c r="S147" s="18">
        <f t="shared" si="25"/>
        <v>935.96</v>
      </c>
      <c r="T147" s="18">
        <f t="shared" si="26"/>
        <v>905.96</v>
      </c>
    </row>
    <row r="148" spans="2:20" x14ac:dyDescent="0.35">
      <c r="B148" s="29">
        <f>IF(B147="","",IF(B147+1&gt;Comparateur!$C$47,"",B147+1))</f>
        <v>141</v>
      </c>
      <c r="C148" s="18">
        <f>IF(OR($B148="",Comparateur!C$17&lt;&gt;"OK",$B148&gt;Comparateur!C$11),"",ROUND(F147*Comparateur!C$10/12,2))</f>
        <v>308.13</v>
      </c>
      <c r="D148" s="18">
        <f>IF(C148="","",IF($B148=Comparateur!C$11,F147,Comparateur!C$20-C148))</f>
        <v>569.04</v>
      </c>
      <c r="E148" s="18">
        <f>IF(C148="","",ROUND(IF(Comparateur!C$12=Paramètres!$B$36,Comparateur!C$9,F147)*Comparateur!C$13/12,2))</f>
        <v>63</v>
      </c>
      <c r="F148" s="31">
        <f t="shared" si="18"/>
        <v>113201.28</v>
      </c>
      <c r="G148" s="18">
        <f t="shared" si="19"/>
        <v>940.17</v>
      </c>
      <c r="H148" s="18">
        <f t="shared" si="20"/>
        <v>877.17</v>
      </c>
      <c r="I148" s="18">
        <f>IF(OR($B148="",Comparateur!D$17&lt;&gt;"OK",$B148&gt;Comparateur!D$11),"",ROUND(L147*Comparateur!D$10/12,2))</f>
        <v>324.58</v>
      </c>
      <c r="J148" s="18">
        <f>IF(I148="","",IF($B148=Comparateur!D$11,L147,Comparateur!D$20-I148))</f>
        <v>566.92000000000007</v>
      </c>
      <c r="K148" s="18">
        <f>IF(I148="","",ROUND(IF(Comparateur!D$12=Paramètres!$B$36,Comparateur!D$9,L147)*Comparateur!D$13/12,2))</f>
        <v>17.18</v>
      </c>
      <c r="L148" s="31">
        <f t="shared" si="21"/>
        <v>113991.03999999999</v>
      </c>
      <c r="M148" s="18">
        <f t="shared" si="22"/>
        <v>908.68</v>
      </c>
      <c r="N148" s="18">
        <f t="shared" si="23"/>
        <v>891.5</v>
      </c>
      <c r="O148" s="18">
        <f>IF(OR($B148="",Comparateur!E$17&lt;&gt;"OK",$B148&gt;Comparateur!E$11),"",ROUND(R147*Comparateur!E$10/12,2))</f>
        <v>341.22</v>
      </c>
      <c r="P148" s="18">
        <f>IF(O148="","",IF($B148=Comparateur!E$11,R147,Comparateur!E$20-O148))</f>
        <v>564.74</v>
      </c>
      <c r="Q148" s="18">
        <f>IF(O148="","",ROUND(IF(Comparateur!E$12=Paramètres!$B$36,Comparateur!E$9,R147)*Comparateur!E$13/12,2))</f>
        <v>30</v>
      </c>
      <c r="R148" s="31">
        <f t="shared" si="24"/>
        <v>114777.12</v>
      </c>
      <c r="S148" s="18">
        <f t="shared" si="25"/>
        <v>935.96</v>
      </c>
      <c r="T148" s="18">
        <f t="shared" si="26"/>
        <v>905.96</v>
      </c>
    </row>
    <row r="149" spans="2:20" x14ac:dyDescent="0.35">
      <c r="B149" s="29">
        <f>IF(B148="","",IF(B148+1&gt;Comparateur!$C$47,"",B148+1))</f>
        <v>142</v>
      </c>
      <c r="C149" s="18">
        <f>IF(OR($B149="",Comparateur!C$17&lt;&gt;"OK",$B149&gt;Comparateur!C$11),"",ROUND(F148*Comparateur!C$10/12,2))</f>
        <v>306.58999999999997</v>
      </c>
      <c r="D149" s="18">
        <f>IF(C149="","",IF($B149=Comparateur!C$11,F148,Comparateur!C$20-C149))</f>
        <v>570.57999999999993</v>
      </c>
      <c r="E149" s="18">
        <f>IF(C149="","",ROUND(IF(Comparateur!C$12=Paramètres!$B$36,Comparateur!C$9,F148)*Comparateur!C$13/12,2))</f>
        <v>63</v>
      </c>
      <c r="F149" s="31">
        <f t="shared" si="18"/>
        <v>112630.7</v>
      </c>
      <c r="G149" s="18">
        <f t="shared" si="19"/>
        <v>940.16999999999985</v>
      </c>
      <c r="H149" s="18">
        <f t="shared" si="20"/>
        <v>877.16999999999985</v>
      </c>
      <c r="I149" s="18">
        <f>IF(OR($B149="",Comparateur!D$17&lt;&gt;"OK",$B149&gt;Comparateur!D$11),"",ROUND(L148*Comparateur!D$10/12,2))</f>
        <v>322.97000000000003</v>
      </c>
      <c r="J149" s="18">
        <f>IF(I149="","",IF($B149=Comparateur!D$11,L148,Comparateur!D$20-I149))</f>
        <v>568.53</v>
      </c>
      <c r="K149" s="18">
        <f>IF(I149="","",ROUND(IF(Comparateur!D$12=Paramètres!$B$36,Comparateur!D$9,L148)*Comparateur!D$13/12,2))</f>
        <v>17.100000000000001</v>
      </c>
      <c r="L149" s="31">
        <f t="shared" si="21"/>
        <v>113422.51</v>
      </c>
      <c r="M149" s="18">
        <f t="shared" si="22"/>
        <v>908.6</v>
      </c>
      <c r="N149" s="18">
        <f t="shared" si="23"/>
        <v>891.5</v>
      </c>
      <c r="O149" s="18">
        <f>IF(OR($B149="",Comparateur!E$17&lt;&gt;"OK",$B149&gt;Comparateur!E$11),"",ROUND(R148*Comparateur!E$10/12,2))</f>
        <v>339.55</v>
      </c>
      <c r="P149" s="18">
        <f>IF(O149="","",IF($B149=Comparateur!E$11,R148,Comparateur!E$20-O149))</f>
        <v>566.41000000000008</v>
      </c>
      <c r="Q149" s="18">
        <f>IF(O149="","",ROUND(IF(Comparateur!E$12=Paramètres!$B$36,Comparateur!E$9,R148)*Comparateur!E$13/12,2))</f>
        <v>30</v>
      </c>
      <c r="R149" s="31">
        <f t="shared" si="24"/>
        <v>114210.71</v>
      </c>
      <c r="S149" s="18">
        <f t="shared" si="25"/>
        <v>935.96</v>
      </c>
      <c r="T149" s="18">
        <f t="shared" si="26"/>
        <v>905.96</v>
      </c>
    </row>
    <row r="150" spans="2:20" x14ac:dyDescent="0.35">
      <c r="B150" s="29">
        <f>IF(B149="","",IF(B149+1&gt;Comparateur!$C$47,"",B149+1))</f>
        <v>143</v>
      </c>
      <c r="C150" s="18">
        <f>IF(OR($B150="",Comparateur!C$17&lt;&gt;"OK",$B150&gt;Comparateur!C$11),"",ROUND(F149*Comparateur!C$10/12,2))</f>
        <v>305.04000000000002</v>
      </c>
      <c r="D150" s="18">
        <f>IF(C150="","",IF($B150=Comparateur!C$11,F149,Comparateur!C$20-C150))</f>
        <v>572.12999999999988</v>
      </c>
      <c r="E150" s="18">
        <f>IF(C150="","",ROUND(IF(Comparateur!C$12=Paramètres!$B$36,Comparateur!C$9,F149)*Comparateur!C$13/12,2))</f>
        <v>63</v>
      </c>
      <c r="F150" s="31">
        <f t="shared" si="18"/>
        <v>112058.57</v>
      </c>
      <c r="G150" s="18">
        <f t="shared" si="19"/>
        <v>940.16999999999985</v>
      </c>
      <c r="H150" s="18">
        <f t="shared" si="20"/>
        <v>877.16999999999985</v>
      </c>
      <c r="I150" s="18">
        <f>IF(OR($B150="",Comparateur!D$17&lt;&gt;"OK",$B150&gt;Comparateur!D$11),"",ROUND(L149*Comparateur!D$10/12,2))</f>
        <v>321.36</v>
      </c>
      <c r="J150" s="18">
        <f>IF(I150="","",IF($B150=Comparateur!D$11,L149,Comparateur!D$20-I150))</f>
        <v>570.14</v>
      </c>
      <c r="K150" s="18">
        <f>IF(I150="","",ROUND(IF(Comparateur!D$12=Paramètres!$B$36,Comparateur!D$9,L149)*Comparateur!D$13/12,2))</f>
        <v>17.010000000000002</v>
      </c>
      <c r="L150" s="31">
        <f t="shared" si="21"/>
        <v>112852.37</v>
      </c>
      <c r="M150" s="18">
        <f t="shared" si="22"/>
        <v>908.51</v>
      </c>
      <c r="N150" s="18">
        <f t="shared" si="23"/>
        <v>891.5</v>
      </c>
      <c r="O150" s="18">
        <f>IF(OR($B150="",Comparateur!E$17&lt;&gt;"OK",$B150&gt;Comparateur!E$11),"",ROUND(R149*Comparateur!E$10/12,2))</f>
        <v>337.87</v>
      </c>
      <c r="P150" s="18">
        <f>IF(O150="","",IF($B150=Comparateur!E$11,R149,Comparateur!E$20-O150))</f>
        <v>568.09</v>
      </c>
      <c r="Q150" s="18">
        <f>IF(O150="","",ROUND(IF(Comparateur!E$12=Paramètres!$B$36,Comparateur!E$9,R149)*Comparateur!E$13/12,2))</f>
        <v>30</v>
      </c>
      <c r="R150" s="31">
        <f t="shared" si="24"/>
        <v>113642.62</v>
      </c>
      <c r="S150" s="18">
        <f t="shared" si="25"/>
        <v>935.96</v>
      </c>
      <c r="T150" s="18">
        <f t="shared" si="26"/>
        <v>905.96</v>
      </c>
    </row>
    <row r="151" spans="2:20" x14ac:dyDescent="0.35">
      <c r="B151" s="29">
        <f>IF(B150="","",IF(B150+1&gt;Comparateur!$C$47,"",B150+1))</f>
        <v>144</v>
      </c>
      <c r="C151" s="18">
        <f>IF(OR($B151="",Comparateur!C$17&lt;&gt;"OK",$B151&gt;Comparateur!C$11),"",ROUND(F150*Comparateur!C$10/12,2))</f>
        <v>303.49</v>
      </c>
      <c r="D151" s="18">
        <f>IF(C151="","",IF($B151=Comparateur!C$11,F150,Comparateur!C$20-C151))</f>
        <v>573.67999999999995</v>
      </c>
      <c r="E151" s="18">
        <f>IF(C151="","",ROUND(IF(Comparateur!C$12=Paramètres!$B$36,Comparateur!C$9,F150)*Comparateur!C$13/12,2))</f>
        <v>63</v>
      </c>
      <c r="F151" s="31">
        <f t="shared" si="18"/>
        <v>111484.89</v>
      </c>
      <c r="G151" s="18">
        <f t="shared" si="19"/>
        <v>940.17</v>
      </c>
      <c r="H151" s="18">
        <f t="shared" si="20"/>
        <v>877.17</v>
      </c>
      <c r="I151" s="18">
        <f>IF(OR($B151="",Comparateur!D$17&lt;&gt;"OK",$B151&gt;Comparateur!D$11),"",ROUND(L150*Comparateur!D$10/12,2))</f>
        <v>319.75</v>
      </c>
      <c r="J151" s="18">
        <f>IF(I151="","",IF($B151=Comparateur!D$11,L150,Comparateur!D$20-I151))</f>
        <v>571.75</v>
      </c>
      <c r="K151" s="18">
        <f>IF(I151="","",ROUND(IF(Comparateur!D$12=Paramètres!$B$36,Comparateur!D$9,L150)*Comparateur!D$13/12,2))</f>
        <v>16.93</v>
      </c>
      <c r="L151" s="31">
        <f t="shared" si="21"/>
        <v>112280.62</v>
      </c>
      <c r="M151" s="18">
        <f t="shared" si="22"/>
        <v>908.43</v>
      </c>
      <c r="N151" s="18">
        <f t="shared" si="23"/>
        <v>891.5</v>
      </c>
      <c r="O151" s="18">
        <f>IF(OR($B151="",Comparateur!E$17&lt;&gt;"OK",$B151&gt;Comparateur!E$11),"",ROUND(R150*Comparateur!E$10/12,2))</f>
        <v>336.19</v>
      </c>
      <c r="P151" s="18">
        <f>IF(O151="","",IF($B151=Comparateur!E$11,R150,Comparateur!E$20-O151))</f>
        <v>569.77</v>
      </c>
      <c r="Q151" s="18">
        <f>IF(O151="","",ROUND(IF(Comparateur!E$12=Paramètres!$B$36,Comparateur!E$9,R150)*Comparateur!E$13/12,2))</f>
        <v>30</v>
      </c>
      <c r="R151" s="31">
        <f t="shared" si="24"/>
        <v>113072.85</v>
      </c>
      <c r="S151" s="18">
        <f t="shared" si="25"/>
        <v>935.96</v>
      </c>
      <c r="T151" s="18">
        <f t="shared" si="26"/>
        <v>905.96</v>
      </c>
    </row>
    <row r="152" spans="2:20" x14ac:dyDescent="0.35">
      <c r="B152" s="29">
        <f>IF(B151="","",IF(B151+1&gt;Comparateur!$C$47,"",B151+1))</f>
        <v>145</v>
      </c>
      <c r="C152" s="18">
        <f>IF(OR($B152="",Comparateur!C$17&lt;&gt;"OK",$B152&gt;Comparateur!C$11),"",ROUND(F151*Comparateur!C$10/12,2))</f>
        <v>301.94</v>
      </c>
      <c r="D152" s="18">
        <f>IF(C152="","",IF($B152=Comparateur!C$11,F151,Comparateur!C$20-C152))</f>
        <v>575.23</v>
      </c>
      <c r="E152" s="18">
        <f>IF(C152="","",ROUND(IF(Comparateur!C$12=Paramètres!$B$36,Comparateur!C$9,F151)*Comparateur!C$13/12,2))</f>
        <v>63</v>
      </c>
      <c r="F152" s="31">
        <f t="shared" si="18"/>
        <v>110909.66</v>
      </c>
      <c r="G152" s="18">
        <f t="shared" si="19"/>
        <v>940.17000000000007</v>
      </c>
      <c r="H152" s="18">
        <f t="shared" si="20"/>
        <v>877.17000000000007</v>
      </c>
      <c r="I152" s="18">
        <f>IF(OR($B152="",Comparateur!D$17&lt;&gt;"OK",$B152&gt;Comparateur!D$11),"",ROUND(L151*Comparateur!D$10/12,2))</f>
        <v>318.13</v>
      </c>
      <c r="J152" s="18">
        <f>IF(I152="","",IF($B152=Comparateur!D$11,L151,Comparateur!D$20-I152))</f>
        <v>573.37</v>
      </c>
      <c r="K152" s="18">
        <f>IF(I152="","",ROUND(IF(Comparateur!D$12=Paramètres!$B$36,Comparateur!D$9,L151)*Comparateur!D$13/12,2))</f>
        <v>16.84</v>
      </c>
      <c r="L152" s="31">
        <f t="shared" si="21"/>
        <v>111707.25</v>
      </c>
      <c r="M152" s="18">
        <f t="shared" si="22"/>
        <v>908.34</v>
      </c>
      <c r="N152" s="18">
        <f t="shared" si="23"/>
        <v>891.5</v>
      </c>
      <c r="O152" s="18">
        <f>IF(OR($B152="",Comparateur!E$17&lt;&gt;"OK",$B152&gt;Comparateur!E$11),"",ROUND(R151*Comparateur!E$10/12,2))</f>
        <v>334.51</v>
      </c>
      <c r="P152" s="18">
        <f>IF(O152="","",IF($B152=Comparateur!E$11,R151,Comparateur!E$20-O152))</f>
        <v>571.45000000000005</v>
      </c>
      <c r="Q152" s="18">
        <f>IF(O152="","",ROUND(IF(Comparateur!E$12=Paramètres!$B$36,Comparateur!E$9,R151)*Comparateur!E$13/12,2))</f>
        <v>30</v>
      </c>
      <c r="R152" s="31">
        <f t="shared" si="24"/>
        <v>112501.4</v>
      </c>
      <c r="S152" s="18">
        <f t="shared" si="25"/>
        <v>935.96</v>
      </c>
      <c r="T152" s="18">
        <f t="shared" si="26"/>
        <v>905.96</v>
      </c>
    </row>
    <row r="153" spans="2:20" x14ac:dyDescent="0.35">
      <c r="B153" s="29">
        <f>IF(B152="","",IF(B152+1&gt;Comparateur!$C$47,"",B152+1))</f>
        <v>146</v>
      </c>
      <c r="C153" s="18">
        <f>IF(OR($B153="",Comparateur!C$17&lt;&gt;"OK",$B153&gt;Comparateur!C$11),"",ROUND(F152*Comparateur!C$10/12,2))</f>
        <v>300.38</v>
      </c>
      <c r="D153" s="18">
        <f>IF(C153="","",IF($B153=Comparateur!C$11,F152,Comparateur!C$20-C153))</f>
        <v>576.79</v>
      </c>
      <c r="E153" s="18">
        <f>IF(C153="","",ROUND(IF(Comparateur!C$12=Paramètres!$B$36,Comparateur!C$9,F152)*Comparateur!C$13/12,2))</f>
        <v>63</v>
      </c>
      <c r="F153" s="31">
        <f t="shared" si="18"/>
        <v>110332.87</v>
      </c>
      <c r="G153" s="18">
        <f t="shared" si="19"/>
        <v>940.17</v>
      </c>
      <c r="H153" s="18">
        <f t="shared" si="20"/>
        <v>877.17</v>
      </c>
      <c r="I153" s="18">
        <f>IF(OR($B153="",Comparateur!D$17&lt;&gt;"OK",$B153&gt;Comparateur!D$11),"",ROUND(L152*Comparateur!D$10/12,2))</f>
        <v>316.5</v>
      </c>
      <c r="J153" s="18">
        <f>IF(I153="","",IF($B153=Comparateur!D$11,L152,Comparateur!D$20-I153))</f>
        <v>575</v>
      </c>
      <c r="K153" s="18">
        <f>IF(I153="","",ROUND(IF(Comparateur!D$12=Paramètres!$B$36,Comparateur!D$9,L152)*Comparateur!D$13/12,2))</f>
        <v>16.760000000000002</v>
      </c>
      <c r="L153" s="31">
        <f t="shared" si="21"/>
        <v>111132.25</v>
      </c>
      <c r="M153" s="18">
        <f t="shared" si="22"/>
        <v>908.26</v>
      </c>
      <c r="N153" s="18">
        <f t="shared" si="23"/>
        <v>891.5</v>
      </c>
      <c r="O153" s="18">
        <f>IF(OR($B153="",Comparateur!E$17&lt;&gt;"OK",$B153&gt;Comparateur!E$11),"",ROUND(R152*Comparateur!E$10/12,2))</f>
        <v>332.82</v>
      </c>
      <c r="P153" s="18">
        <f>IF(O153="","",IF($B153=Comparateur!E$11,R152,Comparateur!E$20-O153))</f>
        <v>573.1400000000001</v>
      </c>
      <c r="Q153" s="18">
        <f>IF(O153="","",ROUND(IF(Comparateur!E$12=Paramètres!$B$36,Comparateur!E$9,R152)*Comparateur!E$13/12,2))</f>
        <v>30</v>
      </c>
      <c r="R153" s="31">
        <f t="shared" si="24"/>
        <v>111928.26</v>
      </c>
      <c r="S153" s="18">
        <f t="shared" si="25"/>
        <v>935.96</v>
      </c>
      <c r="T153" s="18">
        <f t="shared" si="26"/>
        <v>905.96</v>
      </c>
    </row>
    <row r="154" spans="2:20" x14ac:dyDescent="0.35">
      <c r="B154" s="29">
        <f>IF(B153="","",IF(B153+1&gt;Comparateur!$C$47,"",B153+1))</f>
        <v>147</v>
      </c>
      <c r="C154" s="18">
        <f>IF(OR($B154="",Comparateur!C$17&lt;&gt;"OK",$B154&gt;Comparateur!C$11),"",ROUND(F153*Comparateur!C$10/12,2))</f>
        <v>298.82</v>
      </c>
      <c r="D154" s="18">
        <f>IF(C154="","",IF($B154=Comparateur!C$11,F153,Comparateur!C$20-C154))</f>
        <v>578.34999999999991</v>
      </c>
      <c r="E154" s="18">
        <f>IF(C154="","",ROUND(IF(Comparateur!C$12=Paramètres!$B$36,Comparateur!C$9,F153)*Comparateur!C$13/12,2))</f>
        <v>63</v>
      </c>
      <c r="F154" s="31">
        <f t="shared" si="18"/>
        <v>109754.52</v>
      </c>
      <c r="G154" s="18">
        <f t="shared" si="19"/>
        <v>940.16999999999985</v>
      </c>
      <c r="H154" s="18">
        <f t="shared" si="20"/>
        <v>877.16999999999985</v>
      </c>
      <c r="I154" s="18">
        <f>IF(OR($B154="",Comparateur!D$17&lt;&gt;"OK",$B154&gt;Comparateur!D$11),"",ROUND(L153*Comparateur!D$10/12,2))</f>
        <v>314.87</v>
      </c>
      <c r="J154" s="18">
        <f>IF(I154="","",IF($B154=Comparateur!D$11,L153,Comparateur!D$20-I154))</f>
        <v>576.63</v>
      </c>
      <c r="K154" s="18">
        <f>IF(I154="","",ROUND(IF(Comparateur!D$12=Paramètres!$B$36,Comparateur!D$9,L153)*Comparateur!D$13/12,2))</f>
        <v>16.670000000000002</v>
      </c>
      <c r="L154" s="31">
        <f t="shared" si="21"/>
        <v>110555.62</v>
      </c>
      <c r="M154" s="18">
        <f t="shared" si="22"/>
        <v>908.17</v>
      </c>
      <c r="N154" s="18">
        <f t="shared" si="23"/>
        <v>891.5</v>
      </c>
      <c r="O154" s="18">
        <f>IF(OR($B154="",Comparateur!E$17&lt;&gt;"OK",$B154&gt;Comparateur!E$11),"",ROUND(R153*Comparateur!E$10/12,2))</f>
        <v>331.12</v>
      </c>
      <c r="P154" s="18">
        <f>IF(O154="","",IF($B154=Comparateur!E$11,R153,Comparateur!E$20-O154))</f>
        <v>574.84</v>
      </c>
      <c r="Q154" s="18">
        <f>IF(O154="","",ROUND(IF(Comparateur!E$12=Paramètres!$B$36,Comparateur!E$9,R153)*Comparateur!E$13/12,2))</f>
        <v>30</v>
      </c>
      <c r="R154" s="31">
        <f t="shared" si="24"/>
        <v>111353.42</v>
      </c>
      <c r="S154" s="18">
        <f t="shared" si="25"/>
        <v>935.96</v>
      </c>
      <c r="T154" s="18">
        <f t="shared" si="26"/>
        <v>905.96</v>
      </c>
    </row>
    <row r="155" spans="2:20" x14ac:dyDescent="0.35">
      <c r="B155" s="29">
        <f>IF(B154="","",IF(B154+1&gt;Comparateur!$C$47,"",B154+1))</f>
        <v>148</v>
      </c>
      <c r="C155" s="18">
        <f>IF(OR($B155="",Comparateur!C$17&lt;&gt;"OK",$B155&gt;Comparateur!C$11),"",ROUND(F154*Comparateur!C$10/12,2))</f>
        <v>297.25</v>
      </c>
      <c r="D155" s="18">
        <f>IF(C155="","",IF($B155=Comparateur!C$11,F154,Comparateur!C$20-C155))</f>
        <v>579.91999999999996</v>
      </c>
      <c r="E155" s="18">
        <f>IF(C155="","",ROUND(IF(Comparateur!C$12=Paramètres!$B$36,Comparateur!C$9,F154)*Comparateur!C$13/12,2))</f>
        <v>63</v>
      </c>
      <c r="F155" s="31">
        <f t="shared" si="18"/>
        <v>109174.6</v>
      </c>
      <c r="G155" s="18">
        <f t="shared" si="19"/>
        <v>940.17</v>
      </c>
      <c r="H155" s="18">
        <f t="shared" si="20"/>
        <v>877.17</v>
      </c>
      <c r="I155" s="18">
        <f>IF(OR($B155="",Comparateur!D$17&lt;&gt;"OK",$B155&gt;Comparateur!D$11),"",ROUND(L154*Comparateur!D$10/12,2))</f>
        <v>313.24</v>
      </c>
      <c r="J155" s="18">
        <f>IF(I155="","",IF($B155=Comparateur!D$11,L154,Comparateur!D$20-I155))</f>
        <v>578.26</v>
      </c>
      <c r="K155" s="18">
        <f>IF(I155="","",ROUND(IF(Comparateur!D$12=Paramètres!$B$36,Comparateur!D$9,L154)*Comparateur!D$13/12,2))</f>
        <v>16.579999999999998</v>
      </c>
      <c r="L155" s="31">
        <f t="shared" si="21"/>
        <v>109977.36</v>
      </c>
      <c r="M155" s="18">
        <f t="shared" si="22"/>
        <v>908.08</v>
      </c>
      <c r="N155" s="18">
        <f t="shared" si="23"/>
        <v>891.5</v>
      </c>
      <c r="O155" s="18">
        <f>IF(OR($B155="",Comparateur!E$17&lt;&gt;"OK",$B155&gt;Comparateur!E$11),"",ROUND(R154*Comparateur!E$10/12,2))</f>
        <v>329.42</v>
      </c>
      <c r="P155" s="18">
        <f>IF(O155="","",IF($B155=Comparateur!E$11,R154,Comparateur!E$20-O155))</f>
        <v>576.54</v>
      </c>
      <c r="Q155" s="18">
        <f>IF(O155="","",ROUND(IF(Comparateur!E$12=Paramètres!$B$36,Comparateur!E$9,R154)*Comparateur!E$13/12,2))</f>
        <v>30</v>
      </c>
      <c r="R155" s="31">
        <f t="shared" si="24"/>
        <v>110776.88</v>
      </c>
      <c r="S155" s="18">
        <f t="shared" si="25"/>
        <v>935.96</v>
      </c>
      <c r="T155" s="18">
        <f t="shared" si="26"/>
        <v>905.96</v>
      </c>
    </row>
    <row r="156" spans="2:20" x14ac:dyDescent="0.35">
      <c r="B156" s="29">
        <f>IF(B155="","",IF(B155+1&gt;Comparateur!$C$47,"",B155+1))</f>
        <v>149</v>
      </c>
      <c r="C156" s="18">
        <f>IF(OR($B156="",Comparateur!C$17&lt;&gt;"OK",$B156&gt;Comparateur!C$11),"",ROUND(F155*Comparateur!C$10/12,2))</f>
        <v>295.68</v>
      </c>
      <c r="D156" s="18">
        <f>IF(C156="","",IF($B156=Comparateur!C$11,F155,Comparateur!C$20-C156))</f>
        <v>581.49</v>
      </c>
      <c r="E156" s="18">
        <f>IF(C156="","",ROUND(IF(Comparateur!C$12=Paramètres!$B$36,Comparateur!C$9,F155)*Comparateur!C$13/12,2))</f>
        <v>63</v>
      </c>
      <c r="F156" s="31">
        <f t="shared" si="18"/>
        <v>108593.11</v>
      </c>
      <c r="G156" s="18">
        <f t="shared" si="19"/>
        <v>940.17000000000007</v>
      </c>
      <c r="H156" s="18">
        <f t="shared" si="20"/>
        <v>877.17000000000007</v>
      </c>
      <c r="I156" s="18">
        <f>IF(OR($B156="",Comparateur!D$17&lt;&gt;"OK",$B156&gt;Comparateur!D$11),"",ROUND(L155*Comparateur!D$10/12,2))</f>
        <v>311.60000000000002</v>
      </c>
      <c r="J156" s="18">
        <f>IF(I156="","",IF($B156=Comparateur!D$11,L155,Comparateur!D$20-I156))</f>
        <v>579.9</v>
      </c>
      <c r="K156" s="18">
        <f>IF(I156="","",ROUND(IF(Comparateur!D$12=Paramètres!$B$36,Comparateur!D$9,L155)*Comparateur!D$13/12,2))</f>
        <v>16.5</v>
      </c>
      <c r="L156" s="31">
        <f t="shared" si="21"/>
        <v>109397.46</v>
      </c>
      <c r="M156" s="18">
        <f t="shared" si="22"/>
        <v>908</v>
      </c>
      <c r="N156" s="18">
        <f t="shared" si="23"/>
        <v>891.5</v>
      </c>
      <c r="O156" s="18">
        <f>IF(OR($B156="",Comparateur!E$17&lt;&gt;"OK",$B156&gt;Comparateur!E$11),"",ROUND(R155*Comparateur!E$10/12,2))</f>
        <v>327.71</v>
      </c>
      <c r="P156" s="18">
        <f>IF(O156="","",IF($B156=Comparateur!E$11,R155,Comparateur!E$20-O156))</f>
        <v>578.25</v>
      </c>
      <c r="Q156" s="18">
        <f>IF(O156="","",ROUND(IF(Comparateur!E$12=Paramètres!$B$36,Comparateur!E$9,R155)*Comparateur!E$13/12,2))</f>
        <v>30</v>
      </c>
      <c r="R156" s="31">
        <f t="shared" si="24"/>
        <v>110198.63</v>
      </c>
      <c r="S156" s="18">
        <f t="shared" si="25"/>
        <v>935.96</v>
      </c>
      <c r="T156" s="18">
        <f t="shared" si="26"/>
        <v>905.96</v>
      </c>
    </row>
    <row r="157" spans="2:20" x14ac:dyDescent="0.35">
      <c r="B157" s="29">
        <f>IF(B156="","",IF(B156+1&gt;Comparateur!$C$47,"",B156+1))</f>
        <v>150</v>
      </c>
      <c r="C157" s="18">
        <f>IF(OR($B157="",Comparateur!C$17&lt;&gt;"OK",$B157&gt;Comparateur!C$11),"",ROUND(F156*Comparateur!C$10/12,2))</f>
        <v>294.11</v>
      </c>
      <c r="D157" s="18">
        <f>IF(C157="","",IF($B157=Comparateur!C$11,F156,Comparateur!C$20-C157))</f>
        <v>583.05999999999995</v>
      </c>
      <c r="E157" s="18">
        <f>IF(C157="","",ROUND(IF(Comparateur!C$12=Paramètres!$B$36,Comparateur!C$9,F156)*Comparateur!C$13/12,2))</f>
        <v>63</v>
      </c>
      <c r="F157" s="31">
        <f t="shared" si="18"/>
        <v>108010.05</v>
      </c>
      <c r="G157" s="18">
        <f t="shared" si="19"/>
        <v>940.17</v>
      </c>
      <c r="H157" s="18">
        <f t="shared" si="20"/>
        <v>877.17</v>
      </c>
      <c r="I157" s="18">
        <f>IF(OR($B157="",Comparateur!D$17&lt;&gt;"OK",$B157&gt;Comparateur!D$11),"",ROUND(L156*Comparateur!D$10/12,2))</f>
        <v>309.95999999999998</v>
      </c>
      <c r="J157" s="18">
        <f>IF(I157="","",IF($B157=Comparateur!D$11,L156,Comparateur!D$20-I157))</f>
        <v>581.54</v>
      </c>
      <c r="K157" s="18">
        <f>IF(I157="","",ROUND(IF(Comparateur!D$12=Paramètres!$B$36,Comparateur!D$9,L156)*Comparateur!D$13/12,2))</f>
        <v>16.41</v>
      </c>
      <c r="L157" s="31">
        <f t="shared" si="21"/>
        <v>108815.92</v>
      </c>
      <c r="M157" s="18">
        <f t="shared" si="22"/>
        <v>907.91</v>
      </c>
      <c r="N157" s="18">
        <f t="shared" si="23"/>
        <v>891.5</v>
      </c>
      <c r="O157" s="18">
        <f>IF(OR($B157="",Comparateur!E$17&lt;&gt;"OK",$B157&gt;Comparateur!E$11),"",ROUND(R156*Comparateur!E$10/12,2))</f>
        <v>326</v>
      </c>
      <c r="P157" s="18">
        <f>IF(O157="","",IF($B157=Comparateur!E$11,R156,Comparateur!E$20-O157))</f>
        <v>579.96</v>
      </c>
      <c r="Q157" s="18">
        <f>IF(O157="","",ROUND(IF(Comparateur!E$12=Paramètres!$B$36,Comparateur!E$9,R156)*Comparateur!E$13/12,2))</f>
        <v>30</v>
      </c>
      <c r="R157" s="31">
        <f t="shared" si="24"/>
        <v>109618.67</v>
      </c>
      <c r="S157" s="18">
        <f t="shared" si="25"/>
        <v>935.96</v>
      </c>
      <c r="T157" s="18">
        <f t="shared" si="26"/>
        <v>905.96</v>
      </c>
    </row>
    <row r="158" spans="2:20" x14ac:dyDescent="0.35">
      <c r="B158" s="29">
        <f>IF(B157="","",IF(B157+1&gt;Comparateur!$C$47,"",B157+1))</f>
        <v>151</v>
      </c>
      <c r="C158" s="18">
        <f>IF(OR($B158="",Comparateur!C$17&lt;&gt;"OK",$B158&gt;Comparateur!C$11),"",ROUND(F157*Comparateur!C$10/12,2))</f>
        <v>292.52999999999997</v>
      </c>
      <c r="D158" s="18">
        <f>IF(C158="","",IF($B158=Comparateur!C$11,F157,Comparateur!C$20-C158))</f>
        <v>584.64</v>
      </c>
      <c r="E158" s="18">
        <f>IF(C158="","",ROUND(IF(Comparateur!C$12=Paramètres!$B$36,Comparateur!C$9,F157)*Comparateur!C$13/12,2))</f>
        <v>63</v>
      </c>
      <c r="F158" s="31">
        <f t="shared" si="18"/>
        <v>107425.41</v>
      </c>
      <c r="G158" s="18">
        <f t="shared" si="19"/>
        <v>940.17</v>
      </c>
      <c r="H158" s="18">
        <f t="shared" si="20"/>
        <v>877.17</v>
      </c>
      <c r="I158" s="18">
        <f>IF(OR($B158="",Comparateur!D$17&lt;&gt;"OK",$B158&gt;Comparateur!D$11),"",ROUND(L157*Comparateur!D$10/12,2))</f>
        <v>308.31</v>
      </c>
      <c r="J158" s="18">
        <f>IF(I158="","",IF($B158=Comparateur!D$11,L157,Comparateur!D$20-I158))</f>
        <v>583.19000000000005</v>
      </c>
      <c r="K158" s="18">
        <f>IF(I158="","",ROUND(IF(Comparateur!D$12=Paramètres!$B$36,Comparateur!D$9,L157)*Comparateur!D$13/12,2))</f>
        <v>16.32</v>
      </c>
      <c r="L158" s="31">
        <f t="shared" si="21"/>
        <v>108232.73</v>
      </c>
      <c r="M158" s="18">
        <f t="shared" si="22"/>
        <v>907.82</v>
      </c>
      <c r="N158" s="18">
        <f t="shared" si="23"/>
        <v>891.5</v>
      </c>
      <c r="O158" s="18">
        <f>IF(OR($B158="",Comparateur!E$17&lt;&gt;"OK",$B158&gt;Comparateur!E$11),"",ROUND(R157*Comparateur!E$10/12,2))</f>
        <v>324.29000000000002</v>
      </c>
      <c r="P158" s="18">
        <f>IF(O158="","",IF($B158=Comparateur!E$11,R157,Comparateur!E$20-O158))</f>
        <v>581.67000000000007</v>
      </c>
      <c r="Q158" s="18">
        <f>IF(O158="","",ROUND(IF(Comparateur!E$12=Paramètres!$B$36,Comparateur!E$9,R157)*Comparateur!E$13/12,2))</f>
        <v>30</v>
      </c>
      <c r="R158" s="31">
        <f t="shared" si="24"/>
        <v>109037</v>
      </c>
      <c r="S158" s="18">
        <f t="shared" si="25"/>
        <v>935.96</v>
      </c>
      <c r="T158" s="18">
        <f t="shared" si="26"/>
        <v>905.96</v>
      </c>
    </row>
    <row r="159" spans="2:20" x14ac:dyDescent="0.35">
      <c r="B159" s="29">
        <f>IF(B158="","",IF(B158+1&gt;Comparateur!$C$47,"",B158+1))</f>
        <v>152</v>
      </c>
      <c r="C159" s="18">
        <f>IF(OR($B159="",Comparateur!C$17&lt;&gt;"OK",$B159&gt;Comparateur!C$11),"",ROUND(F158*Comparateur!C$10/12,2))</f>
        <v>290.94</v>
      </c>
      <c r="D159" s="18">
        <f>IF(C159="","",IF($B159=Comparateur!C$11,F158,Comparateur!C$20-C159))</f>
        <v>586.23</v>
      </c>
      <c r="E159" s="18">
        <f>IF(C159="","",ROUND(IF(Comparateur!C$12=Paramètres!$B$36,Comparateur!C$9,F158)*Comparateur!C$13/12,2))</f>
        <v>63</v>
      </c>
      <c r="F159" s="31">
        <f t="shared" si="18"/>
        <v>106839.18</v>
      </c>
      <c r="G159" s="18">
        <f t="shared" si="19"/>
        <v>940.17000000000007</v>
      </c>
      <c r="H159" s="18">
        <f t="shared" si="20"/>
        <v>877.17000000000007</v>
      </c>
      <c r="I159" s="18">
        <f>IF(OR($B159="",Comparateur!D$17&lt;&gt;"OK",$B159&gt;Comparateur!D$11),"",ROUND(L158*Comparateur!D$10/12,2))</f>
        <v>306.66000000000003</v>
      </c>
      <c r="J159" s="18">
        <f>IF(I159="","",IF($B159=Comparateur!D$11,L158,Comparateur!D$20-I159))</f>
        <v>584.83999999999992</v>
      </c>
      <c r="K159" s="18">
        <f>IF(I159="","",ROUND(IF(Comparateur!D$12=Paramètres!$B$36,Comparateur!D$9,L158)*Comparateur!D$13/12,2))</f>
        <v>16.23</v>
      </c>
      <c r="L159" s="31">
        <f t="shared" si="21"/>
        <v>107647.89</v>
      </c>
      <c r="M159" s="18">
        <f t="shared" si="22"/>
        <v>907.73</v>
      </c>
      <c r="N159" s="18">
        <f t="shared" si="23"/>
        <v>891.5</v>
      </c>
      <c r="O159" s="18">
        <f>IF(OR($B159="",Comparateur!E$17&lt;&gt;"OK",$B159&gt;Comparateur!E$11),"",ROUND(R158*Comparateur!E$10/12,2))</f>
        <v>322.57</v>
      </c>
      <c r="P159" s="18">
        <f>IF(O159="","",IF($B159=Comparateur!E$11,R158,Comparateur!E$20-O159))</f>
        <v>583.3900000000001</v>
      </c>
      <c r="Q159" s="18">
        <f>IF(O159="","",ROUND(IF(Comparateur!E$12=Paramètres!$B$36,Comparateur!E$9,R158)*Comparateur!E$13/12,2))</f>
        <v>30</v>
      </c>
      <c r="R159" s="31">
        <f t="shared" si="24"/>
        <v>108453.61</v>
      </c>
      <c r="S159" s="18">
        <f t="shared" si="25"/>
        <v>935.96</v>
      </c>
      <c r="T159" s="18">
        <f t="shared" si="26"/>
        <v>905.96</v>
      </c>
    </row>
    <row r="160" spans="2:20" x14ac:dyDescent="0.35">
      <c r="B160" s="29">
        <f>IF(B159="","",IF(B159+1&gt;Comparateur!$C$47,"",B159+1))</f>
        <v>153</v>
      </c>
      <c r="C160" s="18">
        <f>IF(OR($B160="",Comparateur!C$17&lt;&gt;"OK",$B160&gt;Comparateur!C$11),"",ROUND(F159*Comparateur!C$10/12,2))</f>
        <v>289.36</v>
      </c>
      <c r="D160" s="18">
        <f>IF(C160="","",IF($B160=Comparateur!C$11,F159,Comparateur!C$20-C160))</f>
        <v>587.80999999999995</v>
      </c>
      <c r="E160" s="18">
        <f>IF(C160="","",ROUND(IF(Comparateur!C$12=Paramètres!$B$36,Comparateur!C$9,F159)*Comparateur!C$13/12,2))</f>
        <v>63</v>
      </c>
      <c r="F160" s="31">
        <f t="shared" si="18"/>
        <v>106251.37</v>
      </c>
      <c r="G160" s="18">
        <f t="shared" si="19"/>
        <v>940.17</v>
      </c>
      <c r="H160" s="18">
        <f t="shared" si="20"/>
        <v>877.17</v>
      </c>
      <c r="I160" s="18">
        <f>IF(OR($B160="",Comparateur!D$17&lt;&gt;"OK",$B160&gt;Comparateur!D$11),"",ROUND(L159*Comparateur!D$10/12,2))</f>
        <v>305</v>
      </c>
      <c r="J160" s="18">
        <f>IF(I160="","",IF($B160=Comparateur!D$11,L159,Comparateur!D$20-I160))</f>
        <v>586.5</v>
      </c>
      <c r="K160" s="18">
        <f>IF(I160="","",ROUND(IF(Comparateur!D$12=Paramètres!$B$36,Comparateur!D$9,L159)*Comparateur!D$13/12,2))</f>
        <v>16.149999999999999</v>
      </c>
      <c r="L160" s="31">
        <f t="shared" si="21"/>
        <v>107061.39</v>
      </c>
      <c r="M160" s="18">
        <f t="shared" si="22"/>
        <v>907.65</v>
      </c>
      <c r="N160" s="18">
        <f t="shared" si="23"/>
        <v>891.5</v>
      </c>
      <c r="O160" s="18">
        <f>IF(OR($B160="",Comparateur!E$17&lt;&gt;"OK",$B160&gt;Comparateur!E$11),"",ROUND(R159*Comparateur!E$10/12,2))</f>
        <v>320.83999999999997</v>
      </c>
      <c r="P160" s="18">
        <f>IF(O160="","",IF($B160=Comparateur!E$11,R159,Comparateur!E$20-O160))</f>
        <v>585.12000000000012</v>
      </c>
      <c r="Q160" s="18">
        <f>IF(O160="","",ROUND(IF(Comparateur!E$12=Paramètres!$B$36,Comparateur!E$9,R159)*Comparateur!E$13/12,2))</f>
        <v>30</v>
      </c>
      <c r="R160" s="31">
        <f t="shared" si="24"/>
        <v>107868.49</v>
      </c>
      <c r="S160" s="18">
        <f t="shared" si="25"/>
        <v>935.96</v>
      </c>
      <c r="T160" s="18">
        <f t="shared" si="26"/>
        <v>905.96</v>
      </c>
    </row>
    <row r="161" spans="2:20" x14ac:dyDescent="0.35">
      <c r="B161" s="29">
        <f>IF(B160="","",IF(B160+1&gt;Comparateur!$C$47,"",B160+1))</f>
        <v>154</v>
      </c>
      <c r="C161" s="18">
        <f>IF(OR($B161="",Comparateur!C$17&lt;&gt;"OK",$B161&gt;Comparateur!C$11),"",ROUND(F160*Comparateur!C$10/12,2))</f>
        <v>287.76</v>
      </c>
      <c r="D161" s="18">
        <f>IF(C161="","",IF($B161=Comparateur!C$11,F160,Comparateur!C$20-C161))</f>
        <v>589.41</v>
      </c>
      <c r="E161" s="18">
        <f>IF(C161="","",ROUND(IF(Comparateur!C$12=Paramètres!$B$36,Comparateur!C$9,F160)*Comparateur!C$13/12,2))</f>
        <v>63</v>
      </c>
      <c r="F161" s="31">
        <f t="shared" si="18"/>
        <v>105661.96</v>
      </c>
      <c r="G161" s="18">
        <f t="shared" si="19"/>
        <v>940.17</v>
      </c>
      <c r="H161" s="18">
        <f t="shared" si="20"/>
        <v>877.17</v>
      </c>
      <c r="I161" s="18">
        <f>IF(OR($B161="",Comparateur!D$17&lt;&gt;"OK",$B161&gt;Comparateur!D$11),"",ROUND(L160*Comparateur!D$10/12,2))</f>
        <v>303.33999999999997</v>
      </c>
      <c r="J161" s="18">
        <f>IF(I161="","",IF($B161=Comparateur!D$11,L160,Comparateur!D$20-I161))</f>
        <v>588.16000000000008</v>
      </c>
      <c r="K161" s="18">
        <f>IF(I161="","",ROUND(IF(Comparateur!D$12=Paramètres!$B$36,Comparateur!D$9,L160)*Comparateur!D$13/12,2))</f>
        <v>16.059999999999999</v>
      </c>
      <c r="L161" s="31">
        <f t="shared" si="21"/>
        <v>106473.23</v>
      </c>
      <c r="M161" s="18">
        <f t="shared" si="22"/>
        <v>907.56</v>
      </c>
      <c r="N161" s="18">
        <f t="shared" si="23"/>
        <v>891.5</v>
      </c>
      <c r="O161" s="18">
        <f>IF(OR($B161="",Comparateur!E$17&lt;&gt;"OK",$B161&gt;Comparateur!E$11),"",ROUND(R160*Comparateur!E$10/12,2))</f>
        <v>319.11</v>
      </c>
      <c r="P161" s="18">
        <f>IF(O161="","",IF($B161=Comparateur!E$11,R160,Comparateur!E$20-O161))</f>
        <v>586.85</v>
      </c>
      <c r="Q161" s="18">
        <f>IF(O161="","",ROUND(IF(Comparateur!E$12=Paramètres!$B$36,Comparateur!E$9,R160)*Comparateur!E$13/12,2))</f>
        <v>30</v>
      </c>
      <c r="R161" s="31">
        <f t="shared" si="24"/>
        <v>107281.64</v>
      </c>
      <c r="S161" s="18">
        <f t="shared" si="25"/>
        <v>935.96</v>
      </c>
      <c r="T161" s="18">
        <f t="shared" si="26"/>
        <v>905.96</v>
      </c>
    </row>
    <row r="162" spans="2:20" x14ac:dyDescent="0.35">
      <c r="B162" s="29">
        <f>IF(B161="","",IF(B161+1&gt;Comparateur!$C$47,"",B161+1))</f>
        <v>155</v>
      </c>
      <c r="C162" s="18">
        <f>IF(OR($B162="",Comparateur!C$17&lt;&gt;"OK",$B162&gt;Comparateur!C$11),"",ROUND(F161*Comparateur!C$10/12,2))</f>
        <v>286.17</v>
      </c>
      <c r="D162" s="18">
        <f>IF(C162="","",IF($B162=Comparateur!C$11,F161,Comparateur!C$20-C162))</f>
        <v>591</v>
      </c>
      <c r="E162" s="18">
        <f>IF(C162="","",ROUND(IF(Comparateur!C$12=Paramètres!$B$36,Comparateur!C$9,F161)*Comparateur!C$13/12,2))</f>
        <v>63</v>
      </c>
      <c r="F162" s="31">
        <f t="shared" si="18"/>
        <v>105070.96</v>
      </c>
      <c r="G162" s="18">
        <f t="shared" si="19"/>
        <v>940.17000000000007</v>
      </c>
      <c r="H162" s="18">
        <f t="shared" si="20"/>
        <v>877.17000000000007</v>
      </c>
      <c r="I162" s="18">
        <f>IF(OR($B162="",Comparateur!D$17&lt;&gt;"OK",$B162&gt;Comparateur!D$11),"",ROUND(L161*Comparateur!D$10/12,2))</f>
        <v>301.67</v>
      </c>
      <c r="J162" s="18">
        <f>IF(I162="","",IF($B162=Comparateur!D$11,L161,Comparateur!D$20-I162))</f>
        <v>589.82999999999993</v>
      </c>
      <c r="K162" s="18">
        <f>IF(I162="","",ROUND(IF(Comparateur!D$12=Paramètres!$B$36,Comparateur!D$9,L161)*Comparateur!D$13/12,2))</f>
        <v>15.97</v>
      </c>
      <c r="L162" s="31">
        <f t="shared" si="21"/>
        <v>105883.4</v>
      </c>
      <c r="M162" s="18">
        <f t="shared" si="22"/>
        <v>907.47</v>
      </c>
      <c r="N162" s="18">
        <f t="shared" si="23"/>
        <v>891.5</v>
      </c>
      <c r="O162" s="18">
        <f>IF(OR($B162="",Comparateur!E$17&lt;&gt;"OK",$B162&gt;Comparateur!E$11),"",ROUND(R161*Comparateur!E$10/12,2))</f>
        <v>317.37</v>
      </c>
      <c r="P162" s="18">
        <f>IF(O162="","",IF($B162=Comparateur!E$11,R161,Comparateur!E$20-O162))</f>
        <v>588.59</v>
      </c>
      <c r="Q162" s="18">
        <f>IF(O162="","",ROUND(IF(Comparateur!E$12=Paramètres!$B$36,Comparateur!E$9,R161)*Comparateur!E$13/12,2))</f>
        <v>30</v>
      </c>
      <c r="R162" s="31">
        <f t="shared" si="24"/>
        <v>106693.05</v>
      </c>
      <c r="S162" s="18">
        <f t="shared" si="25"/>
        <v>935.96</v>
      </c>
      <c r="T162" s="18">
        <f t="shared" si="26"/>
        <v>905.96</v>
      </c>
    </row>
    <row r="163" spans="2:20" x14ac:dyDescent="0.35">
      <c r="B163" s="29">
        <f>IF(B162="","",IF(B162+1&gt;Comparateur!$C$47,"",B162+1))</f>
        <v>156</v>
      </c>
      <c r="C163" s="18">
        <f>IF(OR($B163="",Comparateur!C$17&lt;&gt;"OK",$B163&gt;Comparateur!C$11),"",ROUND(F162*Comparateur!C$10/12,2))</f>
        <v>284.57</v>
      </c>
      <c r="D163" s="18">
        <f>IF(C163="","",IF($B163=Comparateur!C$11,F162,Comparateur!C$20-C163))</f>
        <v>592.59999999999991</v>
      </c>
      <c r="E163" s="18">
        <f>IF(C163="","",ROUND(IF(Comparateur!C$12=Paramètres!$B$36,Comparateur!C$9,F162)*Comparateur!C$13/12,2))</f>
        <v>63</v>
      </c>
      <c r="F163" s="31">
        <f t="shared" si="18"/>
        <v>104478.36</v>
      </c>
      <c r="G163" s="18">
        <f t="shared" si="19"/>
        <v>940.16999999999985</v>
      </c>
      <c r="H163" s="18">
        <f t="shared" si="20"/>
        <v>877.16999999999985</v>
      </c>
      <c r="I163" s="18">
        <f>IF(OR($B163="",Comparateur!D$17&lt;&gt;"OK",$B163&gt;Comparateur!D$11),"",ROUND(L162*Comparateur!D$10/12,2))</f>
        <v>300</v>
      </c>
      <c r="J163" s="18">
        <f>IF(I163="","",IF($B163=Comparateur!D$11,L162,Comparateur!D$20-I163))</f>
        <v>591.5</v>
      </c>
      <c r="K163" s="18">
        <f>IF(I163="","",ROUND(IF(Comparateur!D$12=Paramètres!$B$36,Comparateur!D$9,L162)*Comparateur!D$13/12,2))</f>
        <v>15.88</v>
      </c>
      <c r="L163" s="31">
        <f t="shared" si="21"/>
        <v>105291.9</v>
      </c>
      <c r="M163" s="18">
        <f t="shared" si="22"/>
        <v>907.38</v>
      </c>
      <c r="N163" s="18">
        <f t="shared" si="23"/>
        <v>891.5</v>
      </c>
      <c r="O163" s="18">
        <f>IF(OR($B163="",Comparateur!E$17&lt;&gt;"OK",$B163&gt;Comparateur!E$11),"",ROUND(R162*Comparateur!E$10/12,2))</f>
        <v>315.63</v>
      </c>
      <c r="P163" s="18">
        <f>IF(O163="","",IF($B163=Comparateur!E$11,R162,Comparateur!E$20-O163))</f>
        <v>590.33000000000004</v>
      </c>
      <c r="Q163" s="18">
        <f>IF(O163="","",ROUND(IF(Comparateur!E$12=Paramètres!$B$36,Comparateur!E$9,R162)*Comparateur!E$13/12,2))</f>
        <v>30</v>
      </c>
      <c r="R163" s="31">
        <f t="shared" si="24"/>
        <v>106102.72</v>
      </c>
      <c r="S163" s="18">
        <f t="shared" si="25"/>
        <v>935.96</v>
      </c>
      <c r="T163" s="18">
        <f t="shared" si="26"/>
        <v>905.96</v>
      </c>
    </row>
    <row r="164" spans="2:20" x14ac:dyDescent="0.35">
      <c r="B164" s="29">
        <f>IF(B163="","",IF(B163+1&gt;Comparateur!$C$47,"",B163+1))</f>
        <v>157</v>
      </c>
      <c r="C164" s="18">
        <f>IF(OR($B164="",Comparateur!C$17&lt;&gt;"OK",$B164&gt;Comparateur!C$11),"",ROUND(F163*Comparateur!C$10/12,2))</f>
        <v>282.95999999999998</v>
      </c>
      <c r="D164" s="18">
        <f>IF(C164="","",IF($B164=Comparateur!C$11,F163,Comparateur!C$20-C164))</f>
        <v>594.21</v>
      </c>
      <c r="E164" s="18">
        <f>IF(C164="","",ROUND(IF(Comparateur!C$12=Paramètres!$B$36,Comparateur!C$9,F163)*Comparateur!C$13/12,2))</f>
        <v>63</v>
      </c>
      <c r="F164" s="31">
        <f t="shared" si="18"/>
        <v>103884.15</v>
      </c>
      <c r="G164" s="18">
        <f t="shared" si="19"/>
        <v>940.17000000000007</v>
      </c>
      <c r="H164" s="18">
        <f t="shared" si="20"/>
        <v>877.17000000000007</v>
      </c>
      <c r="I164" s="18">
        <f>IF(OR($B164="",Comparateur!D$17&lt;&gt;"OK",$B164&gt;Comparateur!D$11),"",ROUND(L163*Comparateur!D$10/12,2))</f>
        <v>298.33</v>
      </c>
      <c r="J164" s="18">
        <f>IF(I164="","",IF($B164=Comparateur!D$11,L163,Comparateur!D$20-I164))</f>
        <v>593.17000000000007</v>
      </c>
      <c r="K164" s="18">
        <f>IF(I164="","",ROUND(IF(Comparateur!D$12=Paramètres!$B$36,Comparateur!D$9,L163)*Comparateur!D$13/12,2))</f>
        <v>15.79</v>
      </c>
      <c r="L164" s="31">
        <f t="shared" si="21"/>
        <v>104698.73</v>
      </c>
      <c r="M164" s="18">
        <f t="shared" si="22"/>
        <v>907.29</v>
      </c>
      <c r="N164" s="18">
        <f t="shared" si="23"/>
        <v>891.5</v>
      </c>
      <c r="O164" s="18">
        <f>IF(OR($B164="",Comparateur!E$17&lt;&gt;"OK",$B164&gt;Comparateur!E$11),"",ROUND(R163*Comparateur!E$10/12,2))</f>
        <v>313.89</v>
      </c>
      <c r="P164" s="18">
        <f>IF(O164="","",IF($B164=Comparateur!E$11,R163,Comparateur!E$20-O164))</f>
        <v>592.07000000000005</v>
      </c>
      <c r="Q164" s="18">
        <f>IF(O164="","",ROUND(IF(Comparateur!E$12=Paramètres!$B$36,Comparateur!E$9,R163)*Comparateur!E$13/12,2))</f>
        <v>30</v>
      </c>
      <c r="R164" s="31">
        <f t="shared" si="24"/>
        <v>105510.65</v>
      </c>
      <c r="S164" s="18">
        <f t="shared" si="25"/>
        <v>935.96</v>
      </c>
      <c r="T164" s="18">
        <f t="shared" si="26"/>
        <v>905.96</v>
      </c>
    </row>
    <row r="165" spans="2:20" x14ac:dyDescent="0.35">
      <c r="B165" s="29">
        <f>IF(B164="","",IF(B164+1&gt;Comparateur!$C$47,"",B164+1))</f>
        <v>158</v>
      </c>
      <c r="C165" s="18">
        <f>IF(OR($B165="",Comparateur!C$17&lt;&gt;"OK",$B165&gt;Comparateur!C$11),"",ROUND(F164*Comparateur!C$10/12,2))</f>
        <v>281.35000000000002</v>
      </c>
      <c r="D165" s="18">
        <f>IF(C165="","",IF($B165=Comparateur!C$11,F164,Comparateur!C$20-C165))</f>
        <v>595.81999999999994</v>
      </c>
      <c r="E165" s="18">
        <f>IF(C165="","",ROUND(IF(Comparateur!C$12=Paramètres!$B$36,Comparateur!C$9,F164)*Comparateur!C$13/12,2))</f>
        <v>63</v>
      </c>
      <c r="F165" s="31">
        <f t="shared" si="18"/>
        <v>103288.33</v>
      </c>
      <c r="G165" s="18">
        <f t="shared" si="19"/>
        <v>940.17</v>
      </c>
      <c r="H165" s="18">
        <f t="shared" si="20"/>
        <v>877.17</v>
      </c>
      <c r="I165" s="18">
        <f>IF(OR($B165="",Comparateur!D$17&lt;&gt;"OK",$B165&gt;Comparateur!D$11),"",ROUND(L164*Comparateur!D$10/12,2))</f>
        <v>296.64999999999998</v>
      </c>
      <c r="J165" s="18">
        <f>IF(I165="","",IF($B165=Comparateur!D$11,L164,Comparateur!D$20-I165))</f>
        <v>594.85</v>
      </c>
      <c r="K165" s="18">
        <f>IF(I165="","",ROUND(IF(Comparateur!D$12=Paramètres!$B$36,Comparateur!D$9,L164)*Comparateur!D$13/12,2))</f>
        <v>15.7</v>
      </c>
      <c r="L165" s="31">
        <f t="shared" si="21"/>
        <v>104103.88</v>
      </c>
      <c r="M165" s="18">
        <f t="shared" si="22"/>
        <v>907.2</v>
      </c>
      <c r="N165" s="18">
        <f t="shared" si="23"/>
        <v>891.5</v>
      </c>
      <c r="O165" s="18">
        <f>IF(OR($B165="",Comparateur!E$17&lt;&gt;"OK",$B165&gt;Comparateur!E$11),"",ROUND(R164*Comparateur!E$10/12,2))</f>
        <v>312.14</v>
      </c>
      <c r="P165" s="18">
        <f>IF(O165="","",IF($B165=Comparateur!E$11,R164,Comparateur!E$20-O165))</f>
        <v>593.82000000000005</v>
      </c>
      <c r="Q165" s="18">
        <f>IF(O165="","",ROUND(IF(Comparateur!E$12=Paramètres!$B$36,Comparateur!E$9,R164)*Comparateur!E$13/12,2))</f>
        <v>30</v>
      </c>
      <c r="R165" s="31">
        <f t="shared" si="24"/>
        <v>104916.83</v>
      </c>
      <c r="S165" s="18">
        <f t="shared" si="25"/>
        <v>935.96</v>
      </c>
      <c r="T165" s="18">
        <f t="shared" si="26"/>
        <v>905.96</v>
      </c>
    </row>
    <row r="166" spans="2:20" x14ac:dyDescent="0.35">
      <c r="B166" s="29">
        <f>IF(B165="","",IF(B165+1&gt;Comparateur!$C$47,"",B165+1))</f>
        <v>159</v>
      </c>
      <c r="C166" s="18">
        <f>IF(OR($B166="",Comparateur!C$17&lt;&gt;"OK",$B166&gt;Comparateur!C$11),"",ROUND(F165*Comparateur!C$10/12,2))</f>
        <v>279.74</v>
      </c>
      <c r="D166" s="18">
        <f>IF(C166="","",IF($B166=Comparateur!C$11,F165,Comparateur!C$20-C166))</f>
        <v>597.42999999999995</v>
      </c>
      <c r="E166" s="18">
        <f>IF(C166="","",ROUND(IF(Comparateur!C$12=Paramètres!$B$36,Comparateur!C$9,F165)*Comparateur!C$13/12,2))</f>
        <v>63</v>
      </c>
      <c r="F166" s="31">
        <f t="shared" si="18"/>
        <v>102690.9</v>
      </c>
      <c r="G166" s="18">
        <f t="shared" si="19"/>
        <v>940.17</v>
      </c>
      <c r="H166" s="18">
        <f t="shared" si="20"/>
        <v>877.17</v>
      </c>
      <c r="I166" s="18">
        <f>IF(OR($B166="",Comparateur!D$17&lt;&gt;"OK",$B166&gt;Comparateur!D$11),"",ROUND(L165*Comparateur!D$10/12,2))</f>
        <v>294.95999999999998</v>
      </c>
      <c r="J166" s="18">
        <f>IF(I166="","",IF($B166=Comparateur!D$11,L165,Comparateur!D$20-I166))</f>
        <v>596.54</v>
      </c>
      <c r="K166" s="18">
        <f>IF(I166="","",ROUND(IF(Comparateur!D$12=Paramètres!$B$36,Comparateur!D$9,L165)*Comparateur!D$13/12,2))</f>
        <v>15.62</v>
      </c>
      <c r="L166" s="31">
        <f t="shared" si="21"/>
        <v>103507.34</v>
      </c>
      <c r="M166" s="18">
        <f t="shared" si="22"/>
        <v>907.12</v>
      </c>
      <c r="N166" s="18">
        <f t="shared" si="23"/>
        <v>891.5</v>
      </c>
      <c r="O166" s="18">
        <f>IF(OR($B166="",Comparateur!E$17&lt;&gt;"OK",$B166&gt;Comparateur!E$11),"",ROUND(R165*Comparateur!E$10/12,2))</f>
        <v>310.38</v>
      </c>
      <c r="P166" s="18">
        <f>IF(O166="","",IF($B166=Comparateur!E$11,R165,Comparateur!E$20-O166))</f>
        <v>595.58000000000004</v>
      </c>
      <c r="Q166" s="18">
        <f>IF(O166="","",ROUND(IF(Comparateur!E$12=Paramètres!$B$36,Comparateur!E$9,R165)*Comparateur!E$13/12,2))</f>
        <v>30</v>
      </c>
      <c r="R166" s="31">
        <f t="shared" si="24"/>
        <v>104321.25</v>
      </c>
      <c r="S166" s="18">
        <f t="shared" si="25"/>
        <v>935.96</v>
      </c>
      <c r="T166" s="18">
        <f t="shared" si="26"/>
        <v>905.96</v>
      </c>
    </row>
    <row r="167" spans="2:20" x14ac:dyDescent="0.35">
      <c r="B167" s="29">
        <f>IF(B166="","",IF(B166+1&gt;Comparateur!$C$47,"",B166+1))</f>
        <v>160</v>
      </c>
      <c r="C167" s="18">
        <f>IF(OR($B167="",Comparateur!C$17&lt;&gt;"OK",$B167&gt;Comparateur!C$11),"",ROUND(F166*Comparateur!C$10/12,2))</f>
        <v>278.12</v>
      </c>
      <c r="D167" s="18">
        <f>IF(C167="","",IF($B167=Comparateur!C$11,F166,Comparateur!C$20-C167))</f>
        <v>599.04999999999995</v>
      </c>
      <c r="E167" s="18">
        <f>IF(C167="","",ROUND(IF(Comparateur!C$12=Paramètres!$B$36,Comparateur!C$9,F166)*Comparateur!C$13/12,2))</f>
        <v>63</v>
      </c>
      <c r="F167" s="31">
        <f t="shared" si="18"/>
        <v>102091.85</v>
      </c>
      <c r="G167" s="18">
        <f t="shared" si="19"/>
        <v>940.17</v>
      </c>
      <c r="H167" s="18">
        <f t="shared" si="20"/>
        <v>877.17</v>
      </c>
      <c r="I167" s="18">
        <f>IF(OR($B167="",Comparateur!D$17&lt;&gt;"OK",$B167&gt;Comparateur!D$11),"",ROUND(L166*Comparateur!D$10/12,2))</f>
        <v>293.27</v>
      </c>
      <c r="J167" s="18">
        <f>IF(I167="","",IF($B167=Comparateur!D$11,L166,Comparateur!D$20-I167))</f>
        <v>598.23</v>
      </c>
      <c r="K167" s="18">
        <f>IF(I167="","",ROUND(IF(Comparateur!D$12=Paramètres!$B$36,Comparateur!D$9,L166)*Comparateur!D$13/12,2))</f>
        <v>15.53</v>
      </c>
      <c r="L167" s="31">
        <f t="shared" si="21"/>
        <v>102909.11</v>
      </c>
      <c r="M167" s="18">
        <f t="shared" si="22"/>
        <v>907.03</v>
      </c>
      <c r="N167" s="18">
        <f t="shared" si="23"/>
        <v>891.5</v>
      </c>
      <c r="O167" s="18">
        <f>IF(OR($B167="",Comparateur!E$17&lt;&gt;"OK",$B167&gt;Comparateur!E$11),"",ROUND(R166*Comparateur!E$10/12,2))</f>
        <v>308.62</v>
      </c>
      <c r="P167" s="18">
        <f>IF(O167="","",IF($B167=Comparateur!E$11,R166,Comparateur!E$20-O167))</f>
        <v>597.34</v>
      </c>
      <c r="Q167" s="18">
        <f>IF(O167="","",ROUND(IF(Comparateur!E$12=Paramètres!$B$36,Comparateur!E$9,R166)*Comparateur!E$13/12,2))</f>
        <v>30</v>
      </c>
      <c r="R167" s="31">
        <f t="shared" si="24"/>
        <v>103723.91</v>
      </c>
      <c r="S167" s="18">
        <f t="shared" si="25"/>
        <v>935.96</v>
      </c>
      <c r="T167" s="18">
        <f t="shared" si="26"/>
        <v>905.96</v>
      </c>
    </row>
    <row r="168" spans="2:20" x14ac:dyDescent="0.35">
      <c r="B168" s="29">
        <f>IF(B167="","",IF(B167+1&gt;Comparateur!$C$47,"",B167+1))</f>
        <v>161</v>
      </c>
      <c r="C168" s="18">
        <f>IF(OR($B168="",Comparateur!C$17&lt;&gt;"OK",$B168&gt;Comparateur!C$11),"",ROUND(F167*Comparateur!C$10/12,2))</f>
        <v>276.5</v>
      </c>
      <c r="D168" s="18">
        <f>IF(C168="","",IF($B168=Comparateur!C$11,F167,Comparateur!C$20-C168))</f>
        <v>600.66999999999996</v>
      </c>
      <c r="E168" s="18">
        <f>IF(C168="","",ROUND(IF(Comparateur!C$12=Paramètres!$B$36,Comparateur!C$9,F167)*Comparateur!C$13/12,2))</f>
        <v>63</v>
      </c>
      <c r="F168" s="31">
        <f t="shared" si="18"/>
        <v>101491.18</v>
      </c>
      <c r="G168" s="18">
        <f t="shared" si="19"/>
        <v>940.17</v>
      </c>
      <c r="H168" s="18">
        <f t="shared" si="20"/>
        <v>877.17</v>
      </c>
      <c r="I168" s="18">
        <f>IF(OR($B168="",Comparateur!D$17&lt;&gt;"OK",$B168&gt;Comparateur!D$11),"",ROUND(L167*Comparateur!D$10/12,2))</f>
        <v>291.58</v>
      </c>
      <c r="J168" s="18">
        <f>IF(I168="","",IF($B168=Comparateur!D$11,L167,Comparateur!D$20-I168))</f>
        <v>599.92000000000007</v>
      </c>
      <c r="K168" s="18">
        <f>IF(I168="","",ROUND(IF(Comparateur!D$12=Paramètres!$B$36,Comparateur!D$9,L167)*Comparateur!D$13/12,2))</f>
        <v>15.44</v>
      </c>
      <c r="L168" s="31">
        <f t="shared" si="21"/>
        <v>102309.19</v>
      </c>
      <c r="M168" s="18">
        <f t="shared" si="22"/>
        <v>906.94</v>
      </c>
      <c r="N168" s="18">
        <f t="shared" si="23"/>
        <v>891.5</v>
      </c>
      <c r="O168" s="18">
        <f>IF(OR($B168="",Comparateur!E$17&lt;&gt;"OK",$B168&gt;Comparateur!E$11),"",ROUND(R167*Comparateur!E$10/12,2))</f>
        <v>306.85000000000002</v>
      </c>
      <c r="P168" s="18">
        <f>IF(O168="","",IF($B168=Comparateur!E$11,R167,Comparateur!E$20-O168))</f>
        <v>599.11</v>
      </c>
      <c r="Q168" s="18">
        <f>IF(O168="","",ROUND(IF(Comparateur!E$12=Paramètres!$B$36,Comparateur!E$9,R167)*Comparateur!E$13/12,2))</f>
        <v>30</v>
      </c>
      <c r="R168" s="31">
        <f t="shared" si="24"/>
        <v>103124.8</v>
      </c>
      <c r="S168" s="18">
        <f t="shared" si="25"/>
        <v>935.96</v>
      </c>
      <c r="T168" s="18">
        <f t="shared" si="26"/>
        <v>905.96</v>
      </c>
    </row>
    <row r="169" spans="2:20" x14ac:dyDescent="0.35">
      <c r="B169" s="29">
        <f>IF(B168="","",IF(B168+1&gt;Comparateur!$C$47,"",B168+1))</f>
        <v>162</v>
      </c>
      <c r="C169" s="18">
        <f>IF(OR($B169="",Comparateur!C$17&lt;&gt;"OK",$B169&gt;Comparateur!C$11),"",ROUND(F168*Comparateur!C$10/12,2))</f>
        <v>274.87</v>
      </c>
      <c r="D169" s="18">
        <f>IF(C169="","",IF($B169=Comparateur!C$11,F168,Comparateur!C$20-C169))</f>
        <v>602.29999999999995</v>
      </c>
      <c r="E169" s="18">
        <f>IF(C169="","",ROUND(IF(Comparateur!C$12=Paramètres!$B$36,Comparateur!C$9,F168)*Comparateur!C$13/12,2))</f>
        <v>63</v>
      </c>
      <c r="F169" s="31">
        <f t="shared" si="18"/>
        <v>100888.88</v>
      </c>
      <c r="G169" s="18">
        <f t="shared" si="19"/>
        <v>940.17</v>
      </c>
      <c r="H169" s="18">
        <f t="shared" si="20"/>
        <v>877.17</v>
      </c>
      <c r="I169" s="18">
        <f>IF(OR($B169="",Comparateur!D$17&lt;&gt;"OK",$B169&gt;Comparateur!D$11),"",ROUND(L168*Comparateur!D$10/12,2))</f>
        <v>289.88</v>
      </c>
      <c r="J169" s="18">
        <f>IF(I169="","",IF($B169=Comparateur!D$11,L168,Comparateur!D$20-I169))</f>
        <v>601.62</v>
      </c>
      <c r="K169" s="18">
        <f>IF(I169="","",ROUND(IF(Comparateur!D$12=Paramètres!$B$36,Comparateur!D$9,L168)*Comparateur!D$13/12,2))</f>
        <v>15.35</v>
      </c>
      <c r="L169" s="31">
        <f t="shared" si="21"/>
        <v>101707.57</v>
      </c>
      <c r="M169" s="18">
        <f t="shared" si="22"/>
        <v>906.85</v>
      </c>
      <c r="N169" s="18">
        <f t="shared" si="23"/>
        <v>891.5</v>
      </c>
      <c r="O169" s="18">
        <f>IF(OR($B169="",Comparateur!E$17&lt;&gt;"OK",$B169&gt;Comparateur!E$11),"",ROUND(R168*Comparateur!E$10/12,2))</f>
        <v>305.08</v>
      </c>
      <c r="P169" s="18">
        <f>IF(O169="","",IF($B169=Comparateur!E$11,R168,Comparateur!E$20-O169))</f>
        <v>600.88000000000011</v>
      </c>
      <c r="Q169" s="18">
        <f>IF(O169="","",ROUND(IF(Comparateur!E$12=Paramètres!$B$36,Comparateur!E$9,R168)*Comparateur!E$13/12,2))</f>
        <v>30</v>
      </c>
      <c r="R169" s="31">
        <f t="shared" si="24"/>
        <v>102523.92</v>
      </c>
      <c r="S169" s="18">
        <f t="shared" si="25"/>
        <v>935.96</v>
      </c>
      <c r="T169" s="18">
        <f t="shared" si="26"/>
        <v>905.96</v>
      </c>
    </row>
    <row r="170" spans="2:20" x14ac:dyDescent="0.35">
      <c r="B170" s="29">
        <f>IF(B169="","",IF(B169+1&gt;Comparateur!$C$47,"",B169+1))</f>
        <v>163</v>
      </c>
      <c r="C170" s="18">
        <f>IF(OR($B170="",Comparateur!C$17&lt;&gt;"OK",$B170&gt;Comparateur!C$11),"",ROUND(F169*Comparateur!C$10/12,2))</f>
        <v>273.24</v>
      </c>
      <c r="D170" s="18">
        <f>IF(C170="","",IF($B170=Comparateur!C$11,F169,Comparateur!C$20-C170))</f>
        <v>603.92999999999995</v>
      </c>
      <c r="E170" s="18">
        <f>IF(C170="","",ROUND(IF(Comparateur!C$12=Paramètres!$B$36,Comparateur!C$9,F169)*Comparateur!C$13/12,2))</f>
        <v>63</v>
      </c>
      <c r="F170" s="31">
        <f t="shared" si="18"/>
        <v>100284.95</v>
      </c>
      <c r="G170" s="18">
        <f t="shared" si="19"/>
        <v>940.17</v>
      </c>
      <c r="H170" s="18">
        <f t="shared" si="20"/>
        <v>877.17</v>
      </c>
      <c r="I170" s="18">
        <f>IF(OR($B170="",Comparateur!D$17&lt;&gt;"OK",$B170&gt;Comparateur!D$11),"",ROUND(L169*Comparateur!D$10/12,2))</f>
        <v>288.17</v>
      </c>
      <c r="J170" s="18">
        <f>IF(I170="","",IF($B170=Comparateur!D$11,L169,Comparateur!D$20-I170))</f>
        <v>603.32999999999993</v>
      </c>
      <c r="K170" s="18">
        <f>IF(I170="","",ROUND(IF(Comparateur!D$12=Paramètres!$B$36,Comparateur!D$9,L169)*Comparateur!D$13/12,2))</f>
        <v>15.26</v>
      </c>
      <c r="L170" s="31">
        <f t="shared" si="21"/>
        <v>101104.24</v>
      </c>
      <c r="M170" s="18">
        <f t="shared" si="22"/>
        <v>906.76</v>
      </c>
      <c r="N170" s="18">
        <f t="shared" si="23"/>
        <v>891.5</v>
      </c>
      <c r="O170" s="18">
        <f>IF(OR($B170="",Comparateur!E$17&lt;&gt;"OK",$B170&gt;Comparateur!E$11),"",ROUND(R169*Comparateur!E$10/12,2))</f>
        <v>303.3</v>
      </c>
      <c r="P170" s="18">
        <f>IF(O170="","",IF($B170=Comparateur!E$11,R169,Comparateur!E$20-O170))</f>
        <v>602.66000000000008</v>
      </c>
      <c r="Q170" s="18">
        <f>IF(O170="","",ROUND(IF(Comparateur!E$12=Paramètres!$B$36,Comparateur!E$9,R169)*Comparateur!E$13/12,2))</f>
        <v>30</v>
      </c>
      <c r="R170" s="31">
        <f t="shared" si="24"/>
        <v>101921.26</v>
      </c>
      <c r="S170" s="18">
        <f t="shared" si="25"/>
        <v>935.96</v>
      </c>
      <c r="T170" s="18">
        <f t="shared" si="26"/>
        <v>905.96</v>
      </c>
    </row>
    <row r="171" spans="2:20" x14ac:dyDescent="0.35">
      <c r="B171" s="29">
        <f>IF(B170="","",IF(B170+1&gt;Comparateur!$C$47,"",B170+1))</f>
        <v>164</v>
      </c>
      <c r="C171" s="18">
        <f>IF(OR($B171="",Comparateur!C$17&lt;&gt;"OK",$B171&gt;Comparateur!C$11),"",ROUND(F170*Comparateur!C$10/12,2))</f>
        <v>271.61</v>
      </c>
      <c r="D171" s="18">
        <f>IF(C171="","",IF($B171=Comparateur!C$11,F170,Comparateur!C$20-C171))</f>
        <v>605.55999999999995</v>
      </c>
      <c r="E171" s="18">
        <f>IF(C171="","",ROUND(IF(Comparateur!C$12=Paramètres!$B$36,Comparateur!C$9,F170)*Comparateur!C$13/12,2))</f>
        <v>63</v>
      </c>
      <c r="F171" s="31">
        <f t="shared" si="18"/>
        <v>99679.39</v>
      </c>
      <c r="G171" s="18">
        <f t="shared" si="19"/>
        <v>940.17</v>
      </c>
      <c r="H171" s="18">
        <f t="shared" si="20"/>
        <v>877.17</v>
      </c>
      <c r="I171" s="18">
        <f>IF(OR($B171="",Comparateur!D$17&lt;&gt;"OK",$B171&gt;Comparateur!D$11),"",ROUND(L170*Comparateur!D$10/12,2))</f>
        <v>286.45999999999998</v>
      </c>
      <c r="J171" s="18">
        <f>IF(I171="","",IF($B171=Comparateur!D$11,L170,Comparateur!D$20-I171))</f>
        <v>605.04</v>
      </c>
      <c r="K171" s="18">
        <f>IF(I171="","",ROUND(IF(Comparateur!D$12=Paramètres!$B$36,Comparateur!D$9,L170)*Comparateur!D$13/12,2))</f>
        <v>15.17</v>
      </c>
      <c r="L171" s="31">
        <f t="shared" si="21"/>
        <v>100499.2</v>
      </c>
      <c r="M171" s="18">
        <f t="shared" si="22"/>
        <v>906.67</v>
      </c>
      <c r="N171" s="18">
        <f t="shared" si="23"/>
        <v>891.5</v>
      </c>
      <c r="O171" s="18">
        <f>IF(OR($B171="",Comparateur!E$17&lt;&gt;"OK",$B171&gt;Comparateur!E$11),"",ROUND(R170*Comparateur!E$10/12,2))</f>
        <v>301.52</v>
      </c>
      <c r="P171" s="18">
        <f>IF(O171="","",IF($B171=Comparateur!E$11,R170,Comparateur!E$20-O171))</f>
        <v>604.44000000000005</v>
      </c>
      <c r="Q171" s="18">
        <f>IF(O171="","",ROUND(IF(Comparateur!E$12=Paramètres!$B$36,Comparateur!E$9,R170)*Comparateur!E$13/12,2))</f>
        <v>30</v>
      </c>
      <c r="R171" s="31">
        <f t="shared" si="24"/>
        <v>101316.82</v>
      </c>
      <c r="S171" s="18">
        <f t="shared" si="25"/>
        <v>935.96</v>
      </c>
      <c r="T171" s="18">
        <f t="shared" si="26"/>
        <v>905.96</v>
      </c>
    </row>
    <row r="172" spans="2:20" x14ac:dyDescent="0.35">
      <c r="B172" s="29">
        <f>IF(B171="","",IF(B171+1&gt;Comparateur!$C$47,"",B171+1))</f>
        <v>165</v>
      </c>
      <c r="C172" s="18">
        <f>IF(OR($B172="",Comparateur!C$17&lt;&gt;"OK",$B172&gt;Comparateur!C$11),"",ROUND(F171*Comparateur!C$10/12,2))</f>
        <v>269.97000000000003</v>
      </c>
      <c r="D172" s="18">
        <f>IF(C172="","",IF($B172=Comparateur!C$11,F171,Comparateur!C$20-C172))</f>
        <v>607.19999999999993</v>
      </c>
      <c r="E172" s="18">
        <f>IF(C172="","",ROUND(IF(Comparateur!C$12=Paramètres!$B$36,Comparateur!C$9,F171)*Comparateur!C$13/12,2))</f>
        <v>63</v>
      </c>
      <c r="F172" s="31">
        <f t="shared" si="18"/>
        <v>99072.19</v>
      </c>
      <c r="G172" s="18">
        <f t="shared" si="19"/>
        <v>940.17</v>
      </c>
      <c r="H172" s="18">
        <f t="shared" si="20"/>
        <v>877.17</v>
      </c>
      <c r="I172" s="18">
        <f>IF(OR($B172="",Comparateur!D$17&lt;&gt;"OK",$B172&gt;Comparateur!D$11),"",ROUND(L171*Comparateur!D$10/12,2))</f>
        <v>284.75</v>
      </c>
      <c r="J172" s="18">
        <f>IF(I172="","",IF($B172=Comparateur!D$11,L171,Comparateur!D$20-I172))</f>
        <v>606.75</v>
      </c>
      <c r="K172" s="18">
        <f>IF(I172="","",ROUND(IF(Comparateur!D$12=Paramètres!$B$36,Comparateur!D$9,L171)*Comparateur!D$13/12,2))</f>
        <v>15.07</v>
      </c>
      <c r="L172" s="31">
        <f t="shared" si="21"/>
        <v>99892.45</v>
      </c>
      <c r="M172" s="18">
        <f t="shared" si="22"/>
        <v>906.57</v>
      </c>
      <c r="N172" s="18">
        <f t="shared" si="23"/>
        <v>891.5</v>
      </c>
      <c r="O172" s="18">
        <f>IF(OR($B172="",Comparateur!E$17&lt;&gt;"OK",$B172&gt;Comparateur!E$11),"",ROUND(R171*Comparateur!E$10/12,2))</f>
        <v>299.73</v>
      </c>
      <c r="P172" s="18">
        <f>IF(O172="","",IF($B172=Comparateur!E$11,R171,Comparateur!E$20-O172))</f>
        <v>606.23</v>
      </c>
      <c r="Q172" s="18">
        <f>IF(O172="","",ROUND(IF(Comparateur!E$12=Paramètres!$B$36,Comparateur!E$9,R171)*Comparateur!E$13/12,2))</f>
        <v>30</v>
      </c>
      <c r="R172" s="31">
        <f t="shared" si="24"/>
        <v>100710.59</v>
      </c>
      <c r="S172" s="18">
        <f t="shared" si="25"/>
        <v>935.96</v>
      </c>
      <c r="T172" s="18">
        <f t="shared" si="26"/>
        <v>905.96</v>
      </c>
    </row>
    <row r="173" spans="2:20" x14ac:dyDescent="0.35">
      <c r="B173" s="29">
        <f>IF(B172="","",IF(B172+1&gt;Comparateur!$C$47,"",B172+1))</f>
        <v>166</v>
      </c>
      <c r="C173" s="18">
        <f>IF(OR($B173="",Comparateur!C$17&lt;&gt;"OK",$B173&gt;Comparateur!C$11),"",ROUND(F172*Comparateur!C$10/12,2))</f>
        <v>268.32</v>
      </c>
      <c r="D173" s="18">
        <f>IF(C173="","",IF($B173=Comparateur!C$11,F172,Comparateur!C$20-C173))</f>
        <v>608.84999999999991</v>
      </c>
      <c r="E173" s="18">
        <f>IF(C173="","",ROUND(IF(Comparateur!C$12=Paramètres!$B$36,Comparateur!C$9,F172)*Comparateur!C$13/12,2))</f>
        <v>63</v>
      </c>
      <c r="F173" s="31">
        <f t="shared" si="18"/>
        <v>98463.34</v>
      </c>
      <c r="G173" s="18">
        <f t="shared" si="19"/>
        <v>940.16999999999985</v>
      </c>
      <c r="H173" s="18">
        <f t="shared" si="20"/>
        <v>877.16999999999985</v>
      </c>
      <c r="I173" s="18">
        <f>IF(OR($B173="",Comparateur!D$17&lt;&gt;"OK",$B173&gt;Comparateur!D$11),"",ROUND(L172*Comparateur!D$10/12,2))</f>
        <v>283.02999999999997</v>
      </c>
      <c r="J173" s="18">
        <f>IF(I173="","",IF($B173=Comparateur!D$11,L172,Comparateur!D$20-I173))</f>
        <v>608.47</v>
      </c>
      <c r="K173" s="18">
        <f>IF(I173="","",ROUND(IF(Comparateur!D$12=Paramètres!$B$36,Comparateur!D$9,L172)*Comparateur!D$13/12,2))</f>
        <v>14.98</v>
      </c>
      <c r="L173" s="31">
        <f t="shared" si="21"/>
        <v>99283.98</v>
      </c>
      <c r="M173" s="18">
        <f t="shared" si="22"/>
        <v>906.48</v>
      </c>
      <c r="N173" s="18">
        <f t="shared" si="23"/>
        <v>891.5</v>
      </c>
      <c r="O173" s="18">
        <f>IF(OR($B173="",Comparateur!E$17&lt;&gt;"OK",$B173&gt;Comparateur!E$11),"",ROUND(R172*Comparateur!E$10/12,2))</f>
        <v>297.94</v>
      </c>
      <c r="P173" s="18">
        <f>IF(O173="","",IF($B173=Comparateur!E$11,R172,Comparateur!E$20-O173))</f>
        <v>608.02</v>
      </c>
      <c r="Q173" s="18">
        <f>IF(O173="","",ROUND(IF(Comparateur!E$12=Paramètres!$B$36,Comparateur!E$9,R172)*Comparateur!E$13/12,2))</f>
        <v>30</v>
      </c>
      <c r="R173" s="31">
        <f t="shared" si="24"/>
        <v>100102.57</v>
      </c>
      <c r="S173" s="18">
        <f t="shared" si="25"/>
        <v>935.96</v>
      </c>
      <c r="T173" s="18">
        <f t="shared" si="26"/>
        <v>905.96</v>
      </c>
    </row>
    <row r="174" spans="2:20" x14ac:dyDescent="0.35">
      <c r="B174" s="29">
        <f>IF(B173="","",IF(B173+1&gt;Comparateur!$C$47,"",B173+1))</f>
        <v>167</v>
      </c>
      <c r="C174" s="18">
        <f>IF(OR($B174="",Comparateur!C$17&lt;&gt;"OK",$B174&gt;Comparateur!C$11),"",ROUND(F173*Comparateur!C$10/12,2))</f>
        <v>266.67</v>
      </c>
      <c r="D174" s="18">
        <f>IF(C174="","",IF($B174=Comparateur!C$11,F173,Comparateur!C$20-C174))</f>
        <v>610.5</v>
      </c>
      <c r="E174" s="18">
        <f>IF(C174="","",ROUND(IF(Comparateur!C$12=Paramètres!$B$36,Comparateur!C$9,F173)*Comparateur!C$13/12,2))</f>
        <v>63</v>
      </c>
      <c r="F174" s="31">
        <f t="shared" si="18"/>
        <v>97852.84</v>
      </c>
      <c r="G174" s="18">
        <f t="shared" si="19"/>
        <v>940.17000000000007</v>
      </c>
      <c r="H174" s="18">
        <f t="shared" si="20"/>
        <v>877.17000000000007</v>
      </c>
      <c r="I174" s="18">
        <f>IF(OR($B174="",Comparateur!D$17&lt;&gt;"OK",$B174&gt;Comparateur!D$11),"",ROUND(L173*Comparateur!D$10/12,2))</f>
        <v>281.3</v>
      </c>
      <c r="J174" s="18">
        <f>IF(I174="","",IF($B174=Comparateur!D$11,L173,Comparateur!D$20-I174))</f>
        <v>610.20000000000005</v>
      </c>
      <c r="K174" s="18">
        <f>IF(I174="","",ROUND(IF(Comparateur!D$12=Paramètres!$B$36,Comparateur!D$9,L173)*Comparateur!D$13/12,2))</f>
        <v>14.89</v>
      </c>
      <c r="L174" s="31">
        <f t="shared" si="21"/>
        <v>98673.78</v>
      </c>
      <c r="M174" s="18">
        <f t="shared" si="22"/>
        <v>906.39</v>
      </c>
      <c r="N174" s="18">
        <f t="shared" si="23"/>
        <v>891.5</v>
      </c>
      <c r="O174" s="18">
        <f>IF(OR($B174="",Comparateur!E$17&lt;&gt;"OK",$B174&gt;Comparateur!E$11),"",ROUND(R173*Comparateur!E$10/12,2))</f>
        <v>296.14</v>
      </c>
      <c r="P174" s="18">
        <f>IF(O174="","",IF($B174=Comparateur!E$11,R173,Comparateur!E$20-O174))</f>
        <v>609.82000000000005</v>
      </c>
      <c r="Q174" s="18">
        <f>IF(O174="","",ROUND(IF(Comparateur!E$12=Paramètres!$B$36,Comparateur!E$9,R173)*Comparateur!E$13/12,2))</f>
        <v>30</v>
      </c>
      <c r="R174" s="31">
        <f t="shared" si="24"/>
        <v>99492.75</v>
      </c>
      <c r="S174" s="18">
        <f t="shared" si="25"/>
        <v>935.96</v>
      </c>
      <c r="T174" s="18">
        <f t="shared" si="26"/>
        <v>905.96</v>
      </c>
    </row>
    <row r="175" spans="2:20" x14ac:dyDescent="0.35">
      <c r="B175" s="29">
        <f>IF(B174="","",IF(B174+1&gt;Comparateur!$C$47,"",B174+1))</f>
        <v>168</v>
      </c>
      <c r="C175" s="18">
        <f>IF(OR($B175="",Comparateur!C$17&lt;&gt;"OK",$B175&gt;Comparateur!C$11),"",ROUND(F174*Comparateur!C$10/12,2))</f>
        <v>265.02</v>
      </c>
      <c r="D175" s="18">
        <f>IF(C175="","",IF($B175=Comparateur!C$11,F174,Comparateur!C$20-C175))</f>
        <v>612.15</v>
      </c>
      <c r="E175" s="18">
        <f>IF(C175="","",ROUND(IF(Comparateur!C$12=Paramètres!$B$36,Comparateur!C$9,F174)*Comparateur!C$13/12,2))</f>
        <v>63</v>
      </c>
      <c r="F175" s="31">
        <f t="shared" si="18"/>
        <v>97240.69</v>
      </c>
      <c r="G175" s="18">
        <f t="shared" si="19"/>
        <v>940.17</v>
      </c>
      <c r="H175" s="18">
        <f t="shared" si="20"/>
        <v>877.17</v>
      </c>
      <c r="I175" s="18">
        <f>IF(OR($B175="",Comparateur!D$17&lt;&gt;"OK",$B175&gt;Comparateur!D$11),"",ROUND(L174*Comparateur!D$10/12,2))</f>
        <v>279.58</v>
      </c>
      <c r="J175" s="18">
        <f>IF(I175="","",IF($B175=Comparateur!D$11,L174,Comparateur!D$20-I175))</f>
        <v>611.92000000000007</v>
      </c>
      <c r="K175" s="18">
        <f>IF(I175="","",ROUND(IF(Comparateur!D$12=Paramètres!$B$36,Comparateur!D$9,L174)*Comparateur!D$13/12,2))</f>
        <v>14.8</v>
      </c>
      <c r="L175" s="31">
        <f t="shared" si="21"/>
        <v>98061.86</v>
      </c>
      <c r="M175" s="18">
        <f t="shared" si="22"/>
        <v>906.3</v>
      </c>
      <c r="N175" s="18">
        <f t="shared" si="23"/>
        <v>891.5</v>
      </c>
      <c r="O175" s="18">
        <f>IF(OR($B175="",Comparateur!E$17&lt;&gt;"OK",$B175&gt;Comparateur!E$11),"",ROUND(R174*Comparateur!E$10/12,2))</f>
        <v>294.33</v>
      </c>
      <c r="P175" s="18">
        <f>IF(O175="","",IF($B175=Comparateur!E$11,R174,Comparateur!E$20-O175))</f>
        <v>611.63000000000011</v>
      </c>
      <c r="Q175" s="18">
        <f>IF(O175="","",ROUND(IF(Comparateur!E$12=Paramètres!$B$36,Comparateur!E$9,R174)*Comparateur!E$13/12,2))</f>
        <v>30</v>
      </c>
      <c r="R175" s="31">
        <f t="shared" si="24"/>
        <v>98881.12</v>
      </c>
      <c r="S175" s="18">
        <f t="shared" si="25"/>
        <v>935.96</v>
      </c>
      <c r="T175" s="18">
        <f t="shared" si="26"/>
        <v>905.96</v>
      </c>
    </row>
    <row r="176" spans="2:20" x14ac:dyDescent="0.35">
      <c r="B176" s="29">
        <f>IF(B175="","",IF(B175+1&gt;Comparateur!$C$47,"",B175+1))</f>
        <v>169</v>
      </c>
      <c r="C176" s="18">
        <f>IF(OR($B176="",Comparateur!C$17&lt;&gt;"OK",$B176&gt;Comparateur!C$11),"",ROUND(F175*Comparateur!C$10/12,2))</f>
        <v>263.36</v>
      </c>
      <c r="D176" s="18">
        <f>IF(C176="","",IF($B176=Comparateur!C$11,F175,Comparateur!C$20-C176))</f>
        <v>613.80999999999995</v>
      </c>
      <c r="E176" s="18">
        <f>IF(C176="","",ROUND(IF(Comparateur!C$12=Paramètres!$B$36,Comparateur!C$9,F175)*Comparateur!C$13/12,2))</f>
        <v>63</v>
      </c>
      <c r="F176" s="31">
        <f t="shared" si="18"/>
        <v>96626.880000000005</v>
      </c>
      <c r="G176" s="18">
        <f t="shared" si="19"/>
        <v>940.17</v>
      </c>
      <c r="H176" s="18">
        <f t="shared" si="20"/>
        <v>877.17</v>
      </c>
      <c r="I176" s="18">
        <f>IF(OR($B176="",Comparateur!D$17&lt;&gt;"OK",$B176&gt;Comparateur!D$11),"",ROUND(L175*Comparateur!D$10/12,2))</f>
        <v>277.83999999999997</v>
      </c>
      <c r="J176" s="18">
        <f>IF(I176="","",IF($B176=Comparateur!D$11,L175,Comparateur!D$20-I176))</f>
        <v>613.66000000000008</v>
      </c>
      <c r="K176" s="18">
        <f>IF(I176="","",ROUND(IF(Comparateur!D$12=Paramètres!$B$36,Comparateur!D$9,L175)*Comparateur!D$13/12,2))</f>
        <v>14.71</v>
      </c>
      <c r="L176" s="31">
        <f t="shared" si="21"/>
        <v>97448.2</v>
      </c>
      <c r="M176" s="18">
        <f t="shared" si="22"/>
        <v>906.21</v>
      </c>
      <c r="N176" s="18">
        <f t="shared" si="23"/>
        <v>891.5</v>
      </c>
      <c r="O176" s="18">
        <f>IF(OR($B176="",Comparateur!E$17&lt;&gt;"OK",$B176&gt;Comparateur!E$11),"",ROUND(R175*Comparateur!E$10/12,2))</f>
        <v>292.52</v>
      </c>
      <c r="P176" s="18">
        <f>IF(O176="","",IF($B176=Comparateur!E$11,R175,Comparateur!E$20-O176))</f>
        <v>613.44000000000005</v>
      </c>
      <c r="Q176" s="18">
        <f>IF(O176="","",ROUND(IF(Comparateur!E$12=Paramètres!$B$36,Comparateur!E$9,R175)*Comparateur!E$13/12,2))</f>
        <v>30</v>
      </c>
      <c r="R176" s="31">
        <f t="shared" si="24"/>
        <v>98267.68</v>
      </c>
      <c r="S176" s="18">
        <f t="shared" si="25"/>
        <v>935.96</v>
      </c>
      <c r="T176" s="18">
        <f t="shared" si="26"/>
        <v>905.96</v>
      </c>
    </row>
    <row r="177" spans="2:20" x14ac:dyDescent="0.35">
      <c r="B177" s="29">
        <f>IF(B176="","",IF(B176+1&gt;Comparateur!$C$47,"",B176+1))</f>
        <v>170</v>
      </c>
      <c r="C177" s="18">
        <f>IF(OR($B177="",Comparateur!C$17&lt;&gt;"OK",$B177&gt;Comparateur!C$11),"",ROUND(F176*Comparateur!C$10/12,2))</f>
        <v>261.7</v>
      </c>
      <c r="D177" s="18">
        <f>IF(C177="","",IF($B177=Comparateur!C$11,F176,Comparateur!C$20-C177))</f>
        <v>615.47</v>
      </c>
      <c r="E177" s="18">
        <f>IF(C177="","",ROUND(IF(Comparateur!C$12=Paramètres!$B$36,Comparateur!C$9,F176)*Comparateur!C$13/12,2))</f>
        <v>63</v>
      </c>
      <c r="F177" s="31">
        <f t="shared" si="18"/>
        <v>96011.41</v>
      </c>
      <c r="G177" s="18">
        <f t="shared" si="19"/>
        <v>940.17000000000007</v>
      </c>
      <c r="H177" s="18">
        <f t="shared" si="20"/>
        <v>877.17000000000007</v>
      </c>
      <c r="I177" s="18">
        <f>IF(OR($B177="",Comparateur!D$17&lt;&gt;"OK",$B177&gt;Comparateur!D$11),"",ROUND(L176*Comparateur!D$10/12,2))</f>
        <v>276.10000000000002</v>
      </c>
      <c r="J177" s="18">
        <f>IF(I177="","",IF($B177=Comparateur!D$11,L176,Comparateur!D$20-I177))</f>
        <v>615.4</v>
      </c>
      <c r="K177" s="18">
        <f>IF(I177="","",ROUND(IF(Comparateur!D$12=Paramètres!$B$36,Comparateur!D$9,L176)*Comparateur!D$13/12,2))</f>
        <v>14.62</v>
      </c>
      <c r="L177" s="31">
        <f t="shared" si="21"/>
        <v>96832.8</v>
      </c>
      <c r="M177" s="18">
        <f t="shared" si="22"/>
        <v>906.12</v>
      </c>
      <c r="N177" s="18">
        <f t="shared" si="23"/>
        <v>891.5</v>
      </c>
      <c r="O177" s="18">
        <f>IF(OR($B177="",Comparateur!E$17&lt;&gt;"OK",$B177&gt;Comparateur!E$11),"",ROUND(R176*Comparateur!E$10/12,2))</f>
        <v>290.70999999999998</v>
      </c>
      <c r="P177" s="18">
        <f>IF(O177="","",IF($B177=Comparateur!E$11,R176,Comparateur!E$20-O177))</f>
        <v>615.25</v>
      </c>
      <c r="Q177" s="18">
        <f>IF(O177="","",ROUND(IF(Comparateur!E$12=Paramètres!$B$36,Comparateur!E$9,R176)*Comparateur!E$13/12,2))</f>
        <v>30</v>
      </c>
      <c r="R177" s="31">
        <f t="shared" si="24"/>
        <v>97652.43</v>
      </c>
      <c r="S177" s="18">
        <f t="shared" si="25"/>
        <v>935.96</v>
      </c>
      <c r="T177" s="18">
        <f t="shared" si="26"/>
        <v>905.96</v>
      </c>
    </row>
    <row r="178" spans="2:20" x14ac:dyDescent="0.35">
      <c r="B178" s="29">
        <f>IF(B177="","",IF(B177+1&gt;Comparateur!$C$47,"",B177+1))</f>
        <v>171</v>
      </c>
      <c r="C178" s="18">
        <f>IF(OR($B178="",Comparateur!C$17&lt;&gt;"OK",$B178&gt;Comparateur!C$11),"",ROUND(F177*Comparateur!C$10/12,2))</f>
        <v>260.02999999999997</v>
      </c>
      <c r="D178" s="18">
        <f>IF(C178="","",IF($B178=Comparateur!C$11,F177,Comparateur!C$20-C178))</f>
        <v>617.14</v>
      </c>
      <c r="E178" s="18">
        <f>IF(C178="","",ROUND(IF(Comparateur!C$12=Paramètres!$B$36,Comparateur!C$9,F177)*Comparateur!C$13/12,2))</f>
        <v>63</v>
      </c>
      <c r="F178" s="31">
        <f t="shared" si="18"/>
        <v>95394.27</v>
      </c>
      <c r="G178" s="18">
        <f t="shared" si="19"/>
        <v>940.17</v>
      </c>
      <c r="H178" s="18">
        <f t="shared" si="20"/>
        <v>877.17</v>
      </c>
      <c r="I178" s="18">
        <f>IF(OR($B178="",Comparateur!D$17&lt;&gt;"OK",$B178&gt;Comparateur!D$11),"",ROUND(L177*Comparateur!D$10/12,2))</f>
        <v>274.36</v>
      </c>
      <c r="J178" s="18">
        <f>IF(I178="","",IF($B178=Comparateur!D$11,L177,Comparateur!D$20-I178))</f>
        <v>617.14</v>
      </c>
      <c r="K178" s="18">
        <f>IF(I178="","",ROUND(IF(Comparateur!D$12=Paramètres!$B$36,Comparateur!D$9,L177)*Comparateur!D$13/12,2))</f>
        <v>14.52</v>
      </c>
      <c r="L178" s="31">
        <f t="shared" si="21"/>
        <v>96215.66</v>
      </c>
      <c r="M178" s="18">
        <f t="shared" si="22"/>
        <v>906.02</v>
      </c>
      <c r="N178" s="18">
        <f t="shared" si="23"/>
        <v>891.5</v>
      </c>
      <c r="O178" s="18">
        <f>IF(OR($B178="",Comparateur!E$17&lt;&gt;"OK",$B178&gt;Comparateur!E$11),"",ROUND(R177*Comparateur!E$10/12,2))</f>
        <v>288.89</v>
      </c>
      <c r="P178" s="18">
        <f>IF(O178="","",IF($B178=Comparateur!E$11,R177,Comparateur!E$20-O178))</f>
        <v>617.07000000000005</v>
      </c>
      <c r="Q178" s="18">
        <f>IF(O178="","",ROUND(IF(Comparateur!E$12=Paramètres!$B$36,Comparateur!E$9,R177)*Comparateur!E$13/12,2))</f>
        <v>30</v>
      </c>
      <c r="R178" s="31">
        <f t="shared" si="24"/>
        <v>97035.36</v>
      </c>
      <c r="S178" s="18">
        <f t="shared" si="25"/>
        <v>935.96</v>
      </c>
      <c r="T178" s="18">
        <f t="shared" si="26"/>
        <v>905.96</v>
      </c>
    </row>
    <row r="179" spans="2:20" x14ac:dyDescent="0.35">
      <c r="B179" s="29">
        <f>IF(B178="","",IF(B178+1&gt;Comparateur!$C$47,"",B178+1))</f>
        <v>172</v>
      </c>
      <c r="C179" s="18">
        <f>IF(OR($B179="",Comparateur!C$17&lt;&gt;"OK",$B179&gt;Comparateur!C$11),"",ROUND(F178*Comparateur!C$10/12,2))</f>
        <v>258.36</v>
      </c>
      <c r="D179" s="18">
        <f>IF(C179="","",IF($B179=Comparateur!C$11,F178,Comparateur!C$20-C179))</f>
        <v>618.80999999999995</v>
      </c>
      <c r="E179" s="18">
        <f>IF(C179="","",ROUND(IF(Comparateur!C$12=Paramètres!$B$36,Comparateur!C$9,F178)*Comparateur!C$13/12,2))</f>
        <v>63</v>
      </c>
      <c r="F179" s="31">
        <f t="shared" si="18"/>
        <v>94775.46</v>
      </c>
      <c r="G179" s="18">
        <f t="shared" si="19"/>
        <v>940.17</v>
      </c>
      <c r="H179" s="18">
        <f t="shared" si="20"/>
        <v>877.17</v>
      </c>
      <c r="I179" s="18">
        <f>IF(OR($B179="",Comparateur!D$17&lt;&gt;"OK",$B179&gt;Comparateur!D$11),"",ROUND(L178*Comparateur!D$10/12,2))</f>
        <v>272.61</v>
      </c>
      <c r="J179" s="18">
        <f>IF(I179="","",IF($B179=Comparateur!D$11,L178,Comparateur!D$20-I179))</f>
        <v>618.89</v>
      </c>
      <c r="K179" s="18">
        <f>IF(I179="","",ROUND(IF(Comparateur!D$12=Paramètres!$B$36,Comparateur!D$9,L178)*Comparateur!D$13/12,2))</f>
        <v>14.43</v>
      </c>
      <c r="L179" s="31">
        <f t="shared" si="21"/>
        <v>95596.77</v>
      </c>
      <c r="M179" s="18">
        <f t="shared" si="22"/>
        <v>905.93</v>
      </c>
      <c r="N179" s="18">
        <f t="shared" si="23"/>
        <v>891.5</v>
      </c>
      <c r="O179" s="18">
        <f>IF(OR($B179="",Comparateur!E$17&lt;&gt;"OK",$B179&gt;Comparateur!E$11),"",ROUND(R178*Comparateur!E$10/12,2))</f>
        <v>287.06</v>
      </c>
      <c r="P179" s="18">
        <f>IF(O179="","",IF($B179=Comparateur!E$11,R178,Comparateur!E$20-O179))</f>
        <v>618.90000000000009</v>
      </c>
      <c r="Q179" s="18">
        <f>IF(O179="","",ROUND(IF(Comparateur!E$12=Paramètres!$B$36,Comparateur!E$9,R178)*Comparateur!E$13/12,2))</f>
        <v>30</v>
      </c>
      <c r="R179" s="31">
        <f t="shared" si="24"/>
        <v>96416.46</v>
      </c>
      <c r="S179" s="18">
        <f t="shared" si="25"/>
        <v>935.96</v>
      </c>
      <c r="T179" s="18">
        <f t="shared" si="26"/>
        <v>905.96</v>
      </c>
    </row>
    <row r="180" spans="2:20" x14ac:dyDescent="0.35">
      <c r="B180" s="29">
        <f>IF(B179="","",IF(B179+1&gt;Comparateur!$C$47,"",B179+1))</f>
        <v>173</v>
      </c>
      <c r="C180" s="18">
        <f>IF(OR($B180="",Comparateur!C$17&lt;&gt;"OK",$B180&gt;Comparateur!C$11),"",ROUND(F179*Comparateur!C$10/12,2))</f>
        <v>256.68</v>
      </c>
      <c r="D180" s="18">
        <f>IF(C180="","",IF($B180=Comparateur!C$11,F179,Comparateur!C$20-C180))</f>
        <v>620.49</v>
      </c>
      <c r="E180" s="18">
        <f>IF(C180="","",ROUND(IF(Comparateur!C$12=Paramètres!$B$36,Comparateur!C$9,F179)*Comparateur!C$13/12,2))</f>
        <v>63</v>
      </c>
      <c r="F180" s="31">
        <f t="shared" si="18"/>
        <v>94154.97</v>
      </c>
      <c r="G180" s="18">
        <f t="shared" si="19"/>
        <v>940.17000000000007</v>
      </c>
      <c r="H180" s="18">
        <f t="shared" si="20"/>
        <v>877.17000000000007</v>
      </c>
      <c r="I180" s="18">
        <f>IF(OR($B180="",Comparateur!D$17&lt;&gt;"OK",$B180&gt;Comparateur!D$11),"",ROUND(L179*Comparateur!D$10/12,2))</f>
        <v>270.86</v>
      </c>
      <c r="J180" s="18">
        <f>IF(I180="","",IF($B180=Comparateur!D$11,L179,Comparateur!D$20-I180))</f>
        <v>620.64</v>
      </c>
      <c r="K180" s="18">
        <f>IF(I180="","",ROUND(IF(Comparateur!D$12=Paramètres!$B$36,Comparateur!D$9,L179)*Comparateur!D$13/12,2))</f>
        <v>14.34</v>
      </c>
      <c r="L180" s="31">
        <f t="shared" si="21"/>
        <v>94976.13</v>
      </c>
      <c r="M180" s="18">
        <f t="shared" si="22"/>
        <v>905.84</v>
      </c>
      <c r="N180" s="18">
        <f t="shared" si="23"/>
        <v>891.5</v>
      </c>
      <c r="O180" s="18">
        <f>IF(OR($B180="",Comparateur!E$17&lt;&gt;"OK",$B180&gt;Comparateur!E$11),"",ROUND(R179*Comparateur!E$10/12,2))</f>
        <v>285.23</v>
      </c>
      <c r="P180" s="18">
        <f>IF(O180="","",IF($B180=Comparateur!E$11,R179,Comparateur!E$20-O180))</f>
        <v>620.73</v>
      </c>
      <c r="Q180" s="18">
        <f>IF(O180="","",ROUND(IF(Comparateur!E$12=Paramètres!$B$36,Comparateur!E$9,R179)*Comparateur!E$13/12,2))</f>
        <v>30</v>
      </c>
      <c r="R180" s="31">
        <f t="shared" si="24"/>
        <v>95795.73</v>
      </c>
      <c r="S180" s="18">
        <f t="shared" si="25"/>
        <v>935.96</v>
      </c>
      <c r="T180" s="18">
        <f t="shared" si="26"/>
        <v>905.96</v>
      </c>
    </row>
    <row r="181" spans="2:20" x14ac:dyDescent="0.35">
      <c r="B181" s="29">
        <f>IF(B180="","",IF(B180+1&gt;Comparateur!$C$47,"",B180+1))</f>
        <v>174</v>
      </c>
      <c r="C181" s="18">
        <f>IF(OR($B181="",Comparateur!C$17&lt;&gt;"OK",$B181&gt;Comparateur!C$11),"",ROUND(F180*Comparateur!C$10/12,2))</f>
        <v>255</v>
      </c>
      <c r="D181" s="18">
        <f>IF(C181="","",IF($B181=Comparateur!C$11,F180,Comparateur!C$20-C181))</f>
        <v>622.16999999999996</v>
      </c>
      <c r="E181" s="18">
        <f>IF(C181="","",ROUND(IF(Comparateur!C$12=Paramètres!$B$36,Comparateur!C$9,F180)*Comparateur!C$13/12,2))</f>
        <v>63</v>
      </c>
      <c r="F181" s="31">
        <f t="shared" si="18"/>
        <v>93532.800000000003</v>
      </c>
      <c r="G181" s="18">
        <f t="shared" si="19"/>
        <v>940.17</v>
      </c>
      <c r="H181" s="18">
        <f t="shared" si="20"/>
        <v>877.17</v>
      </c>
      <c r="I181" s="18">
        <f>IF(OR($B181="",Comparateur!D$17&lt;&gt;"OK",$B181&gt;Comparateur!D$11),"",ROUND(L180*Comparateur!D$10/12,2))</f>
        <v>269.10000000000002</v>
      </c>
      <c r="J181" s="18">
        <f>IF(I181="","",IF($B181=Comparateur!D$11,L180,Comparateur!D$20-I181))</f>
        <v>622.4</v>
      </c>
      <c r="K181" s="18">
        <f>IF(I181="","",ROUND(IF(Comparateur!D$12=Paramètres!$B$36,Comparateur!D$9,L180)*Comparateur!D$13/12,2))</f>
        <v>14.25</v>
      </c>
      <c r="L181" s="31">
        <f t="shared" si="21"/>
        <v>94353.73</v>
      </c>
      <c r="M181" s="18">
        <f t="shared" si="22"/>
        <v>905.75</v>
      </c>
      <c r="N181" s="18">
        <f t="shared" si="23"/>
        <v>891.5</v>
      </c>
      <c r="O181" s="18">
        <f>IF(OR($B181="",Comparateur!E$17&lt;&gt;"OK",$B181&gt;Comparateur!E$11),"",ROUND(R180*Comparateur!E$10/12,2))</f>
        <v>283.39999999999998</v>
      </c>
      <c r="P181" s="18">
        <f>IF(O181="","",IF($B181=Comparateur!E$11,R180,Comparateur!E$20-O181))</f>
        <v>622.56000000000006</v>
      </c>
      <c r="Q181" s="18">
        <f>IF(O181="","",ROUND(IF(Comparateur!E$12=Paramètres!$B$36,Comparateur!E$9,R180)*Comparateur!E$13/12,2))</f>
        <v>30</v>
      </c>
      <c r="R181" s="31">
        <f t="shared" si="24"/>
        <v>95173.17</v>
      </c>
      <c r="S181" s="18">
        <f t="shared" si="25"/>
        <v>935.96</v>
      </c>
      <c r="T181" s="18">
        <f t="shared" si="26"/>
        <v>905.96</v>
      </c>
    </row>
    <row r="182" spans="2:20" x14ac:dyDescent="0.35">
      <c r="B182" s="29">
        <f>IF(B181="","",IF(B181+1&gt;Comparateur!$C$47,"",B181+1))</f>
        <v>175</v>
      </c>
      <c r="C182" s="18">
        <f>IF(OR($B182="",Comparateur!C$17&lt;&gt;"OK",$B182&gt;Comparateur!C$11),"",ROUND(F181*Comparateur!C$10/12,2))</f>
        <v>253.32</v>
      </c>
      <c r="D182" s="18">
        <f>IF(C182="","",IF($B182=Comparateur!C$11,F181,Comparateur!C$20-C182))</f>
        <v>623.84999999999991</v>
      </c>
      <c r="E182" s="18">
        <f>IF(C182="","",ROUND(IF(Comparateur!C$12=Paramètres!$B$36,Comparateur!C$9,F181)*Comparateur!C$13/12,2))</f>
        <v>63</v>
      </c>
      <c r="F182" s="31">
        <f t="shared" si="18"/>
        <v>92908.95</v>
      </c>
      <c r="G182" s="18">
        <f t="shared" si="19"/>
        <v>940.16999999999985</v>
      </c>
      <c r="H182" s="18">
        <f t="shared" si="20"/>
        <v>877.16999999999985</v>
      </c>
      <c r="I182" s="18">
        <f>IF(OR($B182="",Comparateur!D$17&lt;&gt;"OK",$B182&gt;Comparateur!D$11),"",ROUND(L181*Comparateur!D$10/12,2))</f>
        <v>267.33999999999997</v>
      </c>
      <c r="J182" s="18">
        <f>IF(I182="","",IF($B182=Comparateur!D$11,L181,Comparateur!D$20-I182))</f>
        <v>624.16000000000008</v>
      </c>
      <c r="K182" s="18">
        <f>IF(I182="","",ROUND(IF(Comparateur!D$12=Paramètres!$B$36,Comparateur!D$9,L181)*Comparateur!D$13/12,2))</f>
        <v>14.15</v>
      </c>
      <c r="L182" s="31">
        <f t="shared" si="21"/>
        <v>93729.57</v>
      </c>
      <c r="M182" s="18">
        <f t="shared" si="22"/>
        <v>905.65</v>
      </c>
      <c r="N182" s="18">
        <f t="shared" si="23"/>
        <v>891.5</v>
      </c>
      <c r="O182" s="18">
        <f>IF(OR($B182="",Comparateur!E$17&lt;&gt;"OK",$B182&gt;Comparateur!E$11),"",ROUND(R181*Comparateur!E$10/12,2))</f>
        <v>281.55</v>
      </c>
      <c r="P182" s="18">
        <f>IF(O182="","",IF($B182=Comparateur!E$11,R181,Comparateur!E$20-O182))</f>
        <v>624.41000000000008</v>
      </c>
      <c r="Q182" s="18">
        <f>IF(O182="","",ROUND(IF(Comparateur!E$12=Paramètres!$B$36,Comparateur!E$9,R181)*Comparateur!E$13/12,2))</f>
        <v>30</v>
      </c>
      <c r="R182" s="31">
        <f t="shared" si="24"/>
        <v>94548.76</v>
      </c>
      <c r="S182" s="18">
        <f t="shared" si="25"/>
        <v>935.96</v>
      </c>
      <c r="T182" s="18">
        <f t="shared" si="26"/>
        <v>905.96</v>
      </c>
    </row>
    <row r="183" spans="2:20" x14ac:dyDescent="0.35">
      <c r="B183" s="29">
        <f>IF(B182="","",IF(B182+1&gt;Comparateur!$C$47,"",B182+1))</f>
        <v>176</v>
      </c>
      <c r="C183" s="18">
        <f>IF(OR($B183="",Comparateur!C$17&lt;&gt;"OK",$B183&gt;Comparateur!C$11),"",ROUND(F182*Comparateur!C$10/12,2))</f>
        <v>251.63</v>
      </c>
      <c r="D183" s="18">
        <f>IF(C183="","",IF($B183=Comparateur!C$11,F182,Comparateur!C$20-C183))</f>
        <v>625.54</v>
      </c>
      <c r="E183" s="18">
        <f>IF(C183="","",ROUND(IF(Comparateur!C$12=Paramètres!$B$36,Comparateur!C$9,F182)*Comparateur!C$13/12,2))</f>
        <v>63</v>
      </c>
      <c r="F183" s="31">
        <f t="shared" si="18"/>
        <v>92283.41</v>
      </c>
      <c r="G183" s="18">
        <f t="shared" si="19"/>
        <v>940.17</v>
      </c>
      <c r="H183" s="18">
        <f t="shared" si="20"/>
        <v>877.17</v>
      </c>
      <c r="I183" s="18">
        <f>IF(OR($B183="",Comparateur!D$17&lt;&gt;"OK",$B183&gt;Comparateur!D$11),"",ROUND(L182*Comparateur!D$10/12,2))</f>
        <v>265.57</v>
      </c>
      <c r="J183" s="18">
        <f>IF(I183="","",IF($B183=Comparateur!D$11,L182,Comparateur!D$20-I183))</f>
        <v>625.93000000000006</v>
      </c>
      <c r="K183" s="18">
        <f>IF(I183="","",ROUND(IF(Comparateur!D$12=Paramètres!$B$36,Comparateur!D$9,L182)*Comparateur!D$13/12,2))</f>
        <v>14.06</v>
      </c>
      <c r="L183" s="31">
        <f t="shared" si="21"/>
        <v>93103.64</v>
      </c>
      <c r="M183" s="18">
        <f t="shared" si="22"/>
        <v>905.56</v>
      </c>
      <c r="N183" s="18">
        <f t="shared" si="23"/>
        <v>891.5</v>
      </c>
      <c r="O183" s="18">
        <f>IF(OR($B183="",Comparateur!E$17&lt;&gt;"OK",$B183&gt;Comparateur!E$11),"",ROUND(R182*Comparateur!E$10/12,2))</f>
        <v>279.70999999999998</v>
      </c>
      <c r="P183" s="18">
        <f>IF(O183="","",IF($B183=Comparateur!E$11,R182,Comparateur!E$20-O183))</f>
        <v>626.25</v>
      </c>
      <c r="Q183" s="18">
        <f>IF(O183="","",ROUND(IF(Comparateur!E$12=Paramètres!$B$36,Comparateur!E$9,R182)*Comparateur!E$13/12,2))</f>
        <v>30</v>
      </c>
      <c r="R183" s="31">
        <f t="shared" si="24"/>
        <v>93922.51</v>
      </c>
      <c r="S183" s="18">
        <f t="shared" si="25"/>
        <v>935.96</v>
      </c>
      <c r="T183" s="18">
        <f t="shared" si="26"/>
        <v>905.96</v>
      </c>
    </row>
    <row r="184" spans="2:20" x14ac:dyDescent="0.35">
      <c r="B184" s="29">
        <f>IF(B183="","",IF(B183+1&gt;Comparateur!$C$47,"",B183+1))</f>
        <v>177</v>
      </c>
      <c r="C184" s="18">
        <f>IF(OR($B184="",Comparateur!C$17&lt;&gt;"OK",$B184&gt;Comparateur!C$11),"",ROUND(F183*Comparateur!C$10/12,2))</f>
        <v>249.93</v>
      </c>
      <c r="D184" s="18">
        <f>IF(C184="","",IF($B184=Comparateur!C$11,F183,Comparateur!C$20-C184))</f>
        <v>627.24</v>
      </c>
      <c r="E184" s="18">
        <f>IF(C184="","",ROUND(IF(Comparateur!C$12=Paramètres!$B$36,Comparateur!C$9,F183)*Comparateur!C$13/12,2))</f>
        <v>63</v>
      </c>
      <c r="F184" s="31">
        <f t="shared" si="18"/>
        <v>91656.17</v>
      </c>
      <c r="G184" s="18">
        <f t="shared" si="19"/>
        <v>940.17000000000007</v>
      </c>
      <c r="H184" s="18">
        <f t="shared" si="20"/>
        <v>877.17000000000007</v>
      </c>
      <c r="I184" s="18">
        <f>IF(OR($B184="",Comparateur!D$17&lt;&gt;"OK",$B184&gt;Comparateur!D$11),"",ROUND(L183*Comparateur!D$10/12,2))</f>
        <v>263.79000000000002</v>
      </c>
      <c r="J184" s="18">
        <f>IF(I184="","",IF($B184=Comparateur!D$11,L183,Comparateur!D$20-I184))</f>
        <v>627.71</v>
      </c>
      <c r="K184" s="18">
        <f>IF(I184="","",ROUND(IF(Comparateur!D$12=Paramètres!$B$36,Comparateur!D$9,L183)*Comparateur!D$13/12,2))</f>
        <v>13.97</v>
      </c>
      <c r="L184" s="31">
        <f t="shared" si="21"/>
        <v>92475.93</v>
      </c>
      <c r="M184" s="18">
        <f t="shared" si="22"/>
        <v>905.47</v>
      </c>
      <c r="N184" s="18">
        <f t="shared" si="23"/>
        <v>891.5</v>
      </c>
      <c r="O184" s="18">
        <f>IF(OR($B184="",Comparateur!E$17&lt;&gt;"OK",$B184&gt;Comparateur!E$11),"",ROUND(R183*Comparateur!E$10/12,2))</f>
        <v>277.85000000000002</v>
      </c>
      <c r="P184" s="18">
        <f>IF(O184="","",IF($B184=Comparateur!E$11,R183,Comparateur!E$20-O184))</f>
        <v>628.11</v>
      </c>
      <c r="Q184" s="18">
        <f>IF(O184="","",ROUND(IF(Comparateur!E$12=Paramètres!$B$36,Comparateur!E$9,R183)*Comparateur!E$13/12,2))</f>
        <v>30</v>
      </c>
      <c r="R184" s="31">
        <f t="shared" si="24"/>
        <v>93294.399999999994</v>
      </c>
      <c r="S184" s="18">
        <f t="shared" si="25"/>
        <v>935.96</v>
      </c>
      <c r="T184" s="18">
        <f t="shared" si="26"/>
        <v>905.96</v>
      </c>
    </row>
    <row r="185" spans="2:20" x14ac:dyDescent="0.35">
      <c r="B185" s="29">
        <f>IF(B184="","",IF(B184+1&gt;Comparateur!$C$47,"",B184+1))</f>
        <v>178</v>
      </c>
      <c r="C185" s="18">
        <f>IF(OR($B185="",Comparateur!C$17&lt;&gt;"OK",$B185&gt;Comparateur!C$11),"",ROUND(F184*Comparateur!C$10/12,2))</f>
        <v>248.24</v>
      </c>
      <c r="D185" s="18">
        <f>IF(C185="","",IF($B185=Comparateur!C$11,F184,Comparateur!C$20-C185))</f>
        <v>628.92999999999995</v>
      </c>
      <c r="E185" s="18">
        <f>IF(C185="","",ROUND(IF(Comparateur!C$12=Paramètres!$B$36,Comparateur!C$9,F184)*Comparateur!C$13/12,2))</f>
        <v>63</v>
      </c>
      <c r="F185" s="31">
        <f t="shared" si="18"/>
        <v>91027.24</v>
      </c>
      <c r="G185" s="18">
        <f t="shared" si="19"/>
        <v>940.17</v>
      </c>
      <c r="H185" s="18">
        <f t="shared" si="20"/>
        <v>877.17</v>
      </c>
      <c r="I185" s="18">
        <f>IF(OR($B185="",Comparateur!D$17&lt;&gt;"OK",$B185&gt;Comparateur!D$11),"",ROUND(L184*Comparateur!D$10/12,2))</f>
        <v>262.02</v>
      </c>
      <c r="J185" s="18">
        <f>IF(I185="","",IF($B185=Comparateur!D$11,L184,Comparateur!D$20-I185))</f>
        <v>629.48</v>
      </c>
      <c r="K185" s="18">
        <f>IF(I185="","",ROUND(IF(Comparateur!D$12=Paramètres!$B$36,Comparateur!D$9,L184)*Comparateur!D$13/12,2))</f>
        <v>13.87</v>
      </c>
      <c r="L185" s="31">
        <f t="shared" si="21"/>
        <v>91846.45</v>
      </c>
      <c r="M185" s="18">
        <f t="shared" si="22"/>
        <v>905.37</v>
      </c>
      <c r="N185" s="18">
        <f t="shared" si="23"/>
        <v>891.5</v>
      </c>
      <c r="O185" s="18">
        <f>IF(OR($B185="",Comparateur!E$17&lt;&gt;"OK",$B185&gt;Comparateur!E$11),"",ROUND(R184*Comparateur!E$10/12,2))</f>
        <v>276</v>
      </c>
      <c r="P185" s="18">
        <f>IF(O185="","",IF($B185=Comparateur!E$11,R184,Comparateur!E$20-O185))</f>
        <v>629.96</v>
      </c>
      <c r="Q185" s="18">
        <f>IF(O185="","",ROUND(IF(Comparateur!E$12=Paramètres!$B$36,Comparateur!E$9,R184)*Comparateur!E$13/12,2))</f>
        <v>30</v>
      </c>
      <c r="R185" s="31">
        <f t="shared" si="24"/>
        <v>92664.44</v>
      </c>
      <c r="S185" s="18">
        <f t="shared" si="25"/>
        <v>935.96</v>
      </c>
      <c r="T185" s="18">
        <f t="shared" si="26"/>
        <v>905.96</v>
      </c>
    </row>
    <row r="186" spans="2:20" x14ac:dyDescent="0.35">
      <c r="B186" s="29">
        <f>IF(B185="","",IF(B185+1&gt;Comparateur!$C$47,"",B185+1))</f>
        <v>179</v>
      </c>
      <c r="C186" s="18">
        <f>IF(OR($B186="",Comparateur!C$17&lt;&gt;"OK",$B186&gt;Comparateur!C$11),"",ROUND(F185*Comparateur!C$10/12,2))</f>
        <v>246.53</v>
      </c>
      <c r="D186" s="18">
        <f>IF(C186="","",IF($B186=Comparateur!C$11,F185,Comparateur!C$20-C186))</f>
        <v>630.64</v>
      </c>
      <c r="E186" s="18">
        <f>IF(C186="","",ROUND(IF(Comparateur!C$12=Paramètres!$B$36,Comparateur!C$9,F185)*Comparateur!C$13/12,2))</f>
        <v>63</v>
      </c>
      <c r="F186" s="31">
        <f t="shared" si="18"/>
        <v>90396.6</v>
      </c>
      <c r="G186" s="18">
        <f t="shared" si="19"/>
        <v>940.17</v>
      </c>
      <c r="H186" s="18">
        <f t="shared" si="20"/>
        <v>877.17</v>
      </c>
      <c r="I186" s="18">
        <f>IF(OR($B186="",Comparateur!D$17&lt;&gt;"OK",$B186&gt;Comparateur!D$11),"",ROUND(L185*Comparateur!D$10/12,2))</f>
        <v>260.23</v>
      </c>
      <c r="J186" s="18">
        <f>IF(I186="","",IF($B186=Comparateur!D$11,L185,Comparateur!D$20-I186))</f>
        <v>631.27</v>
      </c>
      <c r="K186" s="18">
        <f>IF(I186="","",ROUND(IF(Comparateur!D$12=Paramètres!$B$36,Comparateur!D$9,L185)*Comparateur!D$13/12,2))</f>
        <v>13.78</v>
      </c>
      <c r="L186" s="31">
        <f t="shared" si="21"/>
        <v>91215.18</v>
      </c>
      <c r="M186" s="18">
        <f t="shared" si="22"/>
        <v>905.28</v>
      </c>
      <c r="N186" s="18">
        <f t="shared" si="23"/>
        <v>891.5</v>
      </c>
      <c r="O186" s="18">
        <f>IF(OR($B186="",Comparateur!E$17&lt;&gt;"OK",$B186&gt;Comparateur!E$11),"",ROUND(R185*Comparateur!E$10/12,2))</f>
        <v>274.13</v>
      </c>
      <c r="P186" s="18">
        <f>IF(O186="","",IF($B186=Comparateur!E$11,R185,Comparateur!E$20-O186))</f>
        <v>631.83000000000004</v>
      </c>
      <c r="Q186" s="18">
        <f>IF(O186="","",ROUND(IF(Comparateur!E$12=Paramètres!$B$36,Comparateur!E$9,R185)*Comparateur!E$13/12,2))</f>
        <v>30</v>
      </c>
      <c r="R186" s="31">
        <f t="shared" si="24"/>
        <v>92032.61</v>
      </c>
      <c r="S186" s="18">
        <f t="shared" si="25"/>
        <v>935.96</v>
      </c>
      <c r="T186" s="18">
        <f t="shared" si="26"/>
        <v>905.96</v>
      </c>
    </row>
    <row r="187" spans="2:20" x14ac:dyDescent="0.35">
      <c r="B187" s="29">
        <f>IF(B186="","",IF(B186+1&gt;Comparateur!$C$47,"",B186+1))</f>
        <v>180</v>
      </c>
      <c r="C187" s="18">
        <f>IF(OR($B187="",Comparateur!C$17&lt;&gt;"OK",$B187&gt;Comparateur!C$11),"",ROUND(F186*Comparateur!C$10/12,2))</f>
        <v>244.82</v>
      </c>
      <c r="D187" s="18">
        <f>IF(C187="","",IF($B187=Comparateur!C$11,F186,Comparateur!C$20-C187))</f>
        <v>632.34999999999991</v>
      </c>
      <c r="E187" s="18">
        <f>IF(C187="","",ROUND(IF(Comparateur!C$12=Paramètres!$B$36,Comparateur!C$9,F186)*Comparateur!C$13/12,2))</f>
        <v>63</v>
      </c>
      <c r="F187" s="31">
        <f t="shared" si="18"/>
        <v>89764.25</v>
      </c>
      <c r="G187" s="18">
        <f t="shared" si="19"/>
        <v>940.16999999999985</v>
      </c>
      <c r="H187" s="18">
        <f t="shared" si="20"/>
        <v>877.16999999999985</v>
      </c>
      <c r="I187" s="18">
        <f>IF(OR($B187="",Comparateur!D$17&lt;&gt;"OK",$B187&gt;Comparateur!D$11),"",ROUND(L186*Comparateur!D$10/12,2))</f>
        <v>258.44</v>
      </c>
      <c r="J187" s="18">
        <f>IF(I187="","",IF($B187=Comparateur!D$11,L186,Comparateur!D$20-I187))</f>
        <v>633.05999999999995</v>
      </c>
      <c r="K187" s="18">
        <f>IF(I187="","",ROUND(IF(Comparateur!D$12=Paramètres!$B$36,Comparateur!D$9,L186)*Comparateur!D$13/12,2))</f>
        <v>13.68</v>
      </c>
      <c r="L187" s="31">
        <f t="shared" si="21"/>
        <v>90582.12</v>
      </c>
      <c r="M187" s="18">
        <f t="shared" si="22"/>
        <v>905.18</v>
      </c>
      <c r="N187" s="18">
        <f t="shared" si="23"/>
        <v>891.5</v>
      </c>
      <c r="O187" s="18">
        <f>IF(OR($B187="",Comparateur!E$17&lt;&gt;"OK",$B187&gt;Comparateur!E$11),"",ROUND(R186*Comparateur!E$10/12,2))</f>
        <v>272.26</v>
      </c>
      <c r="P187" s="18">
        <f>IF(O187="","",IF($B187=Comparateur!E$11,R186,Comparateur!E$20-O187))</f>
        <v>633.70000000000005</v>
      </c>
      <c r="Q187" s="18">
        <f>IF(O187="","",ROUND(IF(Comparateur!E$12=Paramètres!$B$36,Comparateur!E$9,R186)*Comparateur!E$13/12,2))</f>
        <v>30</v>
      </c>
      <c r="R187" s="31">
        <f t="shared" si="24"/>
        <v>91398.91</v>
      </c>
      <c r="S187" s="18">
        <f t="shared" si="25"/>
        <v>935.96</v>
      </c>
      <c r="T187" s="18">
        <f t="shared" si="26"/>
        <v>905.96</v>
      </c>
    </row>
    <row r="188" spans="2:20" x14ac:dyDescent="0.35">
      <c r="B188" s="29">
        <f>IF(B187="","",IF(B187+1&gt;Comparateur!$C$47,"",B187+1))</f>
        <v>181</v>
      </c>
      <c r="C188" s="18">
        <f>IF(OR($B188="",Comparateur!C$17&lt;&gt;"OK",$B188&gt;Comparateur!C$11),"",ROUND(F187*Comparateur!C$10/12,2))</f>
        <v>243.11</v>
      </c>
      <c r="D188" s="18">
        <f>IF(C188="","",IF($B188=Comparateur!C$11,F187,Comparateur!C$20-C188))</f>
        <v>634.05999999999995</v>
      </c>
      <c r="E188" s="18">
        <f>IF(C188="","",ROUND(IF(Comparateur!C$12=Paramètres!$B$36,Comparateur!C$9,F187)*Comparateur!C$13/12,2))</f>
        <v>63</v>
      </c>
      <c r="F188" s="31">
        <f t="shared" si="18"/>
        <v>89130.19</v>
      </c>
      <c r="G188" s="18">
        <f t="shared" si="19"/>
        <v>940.17</v>
      </c>
      <c r="H188" s="18">
        <f t="shared" si="20"/>
        <v>877.17</v>
      </c>
      <c r="I188" s="18">
        <f>IF(OR($B188="",Comparateur!D$17&lt;&gt;"OK",$B188&gt;Comparateur!D$11),"",ROUND(L187*Comparateur!D$10/12,2))</f>
        <v>256.64999999999998</v>
      </c>
      <c r="J188" s="18">
        <f>IF(I188="","",IF($B188=Comparateur!D$11,L187,Comparateur!D$20-I188))</f>
        <v>634.85</v>
      </c>
      <c r="K188" s="18">
        <f>IF(I188="","",ROUND(IF(Comparateur!D$12=Paramètres!$B$36,Comparateur!D$9,L187)*Comparateur!D$13/12,2))</f>
        <v>13.59</v>
      </c>
      <c r="L188" s="31">
        <f t="shared" si="21"/>
        <v>89947.27</v>
      </c>
      <c r="M188" s="18">
        <f t="shared" si="22"/>
        <v>905.09</v>
      </c>
      <c r="N188" s="18">
        <f t="shared" si="23"/>
        <v>891.5</v>
      </c>
      <c r="O188" s="18">
        <f>IF(OR($B188="",Comparateur!E$17&lt;&gt;"OK",$B188&gt;Comparateur!E$11),"",ROUND(R187*Comparateur!E$10/12,2))</f>
        <v>270.39</v>
      </c>
      <c r="P188" s="18">
        <f>IF(O188="","",IF($B188=Comparateur!E$11,R187,Comparateur!E$20-O188))</f>
        <v>635.57000000000005</v>
      </c>
      <c r="Q188" s="18">
        <f>IF(O188="","",ROUND(IF(Comparateur!E$12=Paramètres!$B$36,Comparateur!E$9,R187)*Comparateur!E$13/12,2))</f>
        <v>30</v>
      </c>
      <c r="R188" s="31">
        <f t="shared" si="24"/>
        <v>90763.34</v>
      </c>
      <c r="S188" s="18">
        <f t="shared" si="25"/>
        <v>935.96</v>
      </c>
      <c r="T188" s="18">
        <f t="shared" si="26"/>
        <v>905.96</v>
      </c>
    </row>
    <row r="189" spans="2:20" x14ac:dyDescent="0.35">
      <c r="B189" s="29">
        <f>IF(B188="","",IF(B188+1&gt;Comparateur!$C$47,"",B188+1))</f>
        <v>182</v>
      </c>
      <c r="C189" s="18">
        <f>IF(OR($B189="",Comparateur!C$17&lt;&gt;"OK",$B189&gt;Comparateur!C$11),"",ROUND(F188*Comparateur!C$10/12,2))</f>
        <v>241.39</v>
      </c>
      <c r="D189" s="18">
        <f>IF(C189="","",IF($B189=Comparateur!C$11,F188,Comparateur!C$20-C189))</f>
        <v>635.78</v>
      </c>
      <c r="E189" s="18">
        <f>IF(C189="","",ROUND(IF(Comparateur!C$12=Paramètres!$B$36,Comparateur!C$9,F188)*Comparateur!C$13/12,2))</f>
        <v>63</v>
      </c>
      <c r="F189" s="31">
        <f t="shared" si="18"/>
        <v>88494.41</v>
      </c>
      <c r="G189" s="18">
        <f t="shared" si="19"/>
        <v>940.17</v>
      </c>
      <c r="H189" s="18">
        <f t="shared" si="20"/>
        <v>877.17</v>
      </c>
      <c r="I189" s="18">
        <f>IF(OR($B189="",Comparateur!D$17&lt;&gt;"OK",$B189&gt;Comparateur!D$11),"",ROUND(L188*Comparateur!D$10/12,2))</f>
        <v>254.85</v>
      </c>
      <c r="J189" s="18">
        <f>IF(I189="","",IF($B189=Comparateur!D$11,L188,Comparateur!D$20-I189))</f>
        <v>636.65</v>
      </c>
      <c r="K189" s="18">
        <f>IF(I189="","",ROUND(IF(Comparateur!D$12=Paramètres!$B$36,Comparateur!D$9,L188)*Comparateur!D$13/12,2))</f>
        <v>13.49</v>
      </c>
      <c r="L189" s="31">
        <f t="shared" si="21"/>
        <v>89310.62</v>
      </c>
      <c r="M189" s="18">
        <f t="shared" si="22"/>
        <v>904.99</v>
      </c>
      <c r="N189" s="18">
        <f t="shared" si="23"/>
        <v>891.5</v>
      </c>
      <c r="O189" s="18">
        <f>IF(OR($B189="",Comparateur!E$17&lt;&gt;"OK",$B189&gt;Comparateur!E$11),"",ROUND(R188*Comparateur!E$10/12,2))</f>
        <v>268.51</v>
      </c>
      <c r="P189" s="18">
        <f>IF(O189="","",IF($B189=Comparateur!E$11,R188,Comparateur!E$20-O189))</f>
        <v>637.45000000000005</v>
      </c>
      <c r="Q189" s="18">
        <f>IF(O189="","",ROUND(IF(Comparateur!E$12=Paramètres!$B$36,Comparateur!E$9,R188)*Comparateur!E$13/12,2))</f>
        <v>30</v>
      </c>
      <c r="R189" s="31">
        <f t="shared" si="24"/>
        <v>90125.89</v>
      </c>
      <c r="S189" s="18">
        <f t="shared" si="25"/>
        <v>935.96</v>
      </c>
      <c r="T189" s="18">
        <f t="shared" si="26"/>
        <v>905.96</v>
      </c>
    </row>
    <row r="190" spans="2:20" x14ac:dyDescent="0.35">
      <c r="B190" s="29">
        <f>IF(B189="","",IF(B189+1&gt;Comparateur!$C$47,"",B189+1))</f>
        <v>183</v>
      </c>
      <c r="C190" s="18">
        <f>IF(OR($B190="",Comparateur!C$17&lt;&gt;"OK",$B190&gt;Comparateur!C$11),"",ROUND(F189*Comparateur!C$10/12,2))</f>
        <v>239.67</v>
      </c>
      <c r="D190" s="18">
        <f>IF(C190="","",IF($B190=Comparateur!C$11,F189,Comparateur!C$20-C190))</f>
        <v>637.5</v>
      </c>
      <c r="E190" s="18">
        <f>IF(C190="","",ROUND(IF(Comparateur!C$12=Paramètres!$B$36,Comparateur!C$9,F189)*Comparateur!C$13/12,2))</f>
        <v>63</v>
      </c>
      <c r="F190" s="31">
        <f t="shared" si="18"/>
        <v>87856.91</v>
      </c>
      <c r="G190" s="18">
        <f t="shared" si="19"/>
        <v>940.17</v>
      </c>
      <c r="H190" s="18">
        <f t="shared" si="20"/>
        <v>877.17</v>
      </c>
      <c r="I190" s="18">
        <f>IF(OR($B190="",Comparateur!D$17&lt;&gt;"OK",$B190&gt;Comparateur!D$11),"",ROUND(L189*Comparateur!D$10/12,2))</f>
        <v>253.05</v>
      </c>
      <c r="J190" s="18">
        <f>IF(I190="","",IF($B190=Comparateur!D$11,L189,Comparateur!D$20-I190))</f>
        <v>638.45000000000005</v>
      </c>
      <c r="K190" s="18">
        <f>IF(I190="","",ROUND(IF(Comparateur!D$12=Paramètres!$B$36,Comparateur!D$9,L189)*Comparateur!D$13/12,2))</f>
        <v>13.4</v>
      </c>
      <c r="L190" s="31">
        <f t="shared" si="21"/>
        <v>88672.17</v>
      </c>
      <c r="M190" s="18">
        <f t="shared" si="22"/>
        <v>904.9</v>
      </c>
      <c r="N190" s="18">
        <f t="shared" si="23"/>
        <v>891.5</v>
      </c>
      <c r="O190" s="18">
        <f>IF(OR($B190="",Comparateur!E$17&lt;&gt;"OK",$B190&gt;Comparateur!E$11),"",ROUND(R189*Comparateur!E$10/12,2))</f>
        <v>266.62</v>
      </c>
      <c r="P190" s="18">
        <f>IF(O190="","",IF($B190=Comparateur!E$11,R189,Comparateur!E$20-O190))</f>
        <v>639.34</v>
      </c>
      <c r="Q190" s="18">
        <f>IF(O190="","",ROUND(IF(Comparateur!E$12=Paramètres!$B$36,Comparateur!E$9,R189)*Comparateur!E$13/12,2))</f>
        <v>30</v>
      </c>
      <c r="R190" s="31">
        <f t="shared" si="24"/>
        <v>89486.55</v>
      </c>
      <c r="S190" s="18">
        <f t="shared" si="25"/>
        <v>935.96</v>
      </c>
      <c r="T190" s="18">
        <f t="shared" si="26"/>
        <v>905.96</v>
      </c>
    </row>
    <row r="191" spans="2:20" x14ac:dyDescent="0.35">
      <c r="B191" s="29">
        <f>IF(B190="","",IF(B190+1&gt;Comparateur!$C$47,"",B190+1))</f>
        <v>184</v>
      </c>
      <c r="C191" s="18">
        <f>IF(OR($B191="",Comparateur!C$17&lt;&gt;"OK",$B191&gt;Comparateur!C$11),"",ROUND(F190*Comparateur!C$10/12,2))</f>
        <v>237.95</v>
      </c>
      <c r="D191" s="18">
        <f>IF(C191="","",IF($B191=Comparateur!C$11,F190,Comparateur!C$20-C191))</f>
        <v>639.22</v>
      </c>
      <c r="E191" s="18">
        <f>IF(C191="","",ROUND(IF(Comparateur!C$12=Paramètres!$B$36,Comparateur!C$9,F190)*Comparateur!C$13/12,2))</f>
        <v>63</v>
      </c>
      <c r="F191" s="31">
        <f t="shared" si="18"/>
        <v>87217.69</v>
      </c>
      <c r="G191" s="18">
        <f t="shared" si="19"/>
        <v>940.17000000000007</v>
      </c>
      <c r="H191" s="18">
        <f t="shared" si="20"/>
        <v>877.17000000000007</v>
      </c>
      <c r="I191" s="18">
        <f>IF(OR($B191="",Comparateur!D$17&lt;&gt;"OK",$B191&gt;Comparateur!D$11),"",ROUND(L190*Comparateur!D$10/12,2))</f>
        <v>251.24</v>
      </c>
      <c r="J191" s="18">
        <f>IF(I191="","",IF($B191=Comparateur!D$11,L190,Comparateur!D$20-I191))</f>
        <v>640.26</v>
      </c>
      <c r="K191" s="18">
        <f>IF(I191="","",ROUND(IF(Comparateur!D$12=Paramètres!$B$36,Comparateur!D$9,L190)*Comparateur!D$13/12,2))</f>
        <v>13.3</v>
      </c>
      <c r="L191" s="31">
        <f t="shared" si="21"/>
        <v>88031.91</v>
      </c>
      <c r="M191" s="18">
        <f t="shared" si="22"/>
        <v>904.8</v>
      </c>
      <c r="N191" s="18">
        <f t="shared" si="23"/>
        <v>891.5</v>
      </c>
      <c r="O191" s="18">
        <f>IF(OR($B191="",Comparateur!E$17&lt;&gt;"OK",$B191&gt;Comparateur!E$11),"",ROUND(R190*Comparateur!E$10/12,2))</f>
        <v>264.73</v>
      </c>
      <c r="P191" s="18">
        <f>IF(O191="","",IF($B191=Comparateur!E$11,R190,Comparateur!E$20-O191))</f>
        <v>641.23</v>
      </c>
      <c r="Q191" s="18">
        <f>IF(O191="","",ROUND(IF(Comparateur!E$12=Paramètres!$B$36,Comparateur!E$9,R190)*Comparateur!E$13/12,2))</f>
        <v>30</v>
      </c>
      <c r="R191" s="31">
        <f t="shared" si="24"/>
        <v>88845.32</v>
      </c>
      <c r="S191" s="18">
        <f t="shared" si="25"/>
        <v>935.96</v>
      </c>
      <c r="T191" s="18">
        <f t="shared" si="26"/>
        <v>905.96</v>
      </c>
    </row>
    <row r="192" spans="2:20" x14ac:dyDescent="0.35">
      <c r="B192" s="29">
        <f>IF(B191="","",IF(B191+1&gt;Comparateur!$C$47,"",B191+1))</f>
        <v>185</v>
      </c>
      <c r="C192" s="18">
        <f>IF(OR($B192="",Comparateur!C$17&lt;&gt;"OK",$B192&gt;Comparateur!C$11),"",ROUND(F191*Comparateur!C$10/12,2))</f>
        <v>236.21</v>
      </c>
      <c r="D192" s="18">
        <f>IF(C192="","",IF($B192=Comparateur!C$11,F191,Comparateur!C$20-C192))</f>
        <v>640.95999999999992</v>
      </c>
      <c r="E192" s="18">
        <f>IF(C192="","",ROUND(IF(Comparateur!C$12=Paramètres!$B$36,Comparateur!C$9,F191)*Comparateur!C$13/12,2))</f>
        <v>63</v>
      </c>
      <c r="F192" s="31">
        <f t="shared" si="18"/>
        <v>86576.73</v>
      </c>
      <c r="G192" s="18">
        <f t="shared" si="19"/>
        <v>940.17</v>
      </c>
      <c r="H192" s="18">
        <f t="shared" si="20"/>
        <v>877.17</v>
      </c>
      <c r="I192" s="18">
        <f>IF(OR($B192="",Comparateur!D$17&lt;&gt;"OK",$B192&gt;Comparateur!D$11),"",ROUND(L191*Comparateur!D$10/12,2))</f>
        <v>249.42</v>
      </c>
      <c r="J192" s="18">
        <f>IF(I192="","",IF($B192=Comparateur!D$11,L191,Comparateur!D$20-I192))</f>
        <v>642.08000000000004</v>
      </c>
      <c r="K192" s="18">
        <f>IF(I192="","",ROUND(IF(Comparateur!D$12=Paramètres!$B$36,Comparateur!D$9,L191)*Comparateur!D$13/12,2))</f>
        <v>13.2</v>
      </c>
      <c r="L192" s="31">
        <f t="shared" si="21"/>
        <v>87389.83</v>
      </c>
      <c r="M192" s="18">
        <f t="shared" si="22"/>
        <v>904.7</v>
      </c>
      <c r="N192" s="18">
        <f t="shared" si="23"/>
        <v>891.5</v>
      </c>
      <c r="O192" s="18">
        <f>IF(OR($B192="",Comparateur!E$17&lt;&gt;"OK",$B192&gt;Comparateur!E$11),"",ROUND(R191*Comparateur!E$10/12,2))</f>
        <v>262.83</v>
      </c>
      <c r="P192" s="18">
        <f>IF(O192="","",IF($B192=Comparateur!E$11,R191,Comparateur!E$20-O192))</f>
        <v>643.13000000000011</v>
      </c>
      <c r="Q192" s="18">
        <f>IF(O192="","",ROUND(IF(Comparateur!E$12=Paramètres!$B$36,Comparateur!E$9,R191)*Comparateur!E$13/12,2))</f>
        <v>30</v>
      </c>
      <c r="R192" s="31">
        <f t="shared" si="24"/>
        <v>88202.19</v>
      </c>
      <c r="S192" s="18">
        <f t="shared" si="25"/>
        <v>935.96</v>
      </c>
      <c r="T192" s="18">
        <f t="shared" si="26"/>
        <v>905.96</v>
      </c>
    </row>
    <row r="193" spans="2:20" x14ac:dyDescent="0.35">
      <c r="B193" s="29">
        <f>IF(B192="","",IF(B192+1&gt;Comparateur!$C$47,"",B192+1))</f>
        <v>186</v>
      </c>
      <c r="C193" s="18">
        <f>IF(OR($B193="",Comparateur!C$17&lt;&gt;"OK",$B193&gt;Comparateur!C$11),"",ROUND(F192*Comparateur!C$10/12,2))</f>
        <v>234.48</v>
      </c>
      <c r="D193" s="18">
        <f>IF(C193="","",IF($B193=Comparateur!C$11,F192,Comparateur!C$20-C193))</f>
        <v>642.68999999999994</v>
      </c>
      <c r="E193" s="18">
        <f>IF(C193="","",ROUND(IF(Comparateur!C$12=Paramètres!$B$36,Comparateur!C$9,F192)*Comparateur!C$13/12,2))</f>
        <v>63</v>
      </c>
      <c r="F193" s="31">
        <f t="shared" si="18"/>
        <v>85934.04</v>
      </c>
      <c r="G193" s="18">
        <f t="shared" si="19"/>
        <v>940.17</v>
      </c>
      <c r="H193" s="18">
        <f t="shared" si="20"/>
        <v>877.17</v>
      </c>
      <c r="I193" s="18">
        <f>IF(OR($B193="",Comparateur!D$17&lt;&gt;"OK",$B193&gt;Comparateur!D$11),"",ROUND(L192*Comparateur!D$10/12,2))</f>
        <v>247.6</v>
      </c>
      <c r="J193" s="18">
        <f>IF(I193="","",IF($B193=Comparateur!D$11,L192,Comparateur!D$20-I193))</f>
        <v>643.9</v>
      </c>
      <c r="K193" s="18">
        <f>IF(I193="","",ROUND(IF(Comparateur!D$12=Paramètres!$B$36,Comparateur!D$9,L192)*Comparateur!D$13/12,2))</f>
        <v>13.11</v>
      </c>
      <c r="L193" s="31">
        <f t="shared" si="21"/>
        <v>86745.93</v>
      </c>
      <c r="M193" s="18">
        <f t="shared" si="22"/>
        <v>904.61</v>
      </c>
      <c r="N193" s="18">
        <f t="shared" si="23"/>
        <v>891.5</v>
      </c>
      <c r="O193" s="18">
        <f>IF(OR($B193="",Comparateur!E$17&lt;&gt;"OK",$B193&gt;Comparateur!E$11),"",ROUND(R192*Comparateur!E$10/12,2))</f>
        <v>260.93</v>
      </c>
      <c r="P193" s="18">
        <f>IF(O193="","",IF($B193=Comparateur!E$11,R192,Comparateur!E$20-O193))</f>
        <v>645.03</v>
      </c>
      <c r="Q193" s="18">
        <f>IF(O193="","",ROUND(IF(Comparateur!E$12=Paramètres!$B$36,Comparateur!E$9,R192)*Comparateur!E$13/12,2))</f>
        <v>30</v>
      </c>
      <c r="R193" s="31">
        <f t="shared" si="24"/>
        <v>87557.16</v>
      </c>
      <c r="S193" s="18">
        <f t="shared" si="25"/>
        <v>935.96</v>
      </c>
      <c r="T193" s="18">
        <f t="shared" si="26"/>
        <v>905.96</v>
      </c>
    </row>
    <row r="194" spans="2:20" x14ac:dyDescent="0.35">
      <c r="B194" s="29">
        <f>IF(B193="","",IF(B193+1&gt;Comparateur!$C$47,"",B193+1))</f>
        <v>187</v>
      </c>
      <c r="C194" s="18">
        <f>IF(OR($B194="",Comparateur!C$17&lt;&gt;"OK",$B194&gt;Comparateur!C$11),"",ROUND(F193*Comparateur!C$10/12,2))</f>
        <v>232.74</v>
      </c>
      <c r="D194" s="18">
        <f>IF(C194="","",IF($B194=Comparateur!C$11,F193,Comparateur!C$20-C194))</f>
        <v>644.42999999999995</v>
      </c>
      <c r="E194" s="18">
        <f>IF(C194="","",ROUND(IF(Comparateur!C$12=Paramètres!$B$36,Comparateur!C$9,F193)*Comparateur!C$13/12,2))</f>
        <v>63</v>
      </c>
      <c r="F194" s="31">
        <f t="shared" si="18"/>
        <v>85289.61</v>
      </c>
      <c r="G194" s="18">
        <f t="shared" si="19"/>
        <v>940.17</v>
      </c>
      <c r="H194" s="18">
        <f t="shared" si="20"/>
        <v>877.17</v>
      </c>
      <c r="I194" s="18">
        <f>IF(OR($B194="",Comparateur!D$17&lt;&gt;"OK",$B194&gt;Comparateur!D$11),"",ROUND(L193*Comparateur!D$10/12,2))</f>
        <v>245.78</v>
      </c>
      <c r="J194" s="18">
        <f>IF(I194="","",IF($B194=Comparateur!D$11,L193,Comparateur!D$20-I194))</f>
        <v>645.72</v>
      </c>
      <c r="K194" s="18">
        <f>IF(I194="","",ROUND(IF(Comparateur!D$12=Paramètres!$B$36,Comparateur!D$9,L193)*Comparateur!D$13/12,2))</f>
        <v>13.01</v>
      </c>
      <c r="L194" s="31">
        <f t="shared" si="21"/>
        <v>86100.21</v>
      </c>
      <c r="M194" s="18">
        <f t="shared" si="22"/>
        <v>904.51</v>
      </c>
      <c r="N194" s="18">
        <f t="shared" si="23"/>
        <v>891.5</v>
      </c>
      <c r="O194" s="18">
        <f>IF(OR($B194="",Comparateur!E$17&lt;&gt;"OK",$B194&gt;Comparateur!E$11),"",ROUND(R193*Comparateur!E$10/12,2))</f>
        <v>259.02</v>
      </c>
      <c r="P194" s="18">
        <f>IF(O194="","",IF($B194=Comparateur!E$11,R193,Comparateur!E$20-O194))</f>
        <v>646.94000000000005</v>
      </c>
      <c r="Q194" s="18">
        <f>IF(O194="","",ROUND(IF(Comparateur!E$12=Paramètres!$B$36,Comparateur!E$9,R193)*Comparateur!E$13/12,2))</f>
        <v>30</v>
      </c>
      <c r="R194" s="31">
        <f t="shared" si="24"/>
        <v>86910.22</v>
      </c>
      <c r="S194" s="18">
        <f t="shared" si="25"/>
        <v>935.96</v>
      </c>
      <c r="T194" s="18">
        <f t="shared" si="26"/>
        <v>905.96</v>
      </c>
    </row>
    <row r="195" spans="2:20" x14ac:dyDescent="0.35">
      <c r="B195" s="29">
        <f>IF(B194="","",IF(B194+1&gt;Comparateur!$C$47,"",B194+1))</f>
        <v>188</v>
      </c>
      <c r="C195" s="18">
        <f>IF(OR($B195="",Comparateur!C$17&lt;&gt;"OK",$B195&gt;Comparateur!C$11),"",ROUND(F194*Comparateur!C$10/12,2))</f>
        <v>230.99</v>
      </c>
      <c r="D195" s="18">
        <f>IF(C195="","",IF($B195=Comparateur!C$11,F194,Comparateur!C$20-C195))</f>
        <v>646.17999999999995</v>
      </c>
      <c r="E195" s="18">
        <f>IF(C195="","",ROUND(IF(Comparateur!C$12=Paramètres!$B$36,Comparateur!C$9,F194)*Comparateur!C$13/12,2))</f>
        <v>63</v>
      </c>
      <c r="F195" s="31">
        <f t="shared" si="18"/>
        <v>84643.43</v>
      </c>
      <c r="G195" s="18">
        <f t="shared" si="19"/>
        <v>940.17</v>
      </c>
      <c r="H195" s="18">
        <f t="shared" si="20"/>
        <v>877.17</v>
      </c>
      <c r="I195" s="18">
        <f>IF(OR($B195="",Comparateur!D$17&lt;&gt;"OK",$B195&gt;Comparateur!D$11),"",ROUND(L194*Comparateur!D$10/12,2))</f>
        <v>243.95</v>
      </c>
      <c r="J195" s="18">
        <f>IF(I195="","",IF($B195=Comparateur!D$11,L194,Comparateur!D$20-I195))</f>
        <v>647.54999999999995</v>
      </c>
      <c r="K195" s="18">
        <f>IF(I195="","",ROUND(IF(Comparateur!D$12=Paramètres!$B$36,Comparateur!D$9,L194)*Comparateur!D$13/12,2))</f>
        <v>12.92</v>
      </c>
      <c r="L195" s="31">
        <f t="shared" si="21"/>
        <v>85452.66</v>
      </c>
      <c r="M195" s="18">
        <f t="shared" si="22"/>
        <v>904.42</v>
      </c>
      <c r="N195" s="18">
        <f t="shared" si="23"/>
        <v>891.5</v>
      </c>
      <c r="O195" s="18">
        <f>IF(OR($B195="",Comparateur!E$17&lt;&gt;"OK",$B195&gt;Comparateur!E$11),"",ROUND(R194*Comparateur!E$10/12,2))</f>
        <v>257.11</v>
      </c>
      <c r="P195" s="18">
        <f>IF(O195="","",IF($B195=Comparateur!E$11,R194,Comparateur!E$20-O195))</f>
        <v>648.85</v>
      </c>
      <c r="Q195" s="18">
        <f>IF(O195="","",ROUND(IF(Comparateur!E$12=Paramètres!$B$36,Comparateur!E$9,R194)*Comparateur!E$13/12,2))</f>
        <v>30</v>
      </c>
      <c r="R195" s="31">
        <f t="shared" si="24"/>
        <v>86261.37</v>
      </c>
      <c r="S195" s="18">
        <f t="shared" si="25"/>
        <v>935.96</v>
      </c>
      <c r="T195" s="18">
        <f t="shared" si="26"/>
        <v>905.96</v>
      </c>
    </row>
    <row r="196" spans="2:20" x14ac:dyDescent="0.35">
      <c r="B196" s="29">
        <f>IF(B195="","",IF(B195+1&gt;Comparateur!$C$47,"",B195+1))</f>
        <v>189</v>
      </c>
      <c r="C196" s="18">
        <f>IF(OR($B196="",Comparateur!C$17&lt;&gt;"OK",$B196&gt;Comparateur!C$11),"",ROUND(F195*Comparateur!C$10/12,2))</f>
        <v>229.24</v>
      </c>
      <c r="D196" s="18">
        <f>IF(C196="","",IF($B196=Comparateur!C$11,F195,Comparateur!C$20-C196))</f>
        <v>647.92999999999995</v>
      </c>
      <c r="E196" s="18">
        <f>IF(C196="","",ROUND(IF(Comparateur!C$12=Paramètres!$B$36,Comparateur!C$9,F195)*Comparateur!C$13/12,2))</f>
        <v>63</v>
      </c>
      <c r="F196" s="31">
        <f t="shared" si="18"/>
        <v>83995.5</v>
      </c>
      <c r="G196" s="18">
        <f t="shared" si="19"/>
        <v>940.17</v>
      </c>
      <c r="H196" s="18">
        <f t="shared" si="20"/>
        <v>877.17</v>
      </c>
      <c r="I196" s="18">
        <f>IF(OR($B196="",Comparateur!D$17&lt;&gt;"OK",$B196&gt;Comparateur!D$11),"",ROUND(L195*Comparateur!D$10/12,2))</f>
        <v>242.12</v>
      </c>
      <c r="J196" s="18">
        <f>IF(I196="","",IF($B196=Comparateur!D$11,L195,Comparateur!D$20-I196))</f>
        <v>649.38</v>
      </c>
      <c r="K196" s="18">
        <f>IF(I196="","",ROUND(IF(Comparateur!D$12=Paramètres!$B$36,Comparateur!D$9,L195)*Comparateur!D$13/12,2))</f>
        <v>12.82</v>
      </c>
      <c r="L196" s="31">
        <f t="shared" si="21"/>
        <v>84803.28</v>
      </c>
      <c r="M196" s="18">
        <f t="shared" si="22"/>
        <v>904.32</v>
      </c>
      <c r="N196" s="18">
        <f t="shared" si="23"/>
        <v>891.5</v>
      </c>
      <c r="O196" s="18">
        <f>IF(OR($B196="",Comparateur!E$17&lt;&gt;"OK",$B196&gt;Comparateur!E$11),"",ROUND(R195*Comparateur!E$10/12,2))</f>
        <v>255.19</v>
      </c>
      <c r="P196" s="18">
        <f>IF(O196="","",IF($B196=Comparateur!E$11,R195,Comparateur!E$20-O196))</f>
        <v>650.77</v>
      </c>
      <c r="Q196" s="18">
        <f>IF(O196="","",ROUND(IF(Comparateur!E$12=Paramètres!$B$36,Comparateur!E$9,R195)*Comparateur!E$13/12,2))</f>
        <v>30</v>
      </c>
      <c r="R196" s="31">
        <f t="shared" si="24"/>
        <v>85610.6</v>
      </c>
      <c r="S196" s="18">
        <f t="shared" si="25"/>
        <v>935.96</v>
      </c>
      <c r="T196" s="18">
        <f t="shared" si="26"/>
        <v>905.96</v>
      </c>
    </row>
    <row r="197" spans="2:20" x14ac:dyDescent="0.35">
      <c r="B197" s="29">
        <f>IF(B196="","",IF(B196+1&gt;Comparateur!$C$47,"",B196+1))</f>
        <v>190</v>
      </c>
      <c r="C197" s="18">
        <f>IF(OR($B197="",Comparateur!C$17&lt;&gt;"OK",$B197&gt;Comparateur!C$11),"",ROUND(F196*Comparateur!C$10/12,2))</f>
        <v>227.49</v>
      </c>
      <c r="D197" s="18">
        <f>IF(C197="","",IF($B197=Comparateur!C$11,F196,Comparateur!C$20-C197))</f>
        <v>649.67999999999995</v>
      </c>
      <c r="E197" s="18">
        <f>IF(C197="","",ROUND(IF(Comparateur!C$12=Paramètres!$B$36,Comparateur!C$9,F196)*Comparateur!C$13/12,2))</f>
        <v>63</v>
      </c>
      <c r="F197" s="31">
        <f t="shared" si="18"/>
        <v>83345.820000000007</v>
      </c>
      <c r="G197" s="18">
        <f t="shared" si="19"/>
        <v>940.17</v>
      </c>
      <c r="H197" s="18">
        <f t="shared" si="20"/>
        <v>877.17</v>
      </c>
      <c r="I197" s="18">
        <f>IF(OR($B197="",Comparateur!D$17&lt;&gt;"OK",$B197&gt;Comparateur!D$11),"",ROUND(L196*Comparateur!D$10/12,2))</f>
        <v>240.28</v>
      </c>
      <c r="J197" s="18">
        <f>IF(I197="","",IF($B197=Comparateur!D$11,L196,Comparateur!D$20-I197))</f>
        <v>651.22</v>
      </c>
      <c r="K197" s="18">
        <f>IF(I197="","",ROUND(IF(Comparateur!D$12=Paramètres!$B$36,Comparateur!D$9,L196)*Comparateur!D$13/12,2))</f>
        <v>12.72</v>
      </c>
      <c r="L197" s="31">
        <f t="shared" si="21"/>
        <v>84152.06</v>
      </c>
      <c r="M197" s="18">
        <f t="shared" si="22"/>
        <v>904.22</v>
      </c>
      <c r="N197" s="18">
        <f t="shared" si="23"/>
        <v>891.5</v>
      </c>
      <c r="O197" s="18">
        <f>IF(OR($B197="",Comparateur!E$17&lt;&gt;"OK",$B197&gt;Comparateur!E$11),"",ROUND(R196*Comparateur!E$10/12,2))</f>
        <v>253.26</v>
      </c>
      <c r="P197" s="18">
        <f>IF(O197="","",IF($B197=Comparateur!E$11,R196,Comparateur!E$20-O197))</f>
        <v>652.70000000000005</v>
      </c>
      <c r="Q197" s="18">
        <f>IF(O197="","",ROUND(IF(Comparateur!E$12=Paramètres!$B$36,Comparateur!E$9,R196)*Comparateur!E$13/12,2))</f>
        <v>30</v>
      </c>
      <c r="R197" s="31">
        <f t="shared" si="24"/>
        <v>84957.9</v>
      </c>
      <c r="S197" s="18">
        <f t="shared" si="25"/>
        <v>935.96</v>
      </c>
      <c r="T197" s="18">
        <f t="shared" si="26"/>
        <v>905.96</v>
      </c>
    </row>
    <row r="198" spans="2:20" x14ac:dyDescent="0.35">
      <c r="B198" s="29">
        <f>IF(B197="","",IF(B197+1&gt;Comparateur!$C$47,"",B197+1))</f>
        <v>191</v>
      </c>
      <c r="C198" s="18">
        <f>IF(OR($B198="",Comparateur!C$17&lt;&gt;"OK",$B198&gt;Comparateur!C$11),"",ROUND(F197*Comparateur!C$10/12,2))</f>
        <v>225.73</v>
      </c>
      <c r="D198" s="18">
        <f>IF(C198="","",IF($B198=Comparateur!C$11,F197,Comparateur!C$20-C198))</f>
        <v>651.43999999999994</v>
      </c>
      <c r="E198" s="18">
        <f>IF(C198="","",ROUND(IF(Comparateur!C$12=Paramètres!$B$36,Comparateur!C$9,F197)*Comparateur!C$13/12,2))</f>
        <v>63</v>
      </c>
      <c r="F198" s="31">
        <f t="shared" si="18"/>
        <v>82694.38</v>
      </c>
      <c r="G198" s="18">
        <f t="shared" si="19"/>
        <v>940.17</v>
      </c>
      <c r="H198" s="18">
        <f t="shared" si="20"/>
        <v>877.17</v>
      </c>
      <c r="I198" s="18">
        <f>IF(OR($B198="",Comparateur!D$17&lt;&gt;"OK",$B198&gt;Comparateur!D$11),"",ROUND(L197*Comparateur!D$10/12,2))</f>
        <v>238.43</v>
      </c>
      <c r="J198" s="18">
        <f>IF(I198="","",IF($B198=Comparateur!D$11,L197,Comparateur!D$20-I198))</f>
        <v>653.06999999999994</v>
      </c>
      <c r="K198" s="18">
        <f>IF(I198="","",ROUND(IF(Comparateur!D$12=Paramètres!$B$36,Comparateur!D$9,L197)*Comparateur!D$13/12,2))</f>
        <v>12.62</v>
      </c>
      <c r="L198" s="31">
        <f t="shared" si="21"/>
        <v>83498.990000000005</v>
      </c>
      <c r="M198" s="18">
        <f t="shared" si="22"/>
        <v>904.12</v>
      </c>
      <c r="N198" s="18">
        <f t="shared" si="23"/>
        <v>891.5</v>
      </c>
      <c r="O198" s="18">
        <f>IF(OR($B198="",Comparateur!E$17&lt;&gt;"OK",$B198&gt;Comparateur!E$11),"",ROUND(R197*Comparateur!E$10/12,2))</f>
        <v>251.33</v>
      </c>
      <c r="P198" s="18">
        <f>IF(O198="","",IF($B198=Comparateur!E$11,R197,Comparateur!E$20-O198))</f>
        <v>654.63</v>
      </c>
      <c r="Q198" s="18">
        <f>IF(O198="","",ROUND(IF(Comparateur!E$12=Paramètres!$B$36,Comparateur!E$9,R197)*Comparateur!E$13/12,2))</f>
        <v>30</v>
      </c>
      <c r="R198" s="31">
        <f t="shared" si="24"/>
        <v>84303.27</v>
      </c>
      <c r="S198" s="18">
        <f t="shared" si="25"/>
        <v>935.96</v>
      </c>
      <c r="T198" s="18">
        <f t="shared" si="26"/>
        <v>905.96</v>
      </c>
    </row>
    <row r="199" spans="2:20" x14ac:dyDescent="0.35">
      <c r="B199" s="29">
        <f>IF(B198="","",IF(B198+1&gt;Comparateur!$C$47,"",B198+1))</f>
        <v>192</v>
      </c>
      <c r="C199" s="18">
        <f>IF(OR($B199="",Comparateur!C$17&lt;&gt;"OK",$B199&gt;Comparateur!C$11),"",ROUND(F198*Comparateur!C$10/12,2))</f>
        <v>223.96</v>
      </c>
      <c r="D199" s="18">
        <f>IF(C199="","",IF($B199=Comparateur!C$11,F198,Comparateur!C$20-C199))</f>
        <v>653.20999999999992</v>
      </c>
      <c r="E199" s="18">
        <f>IF(C199="","",ROUND(IF(Comparateur!C$12=Paramètres!$B$36,Comparateur!C$9,F198)*Comparateur!C$13/12,2))</f>
        <v>63</v>
      </c>
      <c r="F199" s="31">
        <f t="shared" si="18"/>
        <v>82041.17</v>
      </c>
      <c r="G199" s="18">
        <f t="shared" si="19"/>
        <v>940.17</v>
      </c>
      <c r="H199" s="18">
        <f t="shared" si="20"/>
        <v>877.17</v>
      </c>
      <c r="I199" s="18">
        <f>IF(OR($B199="",Comparateur!D$17&lt;&gt;"OK",$B199&gt;Comparateur!D$11),"",ROUND(L198*Comparateur!D$10/12,2))</f>
        <v>236.58</v>
      </c>
      <c r="J199" s="18">
        <f>IF(I199="","",IF($B199=Comparateur!D$11,L198,Comparateur!D$20-I199))</f>
        <v>654.91999999999996</v>
      </c>
      <c r="K199" s="18">
        <f>IF(I199="","",ROUND(IF(Comparateur!D$12=Paramètres!$B$36,Comparateur!D$9,L198)*Comparateur!D$13/12,2))</f>
        <v>12.52</v>
      </c>
      <c r="L199" s="31">
        <f t="shared" si="21"/>
        <v>82844.070000000007</v>
      </c>
      <c r="M199" s="18">
        <f t="shared" si="22"/>
        <v>904.02</v>
      </c>
      <c r="N199" s="18">
        <f t="shared" si="23"/>
        <v>891.5</v>
      </c>
      <c r="O199" s="18">
        <f>IF(OR($B199="",Comparateur!E$17&lt;&gt;"OK",$B199&gt;Comparateur!E$11),"",ROUND(R198*Comparateur!E$10/12,2))</f>
        <v>249.4</v>
      </c>
      <c r="P199" s="18">
        <f>IF(O199="","",IF($B199=Comparateur!E$11,R198,Comparateur!E$20-O199))</f>
        <v>656.56000000000006</v>
      </c>
      <c r="Q199" s="18">
        <f>IF(O199="","",ROUND(IF(Comparateur!E$12=Paramètres!$B$36,Comparateur!E$9,R198)*Comparateur!E$13/12,2))</f>
        <v>30</v>
      </c>
      <c r="R199" s="31">
        <f t="shared" si="24"/>
        <v>83646.710000000006</v>
      </c>
      <c r="S199" s="18">
        <f t="shared" si="25"/>
        <v>935.96</v>
      </c>
      <c r="T199" s="18">
        <f t="shared" si="26"/>
        <v>905.96</v>
      </c>
    </row>
    <row r="200" spans="2:20" x14ac:dyDescent="0.35">
      <c r="B200" s="29">
        <f>IF(B199="","",IF(B199+1&gt;Comparateur!$C$47,"",B199+1))</f>
        <v>193</v>
      </c>
      <c r="C200" s="18">
        <f>IF(OR($B200="",Comparateur!C$17&lt;&gt;"OK",$B200&gt;Comparateur!C$11),"",ROUND(F199*Comparateur!C$10/12,2))</f>
        <v>222.19</v>
      </c>
      <c r="D200" s="18">
        <f>IF(C200="","",IF($B200=Comparateur!C$11,F199,Comparateur!C$20-C200))</f>
        <v>654.98</v>
      </c>
      <c r="E200" s="18">
        <f>IF(C200="","",ROUND(IF(Comparateur!C$12=Paramètres!$B$36,Comparateur!C$9,F199)*Comparateur!C$13/12,2))</f>
        <v>63</v>
      </c>
      <c r="F200" s="31">
        <f t="shared" ref="F200:F263" si="27">IF(C200="","",ROUND(F199-D200,2))</f>
        <v>81386.19</v>
      </c>
      <c r="G200" s="18">
        <f t="shared" ref="G200:G263" si="28">IF(C200="","",C200+D200+E200)</f>
        <v>940.17000000000007</v>
      </c>
      <c r="H200" s="18">
        <f t="shared" ref="H200:H263" si="29">IF(C200="","",C200+D200)</f>
        <v>877.17000000000007</v>
      </c>
      <c r="I200" s="18">
        <f>IF(OR($B200="",Comparateur!D$17&lt;&gt;"OK",$B200&gt;Comparateur!D$11),"",ROUND(L199*Comparateur!D$10/12,2))</f>
        <v>234.72</v>
      </c>
      <c r="J200" s="18">
        <f>IF(I200="","",IF($B200=Comparateur!D$11,L199,Comparateur!D$20-I200))</f>
        <v>656.78</v>
      </c>
      <c r="K200" s="18">
        <f>IF(I200="","",ROUND(IF(Comparateur!D$12=Paramètres!$B$36,Comparateur!D$9,L199)*Comparateur!D$13/12,2))</f>
        <v>12.43</v>
      </c>
      <c r="L200" s="31">
        <f t="shared" ref="L200:L263" si="30">IF(I200="","",ROUND(L199-J200,2))</f>
        <v>82187.289999999994</v>
      </c>
      <c r="M200" s="18">
        <f t="shared" ref="M200:M263" si="31">IF(I200="","",I200+J200+K200)</f>
        <v>903.93</v>
      </c>
      <c r="N200" s="18">
        <f t="shared" ref="N200:N263" si="32">IF(I200="","",I200+J200)</f>
        <v>891.5</v>
      </c>
      <c r="O200" s="18">
        <f>IF(OR($B200="",Comparateur!E$17&lt;&gt;"OK",$B200&gt;Comparateur!E$11),"",ROUND(R199*Comparateur!E$10/12,2))</f>
        <v>247.45</v>
      </c>
      <c r="P200" s="18">
        <f>IF(O200="","",IF($B200=Comparateur!E$11,R199,Comparateur!E$20-O200))</f>
        <v>658.51</v>
      </c>
      <c r="Q200" s="18">
        <f>IF(O200="","",ROUND(IF(Comparateur!E$12=Paramètres!$B$36,Comparateur!E$9,R199)*Comparateur!E$13/12,2))</f>
        <v>30</v>
      </c>
      <c r="R200" s="31">
        <f t="shared" ref="R200:R263" si="33">IF(O200="","",ROUND(R199-P200,2))</f>
        <v>82988.2</v>
      </c>
      <c r="S200" s="18">
        <f t="shared" ref="S200:S263" si="34">IF(O200="","",O200+P200+Q200)</f>
        <v>935.96</v>
      </c>
      <c r="T200" s="18">
        <f t="shared" ref="T200:T263" si="35">IF(O200="","",O200+P200)</f>
        <v>905.96</v>
      </c>
    </row>
    <row r="201" spans="2:20" x14ac:dyDescent="0.35">
      <c r="B201" s="29">
        <f>IF(B200="","",IF(B200+1&gt;Comparateur!$C$47,"",B200+1))</f>
        <v>194</v>
      </c>
      <c r="C201" s="18">
        <f>IF(OR($B201="",Comparateur!C$17&lt;&gt;"OK",$B201&gt;Comparateur!C$11),"",ROUND(F200*Comparateur!C$10/12,2))</f>
        <v>220.42</v>
      </c>
      <c r="D201" s="18">
        <f>IF(C201="","",IF($B201=Comparateur!C$11,F200,Comparateur!C$20-C201))</f>
        <v>656.75</v>
      </c>
      <c r="E201" s="18">
        <f>IF(C201="","",ROUND(IF(Comparateur!C$12=Paramètres!$B$36,Comparateur!C$9,F200)*Comparateur!C$13/12,2))</f>
        <v>63</v>
      </c>
      <c r="F201" s="31">
        <f t="shared" si="27"/>
        <v>80729.440000000002</v>
      </c>
      <c r="G201" s="18">
        <f t="shared" si="28"/>
        <v>940.17</v>
      </c>
      <c r="H201" s="18">
        <f t="shared" si="29"/>
        <v>877.17</v>
      </c>
      <c r="I201" s="18">
        <f>IF(OR($B201="",Comparateur!D$17&lt;&gt;"OK",$B201&gt;Comparateur!D$11),"",ROUND(L200*Comparateur!D$10/12,2))</f>
        <v>232.86</v>
      </c>
      <c r="J201" s="18">
        <f>IF(I201="","",IF($B201=Comparateur!D$11,L200,Comparateur!D$20-I201))</f>
        <v>658.64</v>
      </c>
      <c r="K201" s="18">
        <f>IF(I201="","",ROUND(IF(Comparateur!D$12=Paramètres!$B$36,Comparateur!D$9,L200)*Comparateur!D$13/12,2))</f>
        <v>12.33</v>
      </c>
      <c r="L201" s="31">
        <f t="shared" si="30"/>
        <v>81528.649999999994</v>
      </c>
      <c r="M201" s="18">
        <f t="shared" si="31"/>
        <v>903.83</v>
      </c>
      <c r="N201" s="18">
        <f t="shared" si="32"/>
        <v>891.5</v>
      </c>
      <c r="O201" s="18">
        <f>IF(OR($B201="",Comparateur!E$17&lt;&gt;"OK",$B201&gt;Comparateur!E$11),"",ROUND(R200*Comparateur!E$10/12,2))</f>
        <v>245.51</v>
      </c>
      <c r="P201" s="18">
        <f>IF(O201="","",IF($B201=Comparateur!E$11,R200,Comparateur!E$20-O201))</f>
        <v>660.45</v>
      </c>
      <c r="Q201" s="18">
        <f>IF(O201="","",ROUND(IF(Comparateur!E$12=Paramètres!$B$36,Comparateur!E$9,R200)*Comparateur!E$13/12,2))</f>
        <v>30</v>
      </c>
      <c r="R201" s="31">
        <f t="shared" si="33"/>
        <v>82327.75</v>
      </c>
      <c r="S201" s="18">
        <f t="shared" si="34"/>
        <v>935.96</v>
      </c>
      <c r="T201" s="18">
        <f t="shared" si="35"/>
        <v>905.96</v>
      </c>
    </row>
    <row r="202" spans="2:20" x14ac:dyDescent="0.35">
      <c r="B202" s="29">
        <f>IF(B201="","",IF(B201+1&gt;Comparateur!$C$47,"",B201+1))</f>
        <v>195</v>
      </c>
      <c r="C202" s="18">
        <f>IF(OR($B202="",Comparateur!C$17&lt;&gt;"OK",$B202&gt;Comparateur!C$11),"",ROUND(F201*Comparateur!C$10/12,2))</f>
        <v>218.64</v>
      </c>
      <c r="D202" s="18">
        <f>IF(C202="","",IF($B202=Comparateur!C$11,F201,Comparateur!C$20-C202))</f>
        <v>658.53</v>
      </c>
      <c r="E202" s="18">
        <f>IF(C202="","",ROUND(IF(Comparateur!C$12=Paramètres!$B$36,Comparateur!C$9,F201)*Comparateur!C$13/12,2))</f>
        <v>63</v>
      </c>
      <c r="F202" s="31">
        <f t="shared" si="27"/>
        <v>80070.91</v>
      </c>
      <c r="G202" s="18">
        <f t="shared" si="28"/>
        <v>940.17</v>
      </c>
      <c r="H202" s="18">
        <f t="shared" si="29"/>
        <v>877.17</v>
      </c>
      <c r="I202" s="18">
        <f>IF(OR($B202="",Comparateur!D$17&lt;&gt;"OK",$B202&gt;Comparateur!D$11),"",ROUND(L201*Comparateur!D$10/12,2))</f>
        <v>231</v>
      </c>
      <c r="J202" s="18">
        <f>IF(I202="","",IF($B202=Comparateur!D$11,L201,Comparateur!D$20-I202))</f>
        <v>660.5</v>
      </c>
      <c r="K202" s="18">
        <f>IF(I202="","",ROUND(IF(Comparateur!D$12=Paramètres!$B$36,Comparateur!D$9,L201)*Comparateur!D$13/12,2))</f>
        <v>12.23</v>
      </c>
      <c r="L202" s="31">
        <f t="shared" si="30"/>
        <v>80868.149999999994</v>
      </c>
      <c r="M202" s="18">
        <f t="shared" si="31"/>
        <v>903.73</v>
      </c>
      <c r="N202" s="18">
        <f t="shared" si="32"/>
        <v>891.5</v>
      </c>
      <c r="O202" s="18">
        <f>IF(OR($B202="",Comparateur!E$17&lt;&gt;"OK",$B202&gt;Comparateur!E$11),"",ROUND(R201*Comparateur!E$10/12,2))</f>
        <v>243.55</v>
      </c>
      <c r="P202" s="18">
        <f>IF(O202="","",IF($B202=Comparateur!E$11,R201,Comparateur!E$20-O202))</f>
        <v>662.41000000000008</v>
      </c>
      <c r="Q202" s="18">
        <f>IF(O202="","",ROUND(IF(Comparateur!E$12=Paramètres!$B$36,Comparateur!E$9,R201)*Comparateur!E$13/12,2))</f>
        <v>30</v>
      </c>
      <c r="R202" s="31">
        <f t="shared" si="33"/>
        <v>81665.34</v>
      </c>
      <c r="S202" s="18">
        <f t="shared" si="34"/>
        <v>935.96</v>
      </c>
      <c r="T202" s="18">
        <f t="shared" si="35"/>
        <v>905.96</v>
      </c>
    </row>
    <row r="203" spans="2:20" x14ac:dyDescent="0.35">
      <c r="B203" s="29">
        <f>IF(B202="","",IF(B202+1&gt;Comparateur!$C$47,"",B202+1))</f>
        <v>196</v>
      </c>
      <c r="C203" s="18">
        <f>IF(OR($B203="",Comparateur!C$17&lt;&gt;"OK",$B203&gt;Comparateur!C$11),"",ROUND(F202*Comparateur!C$10/12,2))</f>
        <v>216.86</v>
      </c>
      <c r="D203" s="18">
        <f>IF(C203="","",IF($B203=Comparateur!C$11,F202,Comparateur!C$20-C203))</f>
        <v>660.31</v>
      </c>
      <c r="E203" s="18">
        <f>IF(C203="","",ROUND(IF(Comparateur!C$12=Paramètres!$B$36,Comparateur!C$9,F202)*Comparateur!C$13/12,2))</f>
        <v>63</v>
      </c>
      <c r="F203" s="31">
        <f t="shared" si="27"/>
        <v>79410.600000000006</v>
      </c>
      <c r="G203" s="18">
        <f t="shared" si="28"/>
        <v>940.17</v>
      </c>
      <c r="H203" s="18">
        <f t="shared" si="29"/>
        <v>877.17</v>
      </c>
      <c r="I203" s="18">
        <f>IF(OR($B203="",Comparateur!D$17&lt;&gt;"OK",$B203&gt;Comparateur!D$11),"",ROUND(L202*Comparateur!D$10/12,2))</f>
        <v>229.13</v>
      </c>
      <c r="J203" s="18">
        <f>IF(I203="","",IF($B203=Comparateur!D$11,L202,Comparateur!D$20-I203))</f>
        <v>662.37</v>
      </c>
      <c r="K203" s="18">
        <f>IF(I203="","",ROUND(IF(Comparateur!D$12=Paramètres!$B$36,Comparateur!D$9,L202)*Comparateur!D$13/12,2))</f>
        <v>12.13</v>
      </c>
      <c r="L203" s="31">
        <f t="shared" si="30"/>
        <v>80205.78</v>
      </c>
      <c r="M203" s="18">
        <f t="shared" si="31"/>
        <v>903.63</v>
      </c>
      <c r="N203" s="18">
        <f t="shared" si="32"/>
        <v>891.5</v>
      </c>
      <c r="O203" s="18">
        <f>IF(OR($B203="",Comparateur!E$17&lt;&gt;"OK",$B203&gt;Comparateur!E$11),"",ROUND(R202*Comparateur!E$10/12,2))</f>
        <v>241.59</v>
      </c>
      <c r="P203" s="18">
        <f>IF(O203="","",IF($B203=Comparateur!E$11,R202,Comparateur!E$20-O203))</f>
        <v>664.37</v>
      </c>
      <c r="Q203" s="18">
        <f>IF(O203="","",ROUND(IF(Comparateur!E$12=Paramètres!$B$36,Comparateur!E$9,R202)*Comparateur!E$13/12,2))</f>
        <v>30</v>
      </c>
      <c r="R203" s="31">
        <f t="shared" si="33"/>
        <v>81000.97</v>
      </c>
      <c r="S203" s="18">
        <f t="shared" si="34"/>
        <v>935.96</v>
      </c>
      <c r="T203" s="18">
        <f t="shared" si="35"/>
        <v>905.96</v>
      </c>
    </row>
    <row r="204" spans="2:20" x14ac:dyDescent="0.35">
      <c r="B204" s="29">
        <f>IF(B203="","",IF(B203+1&gt;Comparateur!$C$47,"",B203+1))</f>
        <v>197</v>
      </c>
      <c r="C204" s="18">
        <f>IF(OR($B204="",Comparateur!C$17&lt;&gt;"OK",$B204&gt;Comparateur!C$11),"",ROUND(F203*Comparateur!C$10/12,2))</f>
        <v>215.07</v>
      </c>
      <c r="D204" s="18">
        <f>IF(C204="","",IF($B204=Comparateur!C$11,F203,Comparateur!C$20-C204))</f>
        <v>662.09999999999991</v>
      </c>
      <c r="E204" s="18">
        <f>IF(C204="","",ROUND(IF(Comparateur!C$12=Paramètres!$B$36,Comparateur!C$9,F203)*Comparateur!C$13/12,2))</f>
        <v>63</v>
      </c>
      <c r="F204" s="31">
        <f t="shared" si="27"/>
        <v>78748.5</v>
      </c>
      <c r="G204" s="18">
        <f t="shared" si="28"/>
        <v>940.16999999999985</v>
      </c>
      <c r="H204" s="18">
        <f t="shared" si="29"/>
        <v>877.16999999999985</v>
      </c>
      <c r="I204" s="18">
        <f>IF(OR($B204="",Comparateur!D$17&lt;&gt;"OK",$B204&gt;Comparateur!D$11),"",ROUND(L203*Comparateur!D$10/12,2))</f>
        <v>227.25</v>
      </c>
      <c r="J204" s="18">
        <f>IF(I204="","",IF($B204=Comparateur!D$11,L203,Comparateur!D$20-I204))</f>
        <v>664.25</v>
      </c>
      <c r="K204" s="18">
        <f>IF(I204="","",ROUND(IF(Comparateur!D$12=Paramètres!$B$36,Comparateur!D$9,L203)*Comparateur!D$13/12,2))</f>
        <v>12.03</v>
      </c>
      <c r="L204" s="31">
        <f t="shared" si="30"/>
        <v>79541.53</v>
      </c>
      <c r="M204" s="18">
        <f t="shared" si="31"/>
        <v>903.53</v>
      </c>
      <c r="N204" s="18">
        <f t="shared" si="32"/>
        <v>891.5</v>
      </c>
      <c r="O204" s="18">
        <f>IF(OR($B204="",Comparateur!E$17&lt;&gt;"OK",$B204&gt;Comparateur!E$11),"",ROUND(R203*Comparateur!E$10/12,2))</f>
        <v>239.63</v>
      </c>
      <c r="P204" s="18">
        <f>IF(O204="","",IF($B204=Comparateur!E$11,R203,Comparateur!E$20-O204))</f>
        <v>666.33</v>
      </c>
      <c r="Q204" s="18">
        <f>IF(O204="","",ROUND(IF(Comparateur!E$12=Paramètres!$B$36,Comparateur!E$9,R203)*Comparateur!E$13/12,2))</f>
        <v>30</v>
      </c>
      <c r="R204" s="31">
        <f t="shared" si="33"/>
        <v>80334.64</v>
      </c>
      <c r="S204" s="18">
        <f t="shared" si="34"/>
        <v>935.96</v>
      </c>
      <c r="T204" s="18">
        <f t="shared" si="35"/>
        <v>905.96</v>
      </c>
    </row>
    <row r="205" spans="2:20" x14ac:dyDescent="0.35">
      <c r="B205" s="29">
        <f>IF(B204="","",IF(B204+1&gt;Comparateur!$C$47,"",B204+1))</f>
        <v>198</v>
      </c>
      <c r="C205" s="18">
        <f>IF(OR($B205="",Comparateur!C$17&lt;&gt;"OK",$B205&gt;Comparateur!C$11),"",ROUND(F204*Comparateur!C$10/12,2))</f>
        <v>213.28</v>
      </c>
      <c r="D205" s="18">
        <f>IF(C205="","",IF($B205=Comparateur!C$11,F204,Comparateur!C$20-C205))</f>
        <v>663.89</v>
      </c>
      <c r="E205" s="18">
        <f>IF(C205="","",ROUND(IF(Comparateur!C$12=Paramètres!$B$36,Comparateur!C$9,F204)*Comparateur!C$13/12,2))</f>
        <v>63</v>
      </c>
      <c r="F205" s="31">
        <f t="shared" si="27"/>
        <v>78084.61</v>
      </c>
      <c r="G205" s="18">
        <f t="shared" si="28"/>
        <v>940.17</v>
      </c>
      <c r="H205" s="18">
        <f t="shared" si="29"/>
        <v>877.17</v>
      </c>
      <c r="I205" s="18">
        <f>IF(OR($B205="",Comparateur!D$17&lt;&gt;"OK",$B205&gt;Comparateur!D$11),"",ROUND(L204*Comparateur!D$10/12,2))</f>
        <v>225.37</v>
      </c>
      <c r="J205" s="18">
        <f>IF(I205="","",IF($B205=Comparateur!D$11,L204,Comparateur!D$20-I205))</f>
        <v>666.13</v>
      </c>
      <c r="K205" s="18">
        <f>IF(I205="","",ROUND(IF(Comparateur!D$12=Paramètres!$B$36,Comparateur!D$9,L204)*Comparateur!D$13/12,2))</f>
        <v>11.93</v>
      </c>
      <c r="L205" s="31">
        <f t="shared" si="30"/>
        <v>78875.399999999994</v>
      </c>
      <c r="M205" s="18">
        <f t="shared" si="31"/>
        <v>903.43</v>
      </c>
      <c r="N205" s="18">
        <f t="shared" si="32"/>
        <v>891.5</v>
      </c>
      <c r="O205" s="18">
        <f>IF(OR($B205="",Comparateur!E$17&lt;&gt;"OK",$B205&gt;Comparateur!E$11),"",ROUND(R204*Comparateur!E$10/12,2))</f>
        <v>237.66</v>
      </c>
      <c r="P205" s="18">
        <f>IF(O205="","",IF($B205=Comparateur!E$11,R204,Comparateur!E$20-O205))</f>
        <v>668.30000000000007</v>
      </c>
      <c r="Q205" s="18">
        <f>IF(O205="","",ROUND(IF(Comparateur!E$12=Paramètres!$B$36,Comparateur!E$9,R204)*Comparateur!E$13/12,2))</f>
        <v>30</v>
      </c>
      <c r="R205" s="31">
        <f t="shared" si="33"/>
        <v>79666.34</v>
      </c>
      <c r="S205" s="18">
        <f t="shared" si="34"/>
        <v>935.96</v>
      </c>
      <c r="T205" s="18">
        <f t="shared" si="35"/>
        <v>905.96</v>
      </c>
    </row>
    <row r="206" spans="2:20" x14ac:dyDescent="0.35">
      <c r="B206" s="29">
        <f>IF(B205="","",IF(B205+1&gt;Comparateur!$C$47,"",B205+1))</f>
        <v>199</v>
      </c>
      <c r="C206" s="18">
        <f>IF(OR($B206="",Comparateur!C$17&lt;&gt;"OK",$B206&gt;Comparateur!C$11),"",ROUND(F205*Comparateur!C$10/12,2))</f>
        <v>211.48</v>
      </c>
      <c r="D206" s="18">
        <f>IF(C206="","",IF($B206=Comparateur!C$11,F205,Comparateur!C$20-C206))</f>
        <v>665.68999999999994</v>
      </c>
      <c r="E206" s="18">
        <f>IF(C206="","",ROUND(IF(Comparateur!C$12=Paramètres!$B$36,Comparateur!C$9,F205)*Comparateur!C$13/12,2))</f>
        <v>63</v>
      </c>
      <c r="F206" s="31">
        <f t="shared" si="27"/>
        <v>77418.92</v>
      </c>
      <c r="G206" s="18">
        <f t="shared" si="28"/>
        <v>940.17</v>
      </c>
      <c r="H206" s="18">
        <f t="shared" si="29"/>
        <v>877.17</v>
      </c>
      <c r="I206" s="18">
        <f>IF(OR($B206="",Comparateur!D$17&lt;&gt;"OK",$B206&gt;Comparateur!D$11),"",ROUND(L205*Comparateur!D$10/12,2))</f>
        <v>223.48</v>
      </c>
      <c r="J206" s="18">
        <f>IF(I206="","",IF($B206=Comparateur!D$11,L205,Comparateur!D$20-I206))</f>
        <v>668.02</v>
      </c>
      <c r="K206" s="18">
        <f>IF(I206="","",ROUND(IF(Comparateur!D$12=Paramètres!$B$36,Comparateur!D$9,L205)*Comparateur!D$13/12,2))</f>
        <v>11.83</v>
      </c>
      <c r="L206" s="31">
        <f t="shared" si="30"/>
        <v>78207.38</v>
      </c>
      <c r="M206" s="18">
        <f t="shared" si="31"/>
        <v>903.33</v>
      </c>
      <c r="N206" s="18">
        <f t="shared" si="32"/>
        <v>891.5</v>
      </c>
      <c r="O206" s="18">
        <f>IF(OR($B206="",Comparateur!E$17&lt;&gt;"OK",$B206&gt;Comparateur!E$11),"",ROUND(R205*Comparateur!E$10/12,2))</f>
        <v>235.68</v>
      </c>
      <c r="P206" s="18">
        <f>IF(O206="","",IF($B206=Comparateur!E$11,R205,Comparateur!E$20-O206))</f>
        <v>670.28</v>
      </c>
      <c r="Q206" s="18">
        <f>IF(O206="","",ROUND(IF(Comparateur!E$12=Paramètres!$B$36,Comparateur!E$9,R205)*Comparateur!E$13/12,2))</f>
        <v>30</v>
      </c>
      <c r="R206" s="31">
        <f t="shared" si="33"/>
        <v>78996.06</v>
      </c>
      <c r="S206" s="18">
        <f t="shared" si="34"/>
        <v>935.96</v>
      </c>
      <c r="T206" s="18">
        <f t="shared" si="35"/>
        <v>905.96</v>
      </c>
    </row>
    <row r="207" spans="2:20" x14ac:dyDescent="0.35">
      <c r="B207" s="29">
        <f>IF(B206="","",IF(B206+1&gt;Comparateur!$C$47,"",B206+1))</f>
        <v>200</v>
      </c>
      <c r="C207" s="18">
        <f>IF(OR($B207="",Comparateur!C$17&lt;&gt;"OK",$B207&gt;Comparateur!C$11),"",ROUND(F206*Comparateur!C$10/12,2))</f>
        <v>209.68</v>
      </c>
      <c r="D207" s="18">
        <f>IF(C207="","",IF($B207=Comparateur!C$11,F206,Comparateur!C$20-C207))</f>
        <v>667.49</v>
      </c>
      <c r="E207" s="18">
        <f>IF(C207="","",ROUND(IF(Comparateur!C$12=Paramètres!$B$36,Comparateur!C$9,F206)*Comparateur!C$13/12,2))</f>
        <v>63</v>
      </c>
      <c r="F207" s="31">
        <f t="shared" si="27"/>
        <v>76751.429999999993</v>
      </c>
      <c r="G207" s="18">
        <f t="shared" si="28"/>
        <v>940.17000000000007</v>
      </c>
      <c r="H207" s="18">
        <f t="shared" si="29"/>
        <v>877.17000000000007</v>
      </c>
      <c r="I207" s="18">
        <f>IF(OR($B207="",Comparateur!D$17&lt;&gt;"OK",$B207&gt;Comparateur!D$11),"",ROUND(L206*Comparateur!D$10/12,2))</f>
        <v>221.59</v>
      </c>
      <c r="J207" s="18">
        <f>IF(I207="","",IF($B207=Comparateur!D$11,L206,Comparateur!D$20-I207))</f>
        <v>669.91</v>
      </c>
      <c r="K207" s="18">
        <f>IF(I207="","",ROUND(IF(Comparateur!D$12=Paramètres!$B$36,Comparateur!D$9,L206)*Comparateur!D$13/12,2))</f>
        <v>11.73</v>
      </c>
      <c r="L207" s="31">
        <f t="shared" si="30"/>
        <v>77537.47</v>
      </c>
      <c r="M207" s="18">
        <f t="shared" si="31"/>
        <v>903.23</v>
      </c>
      <c r="N207" s="18">
        <f t="shared" si="32"/>
        <v>891.5</v>
      </c>
      <c r="O207" s="18">
        <f>IF(OR($B207="",Comparateur!E$17&lt;&gt;"OK",$B207&gt;Comparateur!E$11),"",ROUND(R206*Comparateur!E$10/12,2))</f>
        <v>233.7</v>
      </c>
      <c r="P207" s="18">
        <f>IF(O207="","",IF($B207=Comparateur!E$11,R206,Comparateur!E$20-O207))</f>
        <v>672.26</v>
      </c>
      <c r="Q207" s="18">
        <f>IF(O207="","",ROUND(IF(Comparateur!E$12=Paramètres!$B$36,Comparateur!E$9,R206)*Comparateur!E$13/12,2))</f>
        <v>30</v>
      </c>
      <c r="R207" s="31">
        <f t="shared" si="33"/>
        <v>78323.8</v>
      </c>
      <c r="S207" s="18">
        <f t="shared" si="34"/>
        <v>935.96</v>
      </c>
      <c r="T207" s="18">
        <f t="shared" si="35"/>
        <v>905.96</v>
      </c>
    </row>
    <row r="208" spans="2:20" x14ac:dyDescent="0.35">
      <c r="B208" s="29">
        <f>IF(B207="","",IF(B207+1&gt;Comparateur!$C$47,"",B207+1))</f>
        <v>201</v>
      </c>
      <c r="C208" s="18">
        <f>IF(OR($B208="",Comparateur!C$17&lt;&gt;"OK",$B208&gt;Comparateur!C$11),"",ROUND(F207*Comparateur!C$10/12,2))</f>
        <v>207.87</v>
      </c>
      <c r="D208" s="18">
        <f>IF(C208="","",IF($B208=Comparateur!C$11,F207,Comparateur!C$20-C208))</f>
        <v>669.3</v>
      </c>
      <c r="E208" s="18">
        <f>IF(C208="","",ROUND(IF(Comparateur!C$12=Paramètres!$B$36,Comparateur!C$9,F207)*Comparateur!C$13/12,2))</f>
        <v>63</v>
      </c>
      <c r="F208" s="31">
        <f t="shared" si="27"/>
        <v>76082.13</v>
      </c>
      <c r="G208" s="18">
        <f t="shared" si="28"/>
        <v>940.17</v>
      </c>
      <c r="H208" s="18">
        <f t="shared" si="29"/>
        <v>877.17</v>
      </c>
      <c r="I208" s="18">
        <f>IF(OR($B208="",Comparateur!D$17&lt;&gt;"OK",$B208&gt;Comparateur!D$11),"",ROUND(L207*Comparateur!D$10/12,2))</f>
        <v>219.69</v>
      </c>
      <c r="J208" s="18">
        <f>IF(I208="","",IF($B208=Comparateur!D$11,L207,Comparateur!D$20-I208))</f>
        <v>671.81</v>
      </c>
      <c r="K208" s="18">
        <f>IF(I208="","",ROUND(IF(Comparateur!D$12=Paramètres!$B$36,Comparateur!D$9,L207)*Comparateur!D$13/12,2))</f>
        <v>11.63</v>
      </c>
      <c r="L208" s="31">
        <f t="shared" si="30"/>
        <v>76865.66</v>
      </c>
      <c r="M208" s="18">
        <f t="shared" si="31"/>
        <v>903.13</v>
      </c>
      <c r="N208" s="18">
        <f t="shared" si="32"/>
        <v>891.5</v>
      </c>
      <c r="O208" s="18">
        <f>IF(OR($B208="",Comparateur!E$17&lt;&gt;"OK",$B208&gt;Comparateur!E$11),"",ROUND(R207*Comparateur!E$10/12,2))</f>
        <v>231.71</v>
      </c>
      <c r="P208" s="18">
        <f>IF(O208="","",IF($B208=Comparateur!E$11,R207,Comparateur!E$20-O208))</f>
        <v>674.25</v>
      </c>
      <c r="Q208" s="18">
        <f>IF(O208="","",ROUND(IF(Comparateur!E$12=Paramètres!$B$36,Comparateur!E$9,R207)*Comparateur!E$13/12,2))</f>
        <v>30</v>
      </c>
      <c r="R208" s="31">
        <f t="shared" si="33"/>
        <v>77649.55</v>
      </c>
      <c r="S208" s="18">
        <f t="shared" si="34"/>
        <v>935.96</v>
      </c>
      <c r="T208" s="18">
        <f t="shared" si="35"/>
        <v>905.96</v>
      </c>
    </row>
    <row r="209" spans="2:20" x14ac:dyDescent="0.35">
      <c r="B209" s="29">
        <f>IF(B208="","",IF(B208+1&gt;Comparateur!$C$47,"",B208+1))</f>
        <v>202</v>
      </c>
      <c r="C209" s="18">
        <f>IF(OR($B209="",Comparateur!C$17&lt;&gt;"OK",$B209&gt;Comparateur!C$11),"",ROUND(F208*Comparateur!C$10/12,2))</f>
        <v>206.06</v>
      </c>
      <c r="D209" s="18">
        <f>IF(C209="","",IF($B209=Comparateur!C$11,F208,Comparateur!C$20-C209))</f>
        <v>671.1099999999999</v>
      </c>
      <c r="E209" s="18">
        <f>IF(C209="","",ROUND(IF(Comparateur!C$12=Paramètres!$B$36,Comparateur!C$9,F208)*Comparateur!C$13/12,2))</f>
        <v>63</v>
      </c>
      <c r="F209" s="31">
        <f t="shared" si="27"/>
        <v>75411.02</v>
      </c>
      <c r="G209" s="18">
        <f t="shared" si="28"/>
        <v>940.16999999999985</v>
      </c>
      <c r="H209" s="18">
        <f t="shared" si="29"/>
        <v>877.16999999999985</v>
      </c>
      <c r="I209" s="18">
        <f>IF(OR($B209="",Comparateur!D$17&lt;&gt;"OK",$B209&gt;Comparateur!D$11),"",ROUND(L208*Comparateur!D$10/12,2))</f>
        <v>217.79</v>
      </c>
      <c r="J209" s="18">
        <f>IF(I209="","",IF($B209=Comparateur!D$11,L208,Comparateur!D$20-I209))</f>
        <v>673.71</v>
      </c>
      <c r="K209" s="18">
        <f>IF(I209="","",ROUND(IF(Comparateur!D$12=Paramètres!$B$36,Comparateur!D$9,L208)*Comparateur!D$13/12,2))</f>
        <v>11.53</v>
      </c>
      <c r="L209" s="31">
        <f t="shared" si="30"/>
        <v>76191.95</v>
      </c>
      <c r="M209" s="18">
        <f t="shared" si="31"/>
        <v>903.03</v>
      </c>
      <c r="N209" s="18">
        <f t="shared" si="32"/>
        <v>891.5</v>
      </c>
      <c r="O209" s="18">
        <f>IF(OR($B209="",Comparateur!E$17&lt;&gt;"OK",$B209&gt;Comparateur!E$11),"",ROUND(R208*Comparateur!E$10/12,2))</f>
        <v>229.71</v>
      </c>
      <c r="P209" s="18">
        <f>IF(O209="","",IF($B209=Comparateur!E$11,R208,Comparateur!E$20-O209))</f>
        <v>676.25</v>
      </c>
      <c r="Q209" s="18">
        <f>IF(O209="","",ROUND(IF(Comparateur!E$12=Paramètres!$B$36,Comparateur!E$9,R208)*Comparateur!E$13/12,2))</f>
        <v>30</v>
      </c>
      <c r="R209" s="31">
        <f t="shared" si="33"/>
        <v>76973.3</v>
      </c>
      <c r="S209" s="18">
        <f t="shared" si="34"/>
        <v>935.96</v>
      </c>
      <c r="T209" s="18">
        <f t="shared" si="35"/>
        <v>905.96</v>
      </c>
    </row>
    <row r="210" spans="2:20" x14ac:dyDescent="0.35">
      <c r="B210" s="29">
        <f>IF(B209="","",IF(B209+1&gt;Comparateur!$C$47,"",B209+1))</f>
        <v>203</v>
      </c>
      <c r="C210" s="18">
        <f>IF(OR($B210="",Comparateur!C$17&lt;&gt;"OK",$B210&gt;Comparateur!C$11),"",ROUND(F209*Comparateur!C$10/12,2))</f>
        <v>204.24</v>
      </c>
      <c r="D210" s="18">
        <f>IF(C210="","",IF($B210=Comparateur!C$11,F209,Comparateur!C$20-C210))</f>
        <v>672.93</v>
      </c>
      <c r="E210" s="18">
        <f>IF(C210="","",ROUND(IF(Comparateur!C$12=Paramètres!$B$36,Comparateur!C$9,F209)*Comparateur!C$13/12,2))</f>
        <v>63</v>
      </c>
      <c r="F210" s="31">
        <f t="shared" si="27"/>
        <v>74738.09</v>
      </c>
      <c r="G210" s="18">
        <f t="shared" si="28"/>
        <v>940.17</v>
      </c>
      <c r="H210" s="18">
        <f t="shared" si="29"/>
        <v>877.17</v>
      </c>
      <c r="I210" s="18">
        <f>IF(OR($B210="",Comparateur!D$17&lt;&gt;"OK",$B210&gt;Comparateur!D$11),"",ROUND(L209*Comparateur!D$10/12,2))</f>
        <v>215.88</v>
      </c>
      <c r="J210" s="18">
        <f>IF(I210="","",IF($B210=Comparateur!D$11,L209,Comparateur!D$20-I210))</f>
        <v>675.62</v>
      </c>
      <c r="K210" s="18">
        <f>IF(I210="","",ROUND(IF(Comparateur!D$12=Paramètres!$B$36,Comparateur!D$9,L209)*Comparateur!D$13/12,2))</f>
        <v>11.43</v>
      </c>
      <c r="L210" s="31">
        <f t="shared" si="30"/>
        <v>75516.33</v>
      </c>
      <c r="M210" s="18">
        <f t="shared" si="31"/>
        <v>902.93</v>
      </c>
      <c r="N210" s="18">
        <f t="shared" si="32"/>
        <v>891.5</v>
      </c>
      <c r="O210" s="18">
        <f>IF(OR($B210="",Comparateur!E$17&lt;&gt;"OK",$B210&gt;Comparateur!E$11),"",ROUND(R209*Comparateur!E$10/12,2))</f>
        <v>227.71</v>
      </c>
      <c r="P210" s="18">
        <f>IF(O210="","",IF($B210=Comparateur!E$11,R209,Comparateur!E$20-O210))</f>
        <v>678.25</v>
      </c>
      <c r="Q210" s="18">
        <f>IF(O210="","",ROUND(IF(Comparateur!E$12=Paramètres!$B$36,Comparateur!E$9,R209)*Comparateur!E$13/12,2))</f>
        <v>30</v>
      </c>
      <c r="R210" s="31">
        <f t="shared" si="33"/>
        <v>76295.05</v>
      </c>
      <c r="S210" s="18">
        <f t="shared" si="34"/>
        <v>935.96</v>
      </c>
      <c r="T210" s="18">
        <f t="shared" si="35"/>
        <v>905.96</v>
      </c>
    </row>
    <row r="211" spans="2:20" x14ac:dyDescent="0.35">
      <c r="B211" s="29">
        <f>IF(B210="","",IF(B210+1&gt;Comparateur!$C$47,"",B210+1))</f>
        <v>204</v>
      </c>
      <c r="C211" s="18">
        <f>IF(OR($B211="",Comparateur!C$17&lt;&gt;"OK",$B211&gt;Comparateur!C$11),"",ROUND(F210*Comparateur!C$10/12,2))</f>
        <v>202.42</v>
      </c>
      <c r="D211" s="18">
        <f>IF(C211="","",IF($B211=Comparateur!C$11,F210,Comparateur!C$20-C211))</f>
        <v>674.75</v>
      </c>
      <c r="E211" s="18">
        <f>IF(C211="","",ROUND(IF(Comparateur!C$12=Paramètres!$B$36,Comparateur!C$9,F210)*Comparateur!C$13/12,2))</f>
        <v>63</v>
      </c>
      <c r="F211" s="31">
        <f t="shared" si="27"/>
        <v>74063.34</v>
      </c>
      <c r="G211" s="18">
        <f t="shared" si="28"/>
        <v>940.17</v>
      </c>
      <c r="H211" s="18">
        <f t="shared" si="29"/>
        <v>877.17</v>
      </c>
      <c r="I211" s="18">
        <f>IF(OR($B211="",Comparateur!D$17&lt;&gt;"OK",$B211&gt;Comparateur!D$11),"",ROUND(L210*Comparateur!D$10/12,2))</f>
        <v>213.96</v>
      </c>
      <c r="J211" s="18">
        <f>IF(I211="","",IF($B211=Comparateur!D$11,L210,Comparateur!D$20-I211))</f>
        <v>677.54</v>
      </c>
      <c r="K211" s="18">
        <f>IF(I211="","",ROUND(IF(Comparateur!D$12=Paramètres!$B$36,Comparateur!D$9,L210)*Comparateur!D$13/12,2))</f>
        <v>11.33</v>
      </c>
      <c r="L211" s="31">
        <f t="shared" si="30"/>
        <v>74838.789999999994</v>
      </c>
      <c r="M211" s="18">
        <f t="shared" si="31"/>
        <v>902.83</v>
      </c>
      <c r="N211" s="18">
        <f t="shared" si="32"/>
        <v>891.5</v>
      </c>
      <c r="O211" s="18">
        <f>IF(OR($B211="",Comparateur!E$17&lt;&gt;"OK",$B211&gt;Comparateur!E$11),"",ROUND(R210*Comparateur!E$10/12,2))</f>
        <v>225.71</v>
      </c>
      <c r="P211" s="18">
        <f>IF(O211="","",IF($B211=Comparateur!E$11,R210,Comparateur!E$20-O211))</f>
        <v>680.25</v>
      </c>
      <c r="Q211" s="18">
        <f>IF(O211="","",ROUND(IF(Comparateur!E$12=Paramètres!$B$36,Comparateur!E$9,R210)*Comparateur!E$13/12,2))</f>
        <v>30</v>
      </c>
      <c r="R211" s="31">
        <f t="shared" si="33"/>
        <v>75614.8</v>
      </c>
      <c r="S211" s="18">
        <f t="shared" si="34"/>
        <v>935.96</v>
      </c>
      <c r="T211" s="18">
        <f t="shared" si="35"/>
        <v>905.96</v>
      </c>
    </row>
    <row r="212" spans="2:20" x14ac:dyDescent="0.35">
      <c r="B212" s="29">
        <f>IF(B211="","",IF(B211+1&gt;Comparateur!$C$47,"",B211+1))</f>
        <v>205</v>
      </c>
      <c r="C212" s="18">
        <f>IF(OR($B212="",Comparateur!C$17&lt;&gt;"OK",$B212&gt;Comparateur!C$11),"",ROUND(F211*Comparateur!C$10/12,2))</f>
        <v>200.59</v>
      </c>
      <c r="D212" s="18">
        <f>IF(C212="","",IF($B212=Comparateur!C$11,F211,Comparateur!C$20-C212))</f>
        <v>676.57999999999993</v>
      </c>
      <c r="E212" s="18">
        <f>IF(C212="","",ROUND(IF(Comparateur!C$12=Paramètres!$B$36,Comparateur!C$9,F211)*Comparateur!C$13/12,2))</f>
        <v>63</v>
      </c>
      <c r="F212" s="31">
        <f t="shared" si="27"/>
        <v>73386.759999999995</v>
      </c>
      <c r="G212" s="18">
        <f t="shared" si="28"/>
        <v>940.17</v>
      </c>
      <c r="H212" s="18">
        <f t="shared" si="29"/>
        <v>877.17</v>
      </c>
      <c r="I212" s="18">
        <f>IF(OR($B212="",Comparateur!D$17&lt;&gt;"OK",$B212&gt;Comparateur!D$11),"",ROUND(L211*Comparateur!D$10/12,2))</f>
        <v>212.04</v>
      </c>
      <c r="J212" s="18">
        <f>IF(I212="","",IF($B212=Comparateur!D$11,L211,Comparateur!D$20-I212))</f>
        <v>679.46</v>
      </c>
      <c r="K212" s="18">
        <f>IF(I212="","",ROUND(IF(Comparateur!D$12=Paramètres!$B$36,Comparateur!D$9,L211)*Comparateur!D$13/12,2))</f>
        <v>11.23</v>
      </c>
      <c r="L212" s="31">
        <f t="shared" si="30"/>
        <v>74159.33</v>
      </c>
      <c r="M212" s="18">
        <f t="shared" si="31"/>
        <v>902.73</v>
      </c>
      <c r="N212" s="18">
        <f t="shared" si="32"/>
        <v>891.5</v>
      </c>
      <c r="O212" s="18">
        <f>IF(OR($B212="",Comparateur!E$17&lt;&gt;"OK",$B212&gt;Comparateur!E$11),"",ROUND(R211*Comparateur!E$10/12,2))</f>
        <v>223.69</v>
      </c>
      <c r="P212" s="18">
        <f>IF(O212="","",IF($B212=Comparateur!E$11,R211,Comparateur!E$20-O212))</f>
        <v>682.27</v>
      </c>
      <c r="Q212" s="18">
        <f>IF(O212="","",ROUND(IF(Comparateur!E$12=Paramètres!$B$36,Comparateur!E$9,R211)*Comparateur!E$13/12,2))</f>
        <v>30</v>
      </c>
      <c r="R212" s="31">
        <f t="shared" si="33"/>
        <v>74932.53</v>
      </c>
      <c r="S212" s="18">
        <f t="shared" si="34"/>
        <v>935.96</v>
      </c>
      <c r="T212" s="18">
        <f t="shared" si="35"/>
        <v>905.96</v>
      </c>
    </row>
    <row r="213" spans="2:20" x14ac:dyDescent="0.35">
      <c r="B213" s="29">
        <f>IF(B212="","",IF(B212+1&gt;Comparateur!$C$47,"",B212+1))</f>
        <v>206</v>
      </c>
      <c r="C213" s="18">
        <f>IF(OR($B213="",Comparateur!C$17&lt;&gt;"OK",$B213&gt;Comparateur!C$11),"",ROUND(F212*Comparateur!C$10/12,2))</f>
        <v>198.76</v>
      </c>
      <c r="D213" s="18">
        <f>IF(C213="","",IF($B213=Comparateur!C$11,F212,Comparateur!C$20-C213))</f>
        <v>678.41</v>
      </c>
      <c r="E213" s="18">
        <f>IF(C213="","",ROUND(IF(Comparateur!C$12=Paramètres!$B$36,Comparateur!C$9,F212)*Comparateur!C$13/12,2))</f>
        <v>63</v>
      </c>
      <c r="F213" s="31">
        <f t="shared" si="27"/>
        <v>72708.350000000006</v>
      </c>
      <c r="G213" s="18">
        <f t="shared" si="28"/>
        <v>940.17</v>
      </c>
      <c r="H213" s="18">
        <f t="shared" si="29"/>
        <v>877.17</v>
      </c>
      <c r="I213" s="18">
        <f>IF(OR($B213="",Comparateur!D$17&lt;&gt;"OK",$B213&gt;Comparateur!D$11),"",ROUND(L212*Comparateur!D$10/12,2))</f>
        <v>210.12</v>
      </c>
      <c r="J213" s="18">
        <f>IF(I213="","",IF($B213=Comparateur!D$11,L212,Comparateur!D$20-I213))</f>
        <v>681.38</v>
      </c>
      <c r="K213" s="18">
        <f>IF(I213="","",ROUND(IF(Comparateur!D$12=Paramètres!$B$36,Comparateur!D$9,L212)*Comparateur!D$13/12,2))</f>
        <v>11.12</v>
      </c>
      <c r="L213" s="31">
        <f t="shared" si="30"/>
        <v>73477.95</v>
      </c>
      <c r="M213" s="18">
        <f t="shared" si="31"/>
        <v>902.62</v>
      </c>
      <c r="N213" s="18">
        <f t="shared" si="32"/>
        <v>891.5</v>
      </c>
      <c r="O213" s="18">
        <f>IF(OR($B213="",Comparateur!E$17&lt;&gt;"OK",$B213&gt;Comparateur!E$11),"",ROUND(R212*Comparateur!E$10/12,2))</f>
        <v>221.68</v>
      </c>
      <c r="P213" s="18">
        <f>IF(O213="","",IF($B213=Comparateur!E$11,R212,Comparateur!E$20-O213))</f>
        <v>684.28</v>
      </c>
      <c r="Q213" s="18">
        <f>IF(O213="","",ROUND(IF(Comparateur!E$12=Paramètres!$B$36,Comparateur!E$9,R212)*Comparateur!E$13/12,2))</f>
        <v>30</v>
      </c>
      <c r="R213" s="31">
        <f t="shared" si="33"/>
        <v>74248.25</v>
      </c>
      <c r="S213" s="18">
        <f t="shared" si="34"/>
        <v>935.96</v>
      </c>
      <c r="T213" s="18">
        <f t="shared" si="35"/>
        <v>905.96</v>
      </c>
    </row>
    <row r="214" spans="2:20" x14ac:dyDescent="0.35">
      <c r="B214" s="29">
        <f>IF(B213="","",IF(B213+1&gt;Comparateur!$C$47,"",B213+1))</f>
        <v>207</v>
      </c>
      <c r="C214" s="18">
        <f>IF(OR($B214="",Comparateur!C$17&lt;&gt;"OK",$B214&gt;Comparateur!C$11),"",ROUND(F213*Comparateur!C$10/12,2))</f>
        <v>196.92</v>
      </c>
      <c r="D214" s="18">
        <f>IF(C214="","",IF($B214=Comparateur!C$11,F213,Comparateur!C$20-C214))</f>
        <v>680.25</v>
      </c>
      <c r="E214" s="18">
        <f>IF(C214="","",ROUND(IF(Comparateur!C$12=Paramètres!$B$36,Comparateur!C$9,F213)*Comparateur!C$13/12,2))</f>
        <v>63</v>
      </c>
      <c r="F214" s="31">
        <f t="shared" si="27"/>
        <v>72028.100000000006</v>
      </c>
      <c r="G214" s="18">
        <f t="shared" si="28"/>
        <v>940.17</v>
      </c>
      <c r="H214" s="18">
        <f t="shared" si="29"/>
        <v>877.17</v>
      </c>
      <c r="I214" s="18">
        <f>IF(OR($B214="",Comparateur!D$17&lt;&gt;"OK",$B214&gt;Comparateur!D$11),"",ROUND(L213*Comparateur!D$10/12,2))</f>
        <v>208.19</v>
      </c>
      <c r="J214" s="18">
        <f>IF(I214="","",IF($B214=Comparateur!D$11,L213,Comparateur!D$20-I214))</f>
        <v>683.31</v>
      </c>
      <c r="K214" s="18">
        <f>IF(I214="","",ROUND(IF(Comparateur!D$12=Paramètres!$B$36,Comparateur!D$9,L213)*Comparateur!D$13/12,2))</f>
        <v>11.02</v>
      </c>
      <c r="L214" s="31">
        <f t="shared" si="30"/>
        <v>72794.64</v>
      </c>
      <c r="M214" s="18">
        <f t="shared" si="31"/>
        <v>902.52</v>
      </c>
      <c r="N214" s="18">
        <f t="shared" si="32"/>
        <v>891.5</v>
      </c>
      <c r="O214" s="18">
        <f>IF(OR($B214="",Comparateur!E$17&lt;&gt;"OK",$B214&gt;Comparateur!E$11),"",ROUND(R213*Comparateur!E$10/12,2))</f>
        <v>219.65</v>
      </c>
      <c r="P214" s="18">
        <f>IF(O214="","",IF($B214=Comparateur!E$11,R213,Comparateur!E$20-O214))</f>
        <v>686.31000000000006</v>
      </c>
      <c r="Q214" s="18">
        <f>IF(O214="","",ROUND(IF(Comparateur!E$12=Paramètres!$B$36,Comparateur!E$9,R213)*Comparateur!E$13/12,2))</f>
        <v>30</v>
      </c>
      <c r="R214" s="31">
        <f t="shared" si="33"/>
        <v>73561.94</v>
      </c>
      <c r="S214" s="18">
        <f t="shared" si="34"/>
        <v>935.96</v>
      </c>
      <c r="T214" s="18">
        <f t="shared" si="35"/>
        <v>905.96</v>
      </c>
    </row>
    <row r="215" spans="2:20" x14ac:dyDescent="0.35">
      <c r="B215" s="29">
        <f>IF(B214="","",IF(B214+1&gt;Comparateur!$C$47,"",B214+1))</f>
        <v>208</v>
      </c>
      <c r="C215" s="18">
        <f>IF(OR($B215="",Comparateur!C$17&lt;&gt;"OK",$B215&gt;Comparateur!C$11),"",ROUND(F214*Comparateur!C$10/12,2))</f>
        <v>195.08</v>
      </c>
      <c r="D215" s="18">
        <f>IF(C215="","",IF($B215=Comparateur!C$11,F214,Comparateur!C$20-C215))</f>
        <v>682.08999999999992</v>
      </c>
      <c r="E215" s="18">
        <f>IF(C215="","",ROUND(IF(Comparateur!C$12=Paramètres!$B$36,Comparateur!C$9,F214)*Comparateur!C$13/12,2))</f>
        <v>63</v>
      </c>
      <c r="F215" s="31">
        <f t="shared" si="27"/>
        <v>71346.009999999995</v>
      </c>
      <c r="G215" s="18">
        <f t="shared" si="28"/>
        <v>940.17</v>
      </c>
      <c r="H215" s="18">
        <f t="shared" si="29"/>
        <v>877.17</v>
      </c>
      <c r="I215" s="18">
        <f>IF(OR($B215="",Comparateur!D$17&lt;&gt;"OK",$B215&gt;Comparateur!D$11),"",ROUND(L214*Comparateur!D$10/12,2))</f>
        <v>206.25</v>
      </c>
      <c r="J215" s="18">
        <f>IF(I215="","",IF($B215=Comparateur!D$11,L214,Comparateur!D$20-I215))</f>
        <v>685.25</v>
      </c>
      <c r="K215" s="18">
        <f>IF(I215="","",ROUND(IF(Comparateur!D$12=Paramètres!$B$36,Comparateur!D$9,L214)*Comparateur!D$13/12,2))</f>
        <v>10.92</v>
      </c>
      <c r="L215" s="31">
        <f t="shared" si="30"/>
        <v>72109.39</v>
      </c>
      <c r="M215" s="18">
        <f t="shared" si="31"/>
        <v>902.42</v>
      </c>
      <c r="N215" s="18">
        <f t="shared" si="32"/>
        <v>891.5</v>
      </c>
      <c r="O215" s="18">
        <f>IF(OR($B215="",Comparateur!E$17&lt;&gt;"OK",$B215&gt;Comparateur!E$11),"",ROUND(R214*Comparateur!E$10/12,2))</f>
        <v>217.62</v>
      </c>
      <c r="P215" s="18">
        <f>IF(O215="","",IF($B215=Comparateur!E$11,R214,Comparateur!E$20-O215))</f>
        <v>688.34</v>
      </c>
      <c r="Q215" s="18">
        <f>IF(O215="","",ROUND(IF(Comparateur!E$12=Paramètres!$B$36,Comparateur!E$9,R214)*Comparateur!E$13/12,2))</f>
        <v>30</v>
      </c>
      <c r="R215" s="31">
        <f t="shared" si="33"/>
        <v>72873.600000000006</v>
      </c>
      <c r="S215" s="18">
        <f t="shared" si="34"/>
        <v>935.96</v>
      </c>
      <c r="T215" s="18">
        <f t="shared" si="35"/>
        <v>905.96</v>
      </c>
    </row>
    <row r="216" spans="2:20" x14ac:dyDescent="0.35">
      <c r="B216" s="29">
        <f>IF(B215="","",IF(B215+1&gt;Comparateur!$C$47,"",B215+1))</f>
        <v>209</v>
      </c>
      <c r="C216" s="18">
        <f>IF(OR($B216="",Comparateur!C$17&lt;&gt;"OK",$B216&gt;Comparateur!C$11),"",ROUND(F215*Comparateur!C$10/12,2))</f>
        <v>193.23</v>
      </c>
      <c r="D216" s="18">
        <f>IF(C216="","",IF($B216=Comparateur!C$11,F215,Comparateur!C$20-C216))</f>
        <v>683.93999999999994</v>
      </c>
      <c r="E216" s="18">
        <f>IF(C216="","",ROUND(IF(Comparateur!C$12=Paramètres!$B$36,Comparateur!C$9,F215)*Comparateur!C$13/12,2))</f>
        <v>63</v>
      </c>
      <c r="F216" s="31">
        <f t="shared" si="27"/>
        <v>70662.070000000007</v>
      </c>
      <c r="G216" s="18">
        <f t="shared" si="28"/>
        <v>940.17</v>
      </c>
      <c r="H216" s="18">
        <f t="shared" si="29"/>
        <v>877.17</v>
      </c>
      <c r="I216" s="18">
        <f>IF(OR($B216="",Comparateur!D$17&lt;&gt;"OK",$B216&gt;Comparateur!D$11),"",ROUND(L215*Comparateur!D$10/12,2))</f>
        <v>204.31</v>
      </c>
      <c r="J216" s="18">
        <f>IF(I216="","",IF($B216=Comparateur!D$11,L215,Comparateur!D$20-I216))</f>
        <v>687.19</v>
      </c>
      <c r="K216" s="18">
        <f>IF(I216="","",ROUND(IF(Comparateur!D$12=Paramètres!$B$36,Comparateur!D$9,L215)*Comparateur!D$13/12,2))</f>
        <v>10.82</v>
      </c>
      <c r="L216" s="31">
        <f t="shared" si="30"/>
        <v>71422.2</v>
      </c>
      <c r="M216" s="18">
        <f t="shared" si="31"/>
        <v>902.32</v>
      </c>
      <c r="N216" s="18">
        <f t="shared" si="32"/>
        <v>891.5</v>
      </c>
      <c r="O216" s="18">
        <f>IF(OR($B216="",Comparateur!E$17&lt;&gt;"OK",$B216&gt;Comparateur!E$11),"",ROUND(R215*Comparateur!E$10/12,2))</f>
        <v>215.58</v>
      </c>
      <c r="P216" s="18">
        <f>IF(O216="","",IF($B216=Comparateur!E$11,R215,Comparateur!E$20-O216))</f>
        <v>690.38</v>
      </c>
      <c r="Q216" s="18">
        <f>IF(O216="","",ROUND(IF(Comparateur!E$12=Paramètres!$B$36,Comparateur!E$9,R215)*Comparateur!E$13/12,2))</f>
        <v>30</v>
      </c>
      <c r="R216" s="31">
        <f t="shared" si="33"/>
        <v>72183.22</v>
      </c>
      <c r="S216" s="18">
        <f t="shared" si="34"/>
        <v>935.96</v>
      </c>
      <c r="T216" s="18">
        <f t="shared" si="35"/>
        <v>905.96</v>
      </c>
    </row>
    <row r="217" spans="2:20" x14ac:dyDescent="0.35">
      <c r="B217" s="29">
        <f>IF(B216="","",IF(B216+1&gt;Comparateur!$C$47,"",B216+1))</f>
        <v>210</v>
      </c>
      <c r="C217" s="18">
        <f>IF(OR($B217="",Comparateur!C$17&lt;&gt;"OK",$B217&gt;Comparateur!C$11),"",ROUND(F216*Comparateur!C$10/12,2))</f>
        <v>191.38</v>
      </c>
      <c r="D217" s="18">
        <f>IF(C217="","",IF($B217=Comparateur!C$11,F216,Comparateur!C$20-C217))</f>
        <v>685.79</v>
      </c>
      <c r="E217" s="18">
        <f>IF(C217="","",ROUND(IF(Comparateur!C$12=Paramètres!$B$36,Comparateur!C$9,F216)*Comparateur!C$13/12,2))</f>
        <v>63</v>
      </c>
      <c r="F217" s="31">
        <f t="shared" si="27"/>
        <v>69976.28</v>
      </c>
      <c r="G217" s="18">
        <f t="shared" si="28"/>
        <v>940.17</v>
      </c>
      <c r="H217" s="18">
        <f t="shared" si="29"/>
        <v>877.17</v>
      </c>
      <c r="I217" s="18">
        <f>IF(OR($B217="",Comparateur!D$17&lt;&gt;"OK",$B217&gt;Comparateur!D$11),"",ROUND(L216*Comparateur!D$10/12,2))</f>
        <v>202.36</v>
      </c>
      <c r="J217" s="18">
        <f>IF(I217="","",IF($B217=Comparateur!D$11,L216,Comparateur!D$20-I217))</f>
        <v>689.14</v>
      </c>
      <c r="K217" s="18">
        <f>IF(I217="","",ROUND(IF(Comparateur!D$12=Paramètres!$B$36,Comparateur!D$9,L216)*Comparateur!D$13/12,2))</f>
        <v>10.71</v>
      </c>
      <c r="L217" s="31">
        <f t="shared" si="30"/>
        <v>70733.06</v>
      </c>
      <c r="M217" s="18">
        <f t="shared" si="31"/>
        <v>902.21</v>
      </c>
      <c r="N217" s="18">
        <f t="shared" si="32"/>
        <v>891.5</v>
      </c>
      <c r="O217" s="18">
        <f>IF(OR($B217="",Comparateur!E$17&lt;&gt;"OK",$B217&gt;Comparateur!E$11),"",ROUND(R216*Comparateur!E$10/12,2))</f>
        <v>213.54</v>
      </c>
      <c r="P217" s="18">
        <f>IF(O217="","",IF($B217=Comparateur!E$11,R216,Comparateur!E$20-O217))</f>
        <v>692.42000000000007</v>
      </c>
      <c r="Q217" s="18">
        <f>IF(O217="","",ROUND(IF(Comparateur!E$12=Paramètres!$B$36,Comparateur!E$9,R216)*Comparateur!E$13/12,2))</f>
        <v>30</v>
      </c>
      <c r="R217" s="31">
        <f t="shared" si="33"/>
        <v>71490.8</v>
      </c>
      <c r="S217" s="18">
        <f t="shared" si="34"/>
        <v>935.96</v>
      </c>
      <c r="T217" s="18">
        <f t="shared" si="35"/>
        <v>905.96</v>
      </c>
    </row>
    <row r="218" spans="2:20" x14ac:dyDescent="0.35">
      <c r="B218" s="29">
        <f>IF(B217="","",IF(B217+1&gt;Comparateur!$C$47,"",B217+1))</f>
        <v>211</v>
      </c>
      <c r="C218" s="18">
        <f>IF(OR($B218="",Comparateur!C$17&lt;&gt;"OK",$B218&gt;Comparateur!C$11),"",ROUND(F217*Comparateur!C$10/12,2))</f>
        <v>189.52</v>
      </c>
      <c r="D218" s="18">
        <f>IF(C218="","",IF($B218=Comparateur!C$11,F217,Comparateur!C$20-C218))</f>
        <v>687.65</v>
      </c>
      <c r="E218" s="18">
        <f>IF(C218="","",ROUND(IF(Comparateur!C$12=Paramètres!$B$36,Comparateur!C$9,F217)*Comparateur!C$13/12,2))</f>
        <v>63</v>
      </c>
      <c r="F218" s="31">
        <f t="shared" si="27"/>
        <v>69288.63</v>
      </c>
      <c r="G218" s="18">
        <f t="shared" si="28"/>
        <v>940.17</v>
      </c>
      <c r="H218" s="18">
        <f t="shared" si="29"/>
        <v>877.17</v>
      </c>
      <c r="I218" s="18">
        <f>IF(OR($B218="",Comparateur!D$17&lt;&gt;"OK",$B218&gt;Comparateur!D$11),"",ROUND(L217*Comparateur!D$10/12,2))</f>
        <v>200.41</v>
      </c>
      <c r="J218" s="18">
        <f>IF(I218="","",IF($B218=Comparateur!D$11,L217,Comparateur!D$20-I218))</f>
        <v>691.09</v>
      </c>
      <c r="K218" s="18">
        <f>IF(I218="","",ROUND(IF(Comparateur!D$12=Paramètres!$B$36,Comparateur!D$9,L217)*Comparateur!D$13/12,2))</f>
        <v>10.61</v>
      </c>
      <c r="L218" s="31">
        <f t="shared" si="30"/>
        <v>70041.97</v>
      </c>
      <c r="M218" s="18">
        <f t="shared" si="31"/>
        <v>902.11</v>
      </c>
      <c r="N218" s="18">
        <f t="shared" si="32"/>
        <v>891.5</v>
      </c>
      <c r="O218" s="18">
        <f>IF(OR($B218="",Comparateur!E$17&lt;&gt;"OK",$B218&gt;Comparateur!E$11),"",ROUND(R217*Comparateur!E$10/12,2))</f>
        <v>211.49</v>
      </c>
      <c r="P218" s="18">
        <f>IF(O218="","",IF($B218=Comparateur!E$11,R217,Comparateur!E$20-O218))</f>
        <v>694.47</v>
      </c>
      <c r="Q218" s="18">
        <f>IF(O218="","",ROUND(IF(Comparateur!E$12=Paramètres!$B$36,Comparateur!E$9,R217)*Comparateur!E$13/12,2))</f>
        <v>30</v>
      </c>
      <c r="R218" s="31">
        <f t="shared" si="33"/>
        <v>70796.33</v>
      </c>
      <c r="S218" s="18">
        <f t="shared" si="34"/>
        <v>935.96</v>
      </c>
      <c r="T218" s="18">
        <f t="shared" si="35"/>
        <v>905.96</v>
      </c>
    </row>
    <row r="219" spans="2:20" x14ac:dyDescent="0.35">
      <c r="B219" s="29">
        <f>IF(B218="","",IF(B218+1&gt;Comparateur!$C$47,"",B218+1))</f>
        <v>212</v>
      </c>
      <c r="C219" s="18">
        <f>IF(OR($B219="",Comparateur!C$17&lt;&gt;"OK",$B219&gt;Comparateur!C$11),"",ROUND(F218*Comparateur!C$10/12,2))</f>
        <v>187.66</v>
      </c>
      <c r="D219" s="18">
        <f>IF(C219="","",IF($B219=Comparateur!C$11,F218,Comparateur!C$20-C219))</f>
        <v>689.51</v>
      </c>
      <c r="E219" s="18">
        <f>IF(C219="","",ROUND(IF(Comparateur!C$12=Paramètres!$B$36,Comparateur!C$9,F218)*Comparateur!C$13/12,2))</f>
        <v>63</v>
      </c>
      <c r="F219" s="31">
        <f t="shared" si="27"/>
        <v>68599.12</v>
      </c>
      <c r="G219" s="18">
        <f t="shared" si="28"/>
        <v>940.17</v>
      </c>
      <c r="H219" s="18">
        <f t="shared" si="29"/>
        <v>877.17</v>
      </c>
      <c r="I219" s="18">
        <f>IF(OR($B219="",Comparateur!D$17&lt;&gt;"OK",$B219&gt;Comparateur!D$11),"",ROUND(L218*Comparateur!D$10/12,2))</f>
        <v>198.45</v>
      </c>
      <c r="J219" s="18">
        <f>IF(I219="","",IF($B219=Comparateur!D$11,L218,Comparateur!D$20-I219))</f>
        <v>693.05</v>
      </c>
      <c r="K219" s="18">
        <f>IF(I219="","",ROUND(IF(Comparateur!D$12=Paramètres!$B$36,Comparateur!D$9,L218)*Comparateur!D$13/12,2))</f>
        <v>10.51</v>
      </c>
      <c r="L219" s="31">
        <f t="shared" si="30"/>
        <v>69348.92</v>
      </c>
      <c r="M219" s="18">
        <f t="shared" si="31"/>
        <v>902.01</v>
      </c>
      <c r="N219" s="18">
        <f t="shared" si="32"/>
        <v>891.5</v>
      </c>
      <c r="O219" s="18">
        <f>IF(OR($B219="",Comparateur!E$17&lt;&gt;"OK",$B219&gt;Comparateur!E$11),"",ROUND(R218*Comparateur!E$10/12,2))</f>
        <v>209.44</v>
      </c>
      <c r="P219" s="18">
        <f>IF(O219="","",IF($B219=Comparateur!E$11,R218,Comparateur!E$20-O219))</f>
        <v>696.52</v>
      </c>
      <c r="Q219" s="18">
        <f>IF(O219="","",ROUND(IF(Comparateur!E$12=Paramètres!$B$36,Comparateur!E$9,R218)*Comparateur!E$13/12,2))</f>
        <v>30</v>
      </c>
      <c r="R219" s="31">
        <f t="shared" si="33"/>
        <v>70099.81</v>
      </c>
      <c r="S219" s="18">
        <f t="shared" si="34"/>
        <v>935.96</v>
      </c>
      <c r="T219" s="18">
        <f t="shared" si="35"/>
        <v>905.96</v>
      </c>
    </row>
    <row r="220" spans="2:20" x14ac:dyDescent="0.35">
      <c r="B220" s="29">
        <f>IF(B219="","",IF(B219+1&gt;Comparateur!$C$47,"",B219+1))</f>
        <v>213</v>
      </c>
      <c r="C220" s="18">
        <f>IF(OR($B220="",Comparateur!C$17&lt;&gt;"OK",$B220&gt;Comparateur!C$11),"",ROUND(F219*Comparateur!C$10/12,2))</f>
        <v>185.79</v>
      </c>
      <c r="D220" s="18">
        <f>IF(C220="","",IF($B220=Comparateur!C$11,F219,Comparateur!C$20-C220))</f>
        <v>691.38</v>
      </c>
      <c r="E220" s="18">
        <f>IF(C220="","",ROUND(IF(Comparateur!C$12=Paramètres!$B$36,Comparateur!C$9,F219)*Comparateur!C$13/12,2))</f>
        <v>63</v>
      </c>
      <c r="F220" s="31">
        <f t="shared" si="27"/>
        <v>67907.740000000005</v>
      </c>
      <c r="G220" s="18">
        <f t="shared" si="28"/>
        <v>940.17</v>
      </c>
      <c r="H220" s="18">
        <f t="shared" si="29"/>
        <v>877.17</v>
      </c>
      <c r="I220" s="18">
        <f>IF(OR($B220="",Comparateur!D$17&lt;&gt;"OK",$B220&gt;Comparateur!D$11),"",ROUND(L219*Comparateur!D$10/12,2))</f>
        <v>196.49</v>
      </c>
      <c r="J220" s="18">
        <f>IF(I220="","",IF($B220=Comparateur!D$11,L219,Comparateur!D$20-I220))</f>
        <v>695.01</v>
      </c>
      <c r="K220" s="18">
        <f>IF(I220="","",ROUND(IF(Comparateur!D$12=Paramètres!$B$36,Comparateur!D$9,L219)*Comparateur!D$13/12,2))</f>
        <v>10.4</v>
      </c>
      <c r="L220" s="31">
        <f t="shared" si="30"/>
        <v>68653.91</v>
      </c>
      <c r="M220" s="18">
        <f t="shared" si="31"/>
        <v>901.9</v>
      </c>
      <c r="N220" s="18">
        <f t="shared" si="32"/>
        <v>891.5</v>
      </c>
      <c r="O220" s="18">
        <f>IF(OR($B220="",Comparateur!E$17&lt;&gt;"OK",$B220&gt;Comparateur!E$11),"",ROUND(R219*Comparateur!E$10/12,2))</f>
        <v>207.38</v>
      </c>
      <c r="P220" s="18">
        <f>IF(O220="","",IF($B220=Comparateur!E$11,R219,Comparateur!E$20-O220))</f>
        <v>698.58</v>
      </c>
      <c r="Q220" s="18">
        <f>IF(O220="","",ROUND(IF(Comparateur!E$12=Paramètres!$B$36,Comparateur!E$9,R219)*Comparateur!E$13/12,2))</f>
        <v>30</v>
      </c>
      <c r="R220" s="31">
        <f t="shared" si="33"/>
        <v>69401.23</v>
      </c>
      <c r="S220" s="18">
        <f t="shared" si="34"/>
        <v>935.96</v>
      </c>
      <c r="T220" s="18">
        <f t="shared" si="35"/>
        <v>905.96</v>
      </c>
    </row>
    <row r="221" spans="2:20" x14ac:dyDescent="0.35">
      <c r="B221" s="29">
        <f>IF(B220="","",IF(B220+1&gt;Comparateur!$C$47,"",B220+1))</f>
        <v>214</v>
      </c>
      <c r="C221" s="18">
        <f>IF(OR($B221="",Comparateur!C$17&lt;&gt;"OK",$B221&gt;Comparateur!C$11),"",ROUND(F220*Comparateur!C$10/12,2))</f>
        <v>183.92</v>
      </c>
      <c r="D221" s="18">
        <f>IF(C221="","",IF($B221=Comparateur!C$11,F220,Comparateur!C$20-C221))</f>
        <v>693.25</v>
      </c>
      <c r="E221" s="18">
        <f>IF(C221="","",ROUND(IF(Comparateur!C$12=Paramètres!$B$36,Comparateur!C$9,F220)*Comparateur!C$13/12,2))</f>
        <v>63</v>
      </c>
      <c r="F221" s="31">
        <f t="shared" si="27"/>
        <v>67214.490000000005</v>
      </c>
      <c r="G221" s="18">
        <f t="shared" si="28"/>
        <v>940.17</v>
      </c>
      <c r="H221" s="18">
        <f t="shared" si="29"/>
        <v>877.17</v>
      </c>
      <c r="I221" s="18">
        <f>IF(OR($B221="",Comparateur!D$17&lt;&gt;"OK",$B221&gt;Comparateur!D$11),"",ROUND(L220*Comparateur!D$10/12,2))</f>
        <v>194.52</v>
      </c>
      <c r="J221" s="18">
        <f>IF(I221="","",IF($B221=Comparateur!D$11,L220,Comparateur!D$20-I221))</f>
        <v>696.98</v>
      </c>
      <c r="K221" s="18">
        <f>IF(I221="","",ROUND(IF(Comparateur!D$12=Paramètres!$B$36,Comparateur!D$9,L220)*Comparateur!D$13/12,2))</f>
        <v>10.3</v>
      </c>
      <c r="L221" s="31">
        <f t="shared" si="30"/>
        <v>67956.929999999993</v>
      </c>
      <c r="M221" s="18">
        <f t="shared" si="31"/>
        <v>901.8</v>
      </c>
      <c r="N221" s="18">
        <f t="shared" si="32"/>
        <v>891.5</v>
      </c>
      <c r="O221" s="18">
        <f>IF(OR($B221="",Comparateur!E$17&lt;&gt;"OK",$B221&gt;Comparateur!E$11),"",ROUND(R220*Comparateur!E$10/12,2))</f>
        <v>205.31</v>
      </c>
      <c r="P221" s="18">
        <f>IF(O221="","",IF($B221=Comparateur!E$11,R220,Comparateur!E$20-O221))</f>
        <v>700.65000000000009</v>
      </c>
      <c r="Q221" s="18">
        <f>IF(O221="","",ROUND(IF(Comparateur!E$12=Paramètres!$B$36,Comparateur!E$9,R220)*Comparateur!E$13/12,2))</f>
        <v>30</v>
      </c>
      <c r="R221" s="31">
        <f t="shared" si="33"/>
        <v>68700.58</v>
      </c>
      <c r="S221" s="18">
        <f t="shared" si="34"/>
        <v>935.96</v>
      </c>
      <c r="T221" s="18">
        <f t="shared" si="35"/>
        <v>905.96</v>
      </c>
    </row>
    <row r="222" spans="2:20" x14ac:dyDescent="0.35">
      <c r="B222" s="29">
        <f>IF(B221="","",IF(B221+1&gt;Comparateur!$C$47,"",B221+1))</f>
        <v>215</v>
      </c>
      <c r="C222" s="18">
        <f>IF(OR($B222="",Comparateur!C$17&lt;&gt;"OK",$B222&gt;Comparateur!C$11),"",ROUND(F221*Comparateur!C$10/12,2))</f>
        <v>182.04</v>
      </c>
      <c r="D222" s="18">
        <f>IF(C222="","",IF($B222=Comparateur!C$11,F221,Comparateur!C$20-C222))</f>
        <v>695.13</v>
      </c>
      <c r="E222" s="18">
        <f>IF(C222="","",ROUND(IF(Comparateur!C$12=Paramètres!$B$36,Comparateur!C$9,F221)*Comparateur!C$13/12,2))</f>
        <v>63</v>
      </c>
      <c r="F222" s="31">
        <f t="shared" si="27"/>
        <v>66519.360000000001</v>
      </c>
      <c r="G222" s="18">
        <f t="shared" si="28"/>
        <v>940.17</v>
      </c>
      <c r="H222" s="18">
        <f t="shared" si="29"/>
        <v>877.17</v>
      </c>
      <c r="I222" s="18">
        <f>IF(OR($B222="",Comparateur!D$17&lt;&gt;"OK",$B222&gt;Comparateur!D$11),"",ROUND(L221*Comparateur!D$10/12,2))</f>
        <v>192.54</v>
      </c>
      <c r="J222" s="18">
        <f>IF(I222="","",IF($B222=Comparateur!D$11,L221,Comparateur!D$20-I222))</f>
        <v>698.96</v>
      </c>
      <c r="K222" s="18">
        <f>IF(I222="","",ROUND(IF(Comparateur!D$12=Paramètres!$B$36,Comparateur!D$9,L221)*Comparateur!D$13/12,2))</f>
        <v>10.19</v>
      </c>
      <c r="L222" s="31">
        <f t="shared" si="30"/>
        <v>67257.97</v>
      </c>
      <c r="M222" s="18">
        <f t="shared" si="31"/>
        <v>901.69</v>
      </c>
      <c r="N222" s="18">
        <f t="shared" si="32"/>
        <v>891.5</v>
      </c>
      <c r="O222" s="18">
        <f>IF(OR($B222="",Comparateur!E$17&lt;&gt;"OK",$B222&gt;Comparateur!E$11),"",ROUND(R221*Comparateur!E$10/12,2))</f>
        <v>203.24</v>
      </c>
      <c r="P222" s="18">
        <f>IF(O222="","",IF($B222=Comparateur!E$11,R221,Comparateur!E$20-O222))</f>
        <v>702.72</v>
      </c>
      <c r="Q222" s="18">
        <f>IF(O222="","",ROUND(IF(Comparateur!E$12=Paramètres!$B$36,Comparateur!E$9,R221)*Comparateur!E$13/12,2))</f>
        <v>30</v>
      </c>
      <c r="R222" s="31">
        <f t="shared" si="33"/>
        <v>67997.86</v>
      </c>
      <c r="S222" s="18">
        <f t="shared" si="34"/>
        <v>935.96</v>
      </c>
      <c r="T222" s="18">
        <f t="shared" si="35"/>
        <v>905.96</v>
      </c>
    </row>
    <row r="223" spans="2:20" x14ac:dyDescent="0.35">
      <c r="B223" s="29">
        <f>IF(B222="","",IF(B222+1&gt;Comparateur!$C$47,"",B222+1))</f>
        <v>216</v>
      </c>
      <c r="C223" s="18">
        <f>IF(OR($B223="",Comparateur!C$17&lt;&gt;"OK",$B223&gt;Comparateur!C$11),"",ROUND(F222*Comparateur!C$10/12,2))</f>
        <v>180.16</v>
      </c>
      <c r="D223" s="18">
        <f>IF(C223="","",IF($B223=Comparateur!C$11,F222,Comparateur!C$20-C223))</f>
        <v>697.01</v>
      </c>
      <c r="E223" s="18">
        <f>IF(C223="","",ROUND(IF(Comparateur!C$12=Paramètres!$B$36,Comparateur!C$9,F222)*Comparateur!C$13/12,2))</f>
        <v>63</v>
      </c>
      <c r="F223" s="31">
        <f t="shared" si="27"/>
        <v>65822.350000000006</v>
      </c>
      <c r="G223" s="18">
        <f t="shared" si="28"/>
        <v>940.17</v>
      </c>
      <c r="H223" s="18">
        <f t="shared" si="29"/>
        <v>877.17</v>
      </c>
      <c r="I223" s="18">
        <f>IF(OR($B223="",Comparateur!D$17&lt;&gt;"OK",$B223&gt;Comparateur!D$11),"",ROUND(L222*Comparateur!D$10/12,2))</f>
        <v>190.56</v>
      </c>
      <c r="J223" s="18">
        <f>IF(I223="","",IF($B223=Comparateur!D$11,L222,Comparateur!D$20-I223))</f>
        <v>700.94</v>
      </c>
      <c r="K223" s="18">
        <f>IF(I223="","",ROUND(IF(Comparateur!D$12=Paramètres!$B$36,Comparateur!D$9,L222)*Comparateur!D$13/12,2))</f>
        <v>10.09</v>
      </c>
      <c r="L223" s="31">
        <f t="shared" si="30"/>
        <v>66557.03</v>
      </c>
      <c r="M223" s="18">
        <f t="shared" si="31"/>
        <v>901.59</v>
      </c>
      <c r="N223" s="18">
        <f t="shared" si="32"/>
        <v>891.5</v>
      </c>
      <c r="O223" s="18">
        <f>IF(OR($B223="",Comparateur!E$17&lt;&gt;"OK",$B223&gt;Comparateur!E$11),"",ROUND(R222*Comparateur!E$10/12,2))</f>
        <v>201.16</v>
      </c>
      <c r="P223" s="18">
        <f>IF(O223="","",IF($B223=Comparateur!E$11,R222,Comparateur!E$20-O223))</f>
        <v>704.80000000000007</v>
      </c>
      <c r="Q223" s="18">
        <f>IF(O223="","",ROUND(IF(Comparateur!E$12=Paramètres!$B$36,Comparateur!E$9,R222)*Comparateur!E$13/12,2))</f>
        <v>30</v>
      </c>
      <c r="R223" s="31">
        <f t="shared" si="33"/>
        <v>67293.06</v>
      </c>
      <c r="S223" s="18">
        <f t="shared" si="34"/>
        <v>935.96</v>
      </c>
      <c r="T223" s="18">
        <f t="shared" si="35"/>
        <v>905.96</v>
      </c>
    </row>
    <row r="224" spans="2:20" x14ac:dyDescent="0.35">
      <c r="B224" s="29">
        <f>IF(B223="","",IF(B223+1&gt;Comparateur!$C$47,"",B223+1))</f>
        <v>217</v>
      </c>
      <c r="C224" s="18">
        <f>IF(OR($B224="",Comparateur!C$17&lt;&gt;"OK",$B224&gt;Comparateur!C$11),"",ROUND(F223*Comparateur!C$10/12,2))</f>
        <v>178.27</v>
      </c>
      <c r="D224" s="18">
        <f>IF(C224="","",IF($B224=Comparateur!C$11,F223,Comparateur!C$20-C224))</f>
        <v>698.9</v>
      </c>
      <c r="E224" s="18">
        <f>IF(C224="","",ROUND(IF(Comparateur!C$12=Paramètres!$B$36,Comparateur!C$9,F223)*Comparateur!C$13/12,2))</f>
        <v>63</v>
      </c>
      <c r="F224" s="31">
        <f t="shared" si="27"/>
        <v>65123.45</v>
      </c>
      <c r="G224" s="18">
        <f t="shared" si="28"/>
        <v>940.17</v>
      </c>
      <c r="H224" s="18">
        <f t="shared" si="29"/>
        <v>877.17</v>
      </c>
      <c r="I224" s="18">
        <f>IF(OR($B224="",Comparateur!D$17&lt;&gt;"OK",$B224&gt;Comparateur!D$11),"",ROUND(L223*Comparateur!D$10/12,2))</f>
        <v>188.58</v>
      </c>
      <c r="J224" s="18">
        <f>IF(I224="","",IF($B224=Comparateur!D$11,L223,Comparateur!D$20-I224))</f>
        <v>702.92</v>
      </c>
      <c r="K224" s="18">
        <f>IF(I224="","",ROUND(IF(Comparateur!D$12=Paramètres!$B$36,Comparateur!D$9,L223)*Comparateur!D$13/12,2))</f>
        <v>9.98</v>
      </c>
      <c r="L224" s="31">
        <f t="shared" si="30"/>
        <v>65854.11</v>
      </c>
      <c r="M224" s="18">
        <f t="shared" si="31"/>
        <v>901.48</v>
      </c>
      <c r="N224" s="18">
        <f t="shared" si="32"/>
        <v>891.5</v>
      </c>
      <c r="O224" s="18">
        <f>IF(OR($B224="",Comparateur!E$17&lt;&gt;"OK",$B224&gt;Comparateur!E$11),"",ROUND(R223*Comparateur!E$10/12,2))</f>
        <v>199.08</v>
      </c>
      <c r="P224" s="18">
        <f>IF(O224="","",IF($B224=Comparateur!E$11,R223,Comparateur!E$20-O224))</f>
        <v>706.88</v>
      </c>
      <c r="Q224" s="18">
        <f>IF(O224="","",ROUND(IF(Comparateur!E$12=Paramètres!$B$36,Comparateur!E$9,R223)*Comparateur!E$13/12,2))</f>
        <v>30</v>
      </c>
      <c r="R224" s="31">
        <f t="shared" si="33"/>
        <v>66586.179999999993</v>
      </c>
      <c r="S224" s="18">
        <f t="shared" si="34"/>
        <v>935.96</v>
      </c>
      <c r="T224" s="18">
        <f t="shared" si="35"/>
        <v>905.96</v>
      </c>
    </row>
    <row r="225" spans="2:20" x14ac:dyDescent="0.35">
      <c r="B225" s="29">
        <f>IF(B224="","",IF(B224+1&gt;Comparateur!$C$47,"",B224+1))</f>
        <v>218</v>
      </c>
      <c r="C225" s="18">
        <f>IF(OR($B225="",Comparateur!C$17&lt;&gt;"OK",$B225&gt;Comparateur!C$11),"",ROUND(F224*Comparateur!C$10/12,2))</f>
        <v>176.38</v>
      </c>
      <c r="D225" s="18">
        <f>IF(C225="","",IF($B225=Comparateur!C$11,F224,Comparateur!C$20-C225))</f>
        <v>700.79</v>
      </c>
      <c r="E225" s="18">
        <f>IF(C225="","",ROUND(IF(Comparateur!C$12=Paramètres!$B$36,Comparateur!C$9,F224)*Comparateur!C$13/12,2))</f>
        <v>63</v>
      </c>
      <c r="F225" s="31">
        <f t="shared" si="27"/>
        <v>64422.66</v>
      </c>
      <c r="G225" s="18">
        <f t="shared" si="28"/>
        <v>940.17</v>
      </c>
      <c r="H225" s="18">
        <f t="shared" si="29"/>
        <v>877.17</v>
      </c>
      <c r="I225" s="18">
        <f>IF(OR($B225="",Comparateur!D$17&lt;&gt;"OK",$B225&gt;Comparateur!D$11),"",ROUND(L224*Comparateur!D$10/12,2))</f>
        <v>186.59</v>
      </c>
      <c r="J225" s="18">
        <f>IF(I225="","",IF($B225=Comparateur!D$11,L224,Comparateur!D$20-I225))</f>
        <v>704.91</v>
      </c>
      <c r="K225" s="18">
        <f>IF(I225="","",ROUND(IF(Comparateur!D$12=Paramètres!$B$36,Comparateur!D$9,L224)*Comparateur!D$13/12,2))</f>
        <v>9.8800000000000008</v>
      </c>
      <c r="L225" s="31">
        <f t="shared" si="30"/>
        <v>65149.2</v>
      </c>
      <c r="M225" s="18">
        <f t="shared" si="31"/>
        <v>901.38</v>
      </c>
      <c r="N225" s="18">
        <f t="shared" si="32"/>
        <v>891.5</v>
      </c>
      <c r="O225" s="18">
        <f>IF(OR($B225="",Comparateur!E$17&lt;&gt;"OK",$B225&gt;Comparateur!E$11),"",ROUND(R224*Comparateur!E$10/12,2))</f>
        <v>196.98</v>
      </c>
      <c r="P225" s="18">
        <f>IF(O225="","",IF($B225=Comparateur!E$11,R224,Comparateur!E$20-O225))</f>
        <v>708.98</v>
      </c>
      <c r="Q225" s="18">
        <f>IF(O225="","",ROUND(IF(Comparateur!E$12=Paramètres!$B$36,Comparateur!E$9,R224)*Comparateur!E$13/12,2))</f>
        <v>30</v>
      </c>
      <c r="R225" s="31">
        <f t="shared" si="33"/>
        <v>65877.2</v>
      </c>
      <c r="S225" s="18">
        <f t="shared" si="34"/>
        <v>935.96</v>
      </c>
      <c r="T225" s="18">
        <f t="shared" si="35"/>
        <v>905.96</v>
      </c>
    </row>
    <row r="226" spans="2:20" x14ac:dyDescent="0.35">
      <c r="B226" s="29">
        <f>IF(B225="","",IF(B225+1&gt;Comparateur!$C$47,"",B225+1))</f>
        <v>219</v>
      </c>
      <c r="C226" s="18">
        <f>IF(OR($B226="",Comparateur!C$17&lt;&gt;"OK",$B226&gt;Comparateur!C$11),"",ROUND(F225*Comparateur!C$10/12,2))</f>
        <v>174.48</v>
      </c>
      <c r="D226" s="18">
        <f>IF(C226="","",IF($B226=Comparateur!C$11,F225,Comparateur!C$20-C226))</f>
        <v>702.68999999999994</v>
      </c>
      <c r="E226" s="18">
        <f>IF(C226="","",ROUND(IF(Comparateur!C$12=Paramètres!$B$36,Comparateur!C$9,F225)*Comparateur!C$13/12,2))</f>
        <v>63</v>
      </c>
      <c r="F226" s="31">
        <f t="shared" si="27"/>
        <v>63719.97</v>
      </c>
      <c r="G226" s="18">
        <f t="shared" si="28"/>
        <v>940.17</v>
      </c>
      <c r="H226" s="18">
        <f t="shared" si="29"/>
        <v>877.17</v>
      </c>
      <c r="I226" s="18">
        <f>IF(OR($B226="",Comparateur!D$17&lt;&gt;"OK",$B226&gt;Comparateur!D$11),"",ROUND(L225*Comparateur!D$10/12,2))</f>
        <v>184.59</v>
      </c>
      <c r="J226" s="18">
        <f>IF(I226="","",IF($B226=Comparateur!D$11,L225,Comparateur!D$20-I226))</f>
        <v>706.91</v>
      </c>
      <c r="K226" s="18">
        <f>IF(I226="","",ROUND(IF(Comparateur!D$12=Paramètres!$B$36,Comparateur!D$9,L225)*Comparateur!D$13/12,2))</f>
        <v>9.77</v>
      </c>
      <c r="L226" s="31">
        <f t="shared" si="30"/>
        <v>64442.29</v>
      </c>
      <c r="M226" s="18">
        <f t="shared" si="31"/>
        <v>901.27</v>
      </c>
      <c r="N226" s="18">
        <f t="shared" si="32"/>
        <v>891.5</v>
      </c>
      <c r="O226" s="18">
        <f>IF(OR($B226="",Comparateur!E$17&lt;&gt;"OK",$B226&gt;Comparateur!E$11),"",ROUND(R225*Comparateur!E$10/12,2))</f>
        <v>194.89</v>
      </c>
      <c r="P226" s="18">
        <f>IF(O226="","",IF($B226=Comparateur!E$11,R225,Comparateur!E$20-O226))</f>
        <v>711.07</v>
      </c>
      <c r="Q226" s="18">
        <f>IF(O226="","",ROUND(IF(Comparateur!E$12=Paramètres!$B$36,Comparateur!E$9,R225)*Comparateur!E$13/12,2))</f>
        <v>30</v>
      </c>
      <c r="R226" s="31">
        <f t="shared" si="33"/>
        <v>65166.13</v>
      </c>
      <c r="S226" s="18">
        <f t="shared" si="34"/>
        <v>935.96</v>
      </c>
      <c r="T226" s="18">
        <f t="shared" si="35"/>
        <v>905.96</v>
      </c>
    </row>
    <row r="227" spans="2:20" x14ac:dyDescent="0.35">
      <c r="B227" s="29">
        <f>IF(B226="","",IF(B226+1&gt;Comparateur!$C$47,"",B226+1))</f>
        <v>220</v>
      </c>
      <c r="C227" s="18">
        <f>IF(OR($B227="",Comparateur!C$17&lt;&gt;"OK",$B227&gt;Comparateur!C$11),"",ROUND(F226*Comparateur!C$10/12,2))</f>
        <v>172.57</v>
      </c>
      <c r="D227" s="18">
        <f>IF(C227="","",IF($B227=Comparateur!C$11,F226,Comparateur!C$20-C227))</f>
        <v>704.59999999999991</v>
      </c>
      <c r="E227" s="18">
        <f>IF(C227="","",ROUND(IF(Comparateur!C$12=Paramètres!$B$36,Comparateur!C$9,F226)*Comparateur!C$13/12,2))</f>
        <v>63</v>
      </c>
      <c r="F227" s="31">
        <f t="shared" si="27"/>
        <v>63015.37</v>
      </c>
      <c r="G227" s="18">
        <f t="shared" si="28"/>
        <v>940.16999999999985</v>
      </c>
      <c r="H227" s="18">
        <f t="shared" si="29"/>
        <v>877.16999999999985</v>
      </c>
      <c r="I227" s="18">
        <f>IF(OR($B227="",Comparateur!D$17&lt;&gt;"OK",$B227&gt;Comparateur!D$11),"",ROUND(L226*Comparateur!D$10/12,2))</f>
        <v>182.59</v>
      </c>
      <c r="J227" s="18">
        <f>IF(I227="","",IF($B227=Comparateur!D$11,L226,Comparateur!D$20-I227))</f>
        <v>708.91</v>
      </c>
      <c r="K227" s="18">
        <f>IF(I227="","",ROUND(IF(Comparateur!D$12=Paramètres!$B$36,Comparateur!D$9,L226)*Comparateur!D$13/12,2))</f>
        <v>9.67</v>
      </c>
      <c r="L227" s="31">
        <f t="shared" si="30"/>
        <v>63733.38</v>
      </c>
      <c r="M227" s="18">
        <f t="shared" si="31"/>
        <v>901.17</v>
      </c>
      <c r="N227" s="18">
        <f t="shared" si="32"/>
        <v>891.5</v>
      </c>
      <c r="O227" s="18">
        <f>IF(OR($B227="",Comparateur!E$17&lt;&gt;"OK",$B227&gt;Comparateur!E$11),"",ROUND(R226*Comparateur!E$10/12,2))</f>
        <v>192.78</v>
      </c>
      <c r="P227" s="18">
        <f>IF(O227="","",IF($B227=Comparateur!E$11,R226,Comparateur!E$20-O227))</f>
        <v>713.18000000000006</v>
      </c>
      <c r="Q227" s="18">
        <f>IF(O227="","",ROUND(IF(Comparateur!E$12=Paramètres!$B$36,Comparateur!E$9,R226)*Comparateur!E$13/12,2))</f>
        <v>30</v>
      </c>
      <c r="R227" s="31">
        <f t="shared" si="33"/>
        <v>64452.95</v>
      </c>
      <c r="S227" s="18">
        <f t="shared" si="34"/>
        <v>935.96</v>
      </c>
      <c r="T227" s="18">
        <f t="shared" si="35"/>
        <v>905.96</v>
      </c>
    </row>
    <row r="228" spans="2:20" x14ac:dyDescent="0.35">
      <c r="B228" s="29">
        <f>IF(B227="","",IF(B227+1&gt;Comparateur!$C$47,"",B227+1))</f>
        <v>221</v>
      </c>
      <c r="C228" s="18">
        <f>IF(OR($B228="",Comparateur!C$17&lt;&gt;"OK",$B228&gt;Comparateur!C$11),"",ROUND(F227*Comparateur!C$10/12,2))</f>
        <v>170.67</v>
      </c>
      <c r="D228" s="18">
        <f>IF(C228="","",IF($B228=Comparateur!C$11,F227,Comparateur!C$20-C228))</f>
        <v>706.5</v>
      </c>
      <c r="E228" s="18">
        <f>IF(C228="","",ROUND(IF(Comparateur!C$12=Paramètres!$B$36,Comparateur!C$9,F227)*Comparateur!C$13/12,2))</f>
        <v>63</v>
      </c>
      <c r="F228" s="31">
        <f t="shared" si="27"/>
        <v>62308.87</v>
      </c>
      <c r="G228" s="18">
        <f t="shared" si="28"/>
        <v>940.17</v>
      </c>
      <c r="H228" s="18">
        <f t="shared" si="29"/>
        <v>877.17</v>
      </c>
      <c r="I228" s="18">
        <f>IF(OR($B228="",Comparateur!D$17&lt;&gt;"OK",$B228&gt;Comparateur!D$11),"",ROUND(L227*Comparateur!D$10/12,2))</f>
        <v>180.58</v>
      </c>
      <c r="J228" s="18">
        <f>IF(I228="","",IF($B228=Comparateur!D$11,L227,Comparateur!D$20-I228))</f>
        <v>710.92</v>
      </c>
      <c r="K228" s="18">
        <f>IF(I228="","",ROUND(IF(Comparateur!D$12=Paramètres!$B$36,Comparateur!D$9,L227)*Comparateur!D$13/12,2))</f>
        <v>9.56</v>
      </c>
      <c r="L228" s="31">
        <f t="shared" si="30"/>
        <v>63022.46</v>
      </c>
      <c r="M228" s="18">
        <f t="shared" si="31"/>
        <v>901.06</v>
      </c>
      <c r="N228" s="18">
        <f t="shared" si="32"/>
        <v>891.5</v>
      </c>
      <c r="O228" s="18">
        <f>IF(OR($B228="",Comparateur!E$17&lt;&gt;"OK",$B228&gt;Comparateur!E$11),"",ROUND(R227*Comparateur!E$10/12,2))</f>
        <v>190.67</v>
      </c>
      <c r="P228" s="18">
        <f>IF(O228="","",IF($B228=Comparateur!E$11,R227,Comparateur!E$20-O228))</f>
        <v>715.29000000000008</v>
      </c>
      <c r="Q228" s="18">
        <f>IF(O228="","",ROUND(IF(Comparateur!E$12=Paramètres!$B$36,Comparateur!E$9,R227)*Comparateur!E$13/12,2))</f>
        <v>30</v>
      </c>
      <c r="R228" s="31">
        <f t="shared" si="33"/>
        <v>63737.66</v>
      </c>
      <c r="S228" s="18">
        <f t="shared" si="34"/>
        <v>935.96</v>
      </c>
      <c r="T228" s="18">
        <f t="shared" si="35"/>
        <v>905.96</v>
      </c>
    </row>
    <row r="229" spans="2:20" x14ac:dyDescent="0.35">
      <c r="B229" s="29">
        <f>IF(B228="","",IF(B228+1&gt;Comparateur!$C$47,"",B228+1))</f>
        <v>222</v>
      </c>
      <c r="C229" s="18">
        <f>IF(OR($B229="",Comparateur!C$17&lt;&gt;"OK",$B229&gt;Comparateur!C$11),"",ROUND(F228*Comparateur!C$10/12,2))</f>
        <v>168.75</v>
      </c>
      <c r="D229" s="18">
        <f>IF(C229="","",IF($B229=Comparateur!C$11,F228,Comparateur!C$20-C229))</f>
        <v>708.42</v>
      </c>
      <c r="E229" s="18">
        <f>IF(C229="","",ROUND(IF(Comparateur!C$12=Paramètres!$B$36,Comparateur!C$9,F228)*Comparateur!C$13/12,2))</f>
        <v>63</v>
      </c>
      <c r="F229" s="31">
        <f t="shared" si="27"/>
        <v>61600.45</v>
      </c>
      <c r="G229" s="18">
        <f t="shared" si="28"/>
        <v>940.17</v>
      </c>
      <c r="H229" s="18">
        <f t="shared" si="29"/>
        <v>877.17</v>
      </c>
      <c r="I229" s="18">
        <f>IF(OR($B229="",Comparateur!D$17&lt;&gt;"OK",$B229&gt;Comparateur!D$11),"",ROUND(L228*Comparateur!D$10/12,2))</f>
        <v>178.56</v>
      </c>
      <c r="J229" s="18">
        <f>IF(I229="","",IF($B229=Comparateur!D$11,L228,Comparateur!D$20-I229))</f>
        <v>712.94</v>
      </c>
      <c r="K229" s="18">
        <f>IF(I229="","",ROUND(IF(Comparateur!D$12=Paramètres!$B$36,Comparateur!D$9,L228)*Comparateur!D$13/12,2))</f>
        <v>9.4499999999999993</v>
      </c>
      <c r="L229" s="31">
        <f t="shared" si="30"/>
        <v>62309.52</v>
      </c>
      <c r="M229" s="18">
        <f t="shared" si="31"/>
        <v>900.95</v>
      </c>
      <c r="N229" s="18">
        <f t="shared" si="32"/>
        <v>891.5</v>
      </c>
      <c r="O229" s="18">
        <f>IF(OR($B229="",Comparateur!E$17&lt;&gt;"OK",$B229&gt;Comparateur!E$11),"",ROUND(R228*Comparateur!E$10/12,2))</f>
        <v>188.56</v>
      </c>
      <c r="P229" s="18">
        <f>IF(O229="","",IF($B229=Comparateur!E$11,R228,Comparateur!E$20-O229))</f>
        <v>717.40000000000009</v>
      </c>
      <c r="Q229" s="18">
        <f>IF(O229="","",ROUND(IF(Comparateur!E$12=Paramètres!$B$36,Comparateur!E$9,R228)*Comparateur!E$13/12,2))</f>
        <v>30</v>
      </c>
      <c r="R229" s="31">
        <f t="shared" si="33"/>
        <v>63020.26</v>
      </c>
      <c r="S229" s="18">
        <f t="shared" si="34"/>
        <v>935.96</v>
      </c>
      <c r="T229" s="18">
        <f t="shared" si="35"/>
        <v>905.96</v>
      </c>
    </row>
    <row r="230" spans="2:20" x14ac:dyDescent="0.35">
      <c r="B230" s="29">
        <f>IF(B229="","",IF(B229+1&gt;Comparateur!$C$47,"",B229+1))</f>
        <v>223</v>
      </c>
      <c r="C230" s="18">
        <f>IF(OR($B230="",Comparateur!C$17&lt;&gt;"OK",$B230&gt;Comparateur!C$11),"",ROUND(F229*Comparateur!C$10/12,2))</f>
        <v>166.83</v>
      </c>
      <c r="D230" s="18">
        <f>IF(C230="","",IF($B230=Comparateur!C$11,F229,Comparateur!C$20-C230))</f>
        <v>710.33999999999992</v>
      </c>
      <c r="E230" s="18">
        <f>IF(C230="","",ROUND(IF(Comparateur!C$12=Paramètres!$B$36,Comparateur!C$9,F229)*Comparateur!C$13/12,2))</f>
        <v>63</v>
      </c>
      <c r="F230" s="31">
        <f t="shared" si="27"/>
        <v>60890.11</v>
      </c>
      <c r="G230" s="18">
        <f t="shared" si="28"/>
        <v>940.17</v>
      </c>
      <c r="H230" s="18">
        <f t="shared" si="29"/>
        <v>877.17</v>
      </c>
      <c r="I230" s="18">
        <f>IF(OR($B230="",Comparateur!D$17&lt;&gt;"OK",$B230&gt;Comparateur!D$11),"",ROUND(L229*Comparateur!D$10/12,2))</f>
        <v>176.54</v>
      </c>
      <c r="J230" s="18">
        <f>IF(I230="","",IF($B230=Comparateur!D$11,L229,Comparateur!D$20-I230))</f>
        <v>714.96</v>
      </c>
      <c r="K230" s="18">
        <f>IF(I230="","",ROUND(IF(Comparateur!D$12=Paramètres!$B$36,Comparateur!D$9,L229)*Comparateur!D$13/12,2))</f>
        <v>9.35</v>
      </c>
      <c r="L230" s="31">
        <f t="shared" si="30"/>
        <v>61594.559999999998</v>
      </c>
      <c r="M230" s="18">
        <f t="shared" si="31"/>
        <v>900.85</v>
      </c>
      <c r="N230" s="18">
        <f t="shared" si="32"/>
        <v>891.5</v>
      </c>
      <c r="O230" s="18">
        <f>IF(OR($B230="",Comparateur!E$17&lt;&gt;"OK",$B230&gt;Comparateur!E$11),"",ROUND(R229*Comparateur!E$10/12,2))</f>
        <v>186.43</v>
      </c>
      <c r="P230" s="18">
        <f>IF(O230="","",IF($B230=Comparateur!E$11,R229,Comparateur!E$20-O230))</f>
        <v>719.53</v>
      </c>
      <c r="Q230" s="18">
        <f>IF(O230="","",ROUND(IF(Comparateur!E$12=Paramètres!$B$36,Comparateur!E$9,R229)*Comparateur!E$13/12,2))</f>
        <v>30</v>
      </c>
      <c r="R230" s="31">
        <f t="shared" si="33"/>
        <v>62300.73</v>
      </c>
      <c r="S230" s="18">
        <f t="shared" si="34"/>
        <v>935.96</v>
      </c>
      <c r="T230" s="18">
        <f t="shared" si="35"/>
        <v>905.96</v>
      </c>
    </row>
    <row r="231" spans="2:20" x14ac:dyDescent="0.35">
      <c r="B231" s="29">
        <f>IF(B230="","",IF(B230+1&gt;Comparateur!$C$47,"",B230+1))</f>
        <v>224</v>
      </c>
      <c r="C231" s="18">
        <f>IF(OR($B231="",Comparateur!C$17&lt;&gt;"OK",$B231&gt;Comparateur!C$11),"",ROUND(F230*Comparateur!C$10/12,2))</f>
        <v>164.91</v>
      </c>
      <c r="D231" s="18">
        <f>IF(C231="","",IF($B231=Comparateur!C$11,F230,Comparateur!C$20-C231))</f>
        <v>712.26</v>
      </c>
      <c r="E231" s="18">
        <f>IF(C231="","",ROUND(IF(Comparateur!C$12=Paramètres!$B$36,Comparateur!C$9,F230)*Comparateur!C$13/12,2))</f>
        <v>63</v>
      </c>
      <c r="F231" s="31">
        <f t="shared" si="27"/>
        <v>60177.85</v>
      </c>
      <c r="G231" s="18">
        <f t="shared" si="28"/>
        <v>940.17</v>
      </c>
      <c r="H231" s="18">
        <f t="shared" si="29"/>
        <v>877.17</v>
      </c>
      <c r="I231" s="18">
        <f>IF(OR($B231="",Comparateur!D$17&lt;&gt;"OK",$B231&gt;Comparateur!D$11),"",ROUND(L230*Comparateur!D$10/12,2))</f>
        <v>174.52</v>
      </c>
      <c r="J231" s="18">
        <f>IF(I231="","",IF($B231=Comparateur!D$11,L230,Comparateur!D$20-I231))</f>
        <v>716.98</v>
      </c>
      <c r="K231" s="18">
        <f>IF(I231="","",ROUND(IF(Comparateur!D$12=Paramètres!$B$36,Comparateur!D$9,L230)*Comparateur!D$13/12,2))</f>
        <v>9.24</v>
      </c>
      <c r="L231" s="31">
        <f t="shared" si="30"/>
        <v>60877.58</v>
      </c>
      <c r="M231" s="18">
        <f t="shared" si="31"/>
        <v>900.74</v>
      </c>
      <c r="N231" s="18">
        <f t="shared" si="32"/>
        <v>891.5</v>
      </c>
      <c r="O231" s="18">
        <f>IF(OR($B231="",Comparateur!E$17&lt;&gt;"OK",$B231&gt;Comparateur!E$11),"",ROUND(R230*Comparateur!E$10/12,2))</f>
        <v>184.31</v>
      </c>
      <c r="P231" s="18">
        <f>IF(O231="","",IF($B231=Comparateur!E$11,R230,Comparateur!E$20-O231))</f>
        <v>721.65000000000009</v>
      </c>
      <c r="Q231" s="18">
        <f>IF(O231="","",ROUND(IF(Comparateur!E$12=Paramètres!$B$36,Comparateur!E$9,R230)*Comparateur!E$13/12,2))</f>
        <v>30</v>
      </c>
      <c r="R231" s="31">
        <f t="shared" si="33"/>
        <v>61579.08</v>
      </c>
      <c r="S231" s="18">
        <f t="shared" si="34"/>
        <v>935.96</v>
      </c>
      <c r="T231" s="18">
        <f t="shared" si="35"/>
        <v>905.96</v>
      </c>
    </row>
    <row r="232" spans="2:20" x14ac:dyDescent="0.35">
      <c r="B232" s="29">
        <f>IF(B231="","",IF(B231+1&gt;Comparateur!$C$47,"",B231+1))</f>
        <v>225</v>
      </c>
      <c r="C232" s="18">
        <f>IF(OR($B232="",Comparateur!C$17&lt;&gt;"OK",$B232&gt;Comparateur!C$11),"",ROUND(F231*Comparateur!C$10/12,2))</f>
        <v>162.97999999999999</v>
      </c>
      <c r="D232" s="18">
        <f>IF(C232="","",IF($B232=Comparateur!C$11,F231,Comparateur!C$20-C232))</f>
        <v>714.18999999999994</v>
      </c>
      <c r="E232" s="18">
        <f>IF(C232="","",ROUND(IF(Comparateur!C$12=Paramètres!$B$36,Comparateur!C$9,F231)*Comparateur!C$13/12,2))</f>
        <v>63</v>
      </c>
      <c r="F232" s="31">
        <f t="shared" si="27"/>
        <v>59463.66</v>
      </c>
      <c r="G232" s="18">
        <f t="shared" si="28"/>
        <v>940.17</v>
      </c>
      <c r="H232" s="18">
        <f t="shared" si="29"/>
        <v>877.17</v>
      </c>
      <c r="I232" s="18">
        <f>IF(OR($B232="",Comparateur!D$17&lt;&gt;"OK",$B232&gt;Comparateur!D$11),"",ROUND(L231*Comparateur!D$10/12,2))</f>
        <v>172.49</v>
      </c>
      <c r="J232" s="18">
        <f>IF(I232="","",IF($B232=Comparateur!D$11,L231,Comparateur!D$20-I232))</f>
        <v>719.01</v>
      </c>
      <c r="K232" s="18">
        <f>IF(I232="","",ROUND(IF(Comparateur!D$12=Paramètres!$B$36,Comparateur!D$9,L231)*Comparateur!D$13/12,2))</f>
        <v>9.1300000000000008</v>
      </c>
      <c r="L232" s="31">
        <f t="shared" si="30"/>
        <v>60158.57</v>
      </c>
      <c r="M232" s="18">
        <f t="shared" si="31"/>
        <v>900.63</v>
      </c>
      <c r="N232" s="18">
        <f t="shared" si="32"/>
        <v>891.5</v>
      </c>
      <c r="O232" s="18">
        <f>IF(OR($B232="",Comparateur!E$17&lt;&gt;"OK",$B232&gt;Comparateur!E$11),"",ROUND(R231*Comparateur!E$10/12,2))</f>
        <v>182.17</v>
      </c>
      <c r="P232" s="18">
        <f>IF(O232="","",IF($B232=Comparateur!E$11,R231,Comparateur!E$20-O232))</f>
        <v>723.79000000000008</v>
      </c>
      <c r="Q232" s="18">
        <f>IF(O232="","",ROUND(IF(Comparateur!E$12=Paramètres!$B$36,Comparateur!E$9,R231)*Comparateur!E$13/12,2))</f>
        <v>30</v>
      </c>
      <c r="R232" s="31">
        <f t="shared" si="33"/>
        <v>60855.29</v>
      </c>
      <c r="S232" s="18">
        <f t="shared" si="34"/>
        <v>935.96</v>
      </c>
      <c r="T232" s="18">
        <f t="shared" si="35"/>
        <v>905.96</v>
      </c>
    </row>
    <row r="233" spans="2:20" x14ac:dyDescent="0.35">
      <c r="B233" s="29">
        <f>IF(B232="","",IF(B232+1&gt;Comparateur!$C$47,"",B232+1))</f>
        <v>226</v>
      </c>
      <c r="C233" s="18">
        <f>IF(OR($B233="",Comparateur!C$17&lt;&gt;"OK",$B233&gt;Comparateur!C$11),"",ROUND(F232*Comparateur!C$10/12,2))</f>
        <v>161.05000000000001</v>
      </c>
      <c r="D233" s="18">
        <f>IF(C233="","",IF($B233=Comparateur!C$11,F232,Comparateur!C$20-C233))</f>
        <v>716.11999999999989</v>
      </c>
      <c r="E233" s="18">
        <f>IF(C233="","",ROUND(IF(Comparateur!C$12=Paramètres!$B$36,Comparateur!C$9,F232)*Comparateur!C$13/12,2))</f>
        <v>63</v>
      </c>
      <c r="F233" s="31">
        <f t="shared" si="27"/>
        <v>58747.54</v>
      </c>
      <c r="G233" s="18">
        <f t="shared" si="28"/>
        <v>940.16999999999985</v>
      </c>
      <c r="H233" s="18">
        <f t="shared" si="29"/>
        <v>877.16999999999985</v>
      </c>
      <c r="I233" s="18">
        <f>IF(OR($B233="",Comparateur!D$17&lt;&gt;"OK",$B233&gt;Comparateur!D$11),"",ROUND(L232*Comparateur!D$10/12,2))</f>
        <v>170.45</v>
      </c>
      <c r="J233" s="18">
        <f>IF(I233="","",IF($B233=Comparateur!D$11,L232,Comparateur!D$20-I233))</f>
        <v>721.05</v>
      </c>
      <c r="K233" s="18">
        <f>IF(I233="","",ROUND(IF(Comparateur!D$12=Paramètres!$B$36,Comparateur!D$9,L232)*Comparateur!D$13/12,2))</f>
        <v>9.02</v>
      </c>
      <c r="L233" s="31">
        <f t="shared" si="30"/>
        <v>59437.52</v>
      </c>
      <c r="M233" s="18">
        <f t="shared" si="31"/>
        <v>900.52</v>
      </c>
      <c r="N233" s="18">
        <f t="shared" si="32"/>
        <v>891.5</v>
      </c>
      <c r="O233" s="18">
        <f>IF(OR($B233="",Comparateur!E$17&lt;&gt;"OK",$B233&gt;Comparateur!E$11),"",ROUND(R232*Comparateur!E$10/12,2))</f>
        <v>180.03</v>
      </c>
      <c r="P233" s="18">
        <f>IF(O233="","",IF($B233=Comparateur!E$11,R232,Comparateur!E$20-O233))</f>
        <v>725.93000000000006</v>
      </c>
      <c r="Q233" s="18">
        <f>IF(O233="","",ROUND(IF(Comparateur!E$12=Paramètres!$B$36,Comparateur!E$9,R232)*Comparateur!E$13/12,2))</f>
        <v>30</v>
      </c>
      <c r="R233" s="31">
        <f t="shared" si="33"/>
        <v>60129.36</v>
      </c>
      <c r="S233" s="18">
        <f t="shared" si="34"/>
        <v>935.96</v>
      </c>
      <c r="T233" s="18">
        <f t="shared" si="35"/>
        <v>905.96</v>
      </c>
    </row>
    <row r="234" spans="2:20" x14ac:dyDescent="0.35">
      <c r="B234" s="29">
        <f>IF(B233="","",IF(B233+1&gt;Comparateur!$C$47,"",B233+1))</f>
        <v>227</v>
      </c>
      <c r="C234" s="18">
        <f>IF(OR($B234="",Comparateur!C$17&lt;&gt;"OK",$B234&gt;Comparateur!C$11),"",ROUND(F233*Comparateur!C$10/12,2))</f>
        <v>159.11000000000001</v>
      </c>
      <c r="D234" s="18">
        <f>IF(C234="","",IF($B234=Comparateur!C$11,F233,Comparateur!C$20-C234))</f>
        <v>718.06</v>
      </c>
      <c r="E234" s="18">
        <f>IF(C234="","",ROUND(IF(Comparateur!C$12=Paramètres!$B$36,Comparateur!C$9,F233)*Comparateur!C$13/12,2))</f>
        <v>63</v>
      </c>
      <c r="F234" s="31">
        <f t="shared" si="27"/>
        <v>58029.48</v>
      </c>
      <c r="G234" s="18">
        <f t="shared" si="28"/>
        <v>940.17</v>
      </c>
      <c r="H234" s="18">
        <f t="shared" si="29"/>
        <v>877.17</v>
      </c>
      <c r="I234" s="18">
        <f>IF(OR($B234="",Comparateur!D$17&lt;&gt;"OK",$B234&gt;Comparateur!D$11),"",ROUND(L233*Comparateur!D$10/12,2))</f>
        <v>168.41</v>
      </c>
      <c r="J234" s="18">
        <f>IF(I234="","",IF($B234=Comparateur!D$11,L233,Comparateur!D$20-I234))</f>
        <v>723.09</v>
      </c>
      <c r="K234" s="18">
        <f>IF(I234="","",ROUND(IF(Comparateur!D$12=Paramètres!$B$36,Comparateur!D$9,L233)*Comparateur!D$13/12,2))</f>
        <v>8.92</v>
      </c>
      <c r="L234" s="31">
        <f t="shared" si="30"/>
        <v>58714.43</v>
      </c>
      <c r="M234" s="18">
        <f t="shared" si="31"/>
        <v>900.42</v>
      </c>
      <c r="N234" s="18">
        <f t="shared" si="32"/>
        <v>891.5</v>
      </c>
      <c r="O234" s="18">
        <f>IF(OR($B234="",Comparateur!E$17&lt;&gt;"OK",$B234&gt;Comparateur!E$11),"",ROUND(R233*Comparateur!E$10/12,2))</f>
        <v>177.88</v>
      </c>
      <c r="P234" s="18">
        <f>IF(O234="","",IF($B234=Comparateur!E$11,R233,Comparateur!E$20-O234))</f>
        <v>728.08</v>
      </c>
      <c r="Q234" s="18">
        <f>IF(O234="","",ROUND(IF(Comparateur!E$12=Paramètres!$B$36,Comparateur!E$9,R233)*Comparateur!E$13/12,2))</f>
        <v>30</v>
      </c>
      <c r="R234" s="31">
        <f t="shared" si="33"/>
        <v>59401.279999999999</v>
      </c>
      <c r="S234" s="18">
        <f t="shared" si="34"/>
        <v>935.96</v>
      </c>
      <c r="T234" s="18">
        <f t="shared" si="35"/>
        <v>905.96</v>
      </c>
    </row>
    <row r="235" spans="2:20" x14ac:dyDescent="0.35">
      <c r="B235" s="29">
        <f>IF(B234="","",IF(B234+1&gt;Comparateur!$C$47,"",B234+1))</f>
        <v>228</v>
      </c>
      <c r="C235" s="18">
        <f>IF(OR($B235="",Comparateur!C$17&lt;&gt;"OK",$B235&gt;Comparateur!C$11),"",ROUND(F234*Comparateur!C$10/12,2))</f>
        <v>157.16</v>
      </c>
      <c r="D235" s="18">
        <f>IF(C235="","",IF($B235=Comparateur!C$11,F234,Comparateur!C$20-C235))</f>
        <v>720.01</v>
      </c>
      <c r="E235" s="18">
        <f>IF(C235="","",ROUND(IF(Comparateur!C$12=Paramètres!$B$36,Comparateur!C$9,F234)*Comparateur!C$13/12,2))</f>
        <v>63</v>
      </c>
      <c r="F235" s="31">
        <f t="shared" si="27"/>
        <v>57309.47</v>
      </c>
      <c r="G235" s="18">
        <f t="shared" si="28"/>
        <v>940.17</v>
      </c>
      <c r="H235" s="18">
        <f t="shared" si="29"/>
        <v>877.17</v>
      </c>
      <c r="I235" s="18">
        <f>IF(OR($B235="",Comparateur!D$17&lt;&gt;"OK",$B235&gt;Comparateur!D$11),"",ROUND(L234*Comparateur!D$10/12,2))</f>
        <v>166.36</v>
      </c>
      <c r="J235" s="18">
        <f>IF(I235="","",IF($B235=Comparateur!D$11,L234,Comparateur!D$20-I235))</f>
        <v>725.14</v>
      </c>
      <c r="K235" s="18">
        <f>IF(I235="","",ROUND(IF(Comparateur!D$12=Paramètres!$B$36,Comparateur!D$9,L234)*Comparateur!D$13/12,2))</f>
        <v>8.81</v>
      </c>
      <c r="L235" s="31">
        <f t="shared" si="30"/>
        <v>57989.29</v>
      </c>
      <c r="M235" s="18">
        <f t="shared" si="31"/>
        <v>900.31</v>
      </c>
      <c r="N235" s="18">
        <f t="shared" si="32"/>
        <v>891.5</v>
      </c>
      <c r="O235" s="18">
        <f>IF(OR($B235="",Comparateur!E$17&lt;&gt;"OK",$B235&gt;Comparateur!E$11),"",ROUND(R234*Comparateur!E$10/12,2))</f>
        <v>175.73</v>
      </c>
      <c r="P235" s="18">
        <f>IF(O235="","",IF($B235=Comparateur!E$11,R234,Comparateur!E$20-O235))</f>
        <v>730.23</v>
      </c>
      <c r="Q235" s="18">
        <f>IF(O235="","",ROUND(IF(Comparateur!E$12=Paramètres!$B$36,Comparateur!E$9,R234)*Comparateur!E$13/12,2))</f>
        <v>30</v>
      </c>
      <c r="R235" s="31">
        <f t="shared" si="33"/>
        <v>58671.05</v>
      </c>
      <c r="S235" s="18">
        <f t="shared" si="34"/>
        <v>935.96</v>
      </c>
      <c r="T235" s="18">
        <f t="shared" si="35"/>
        <v>905.96</v>
      </c>
    </row>
    <row r="236" spans="2:20" x14ac:dyDescent="0.35">
      <c r="B236" s="29">
        <f>IF(B235="","",IF(B235+1&gt;Comparateur!$C$47,"",B235+1))</f>
        <v>229</v>
      </c>
      <c r="C236" s="18">
        <f>IF(OR($B236="",Comparateur!C$17&lt;&gt;"OK",$B236&gt;Comparateur!C$11),"",ROUND(F235*Comparateur!C$10/12,2))</f>
        <v>155.21</v>
      </c>
      <c r="D236" s="18">
        <f>IF(C236="","",IF($B236=Comparateur!C$11,F235,Comparateur!C$20-C236))</f>
        <v>721.95999999999992</v>
      </c>
      <c r="E236" s="18">
        <f>IF(C236="","",ROUND(IF(Comparateur!C$12=Paramètres!$B$36,Comparateur!C$9,F235)*Comparateur!C$13/12,2))</f>
        <v>63</v>
      </c>
      <c r="F236" s="31">
        <f t="shared" si="27"/>
        <v>56587.51</v>
      </c>
      <c r="G236" s="18">
        <f t="shared" si="28"/>
        <v>940.17</v>
      </c>
      <c r="H236" s="18">
        <f t="shared" si="29"/>
        <v>877.17</v>
      </c>
      <c r="I236" s="18">
        <f>IF(OR($B236="",Comparateur!D$17&lt;&gt;"OK",$B236&gt;Comparateur!D$11),"",ROUND(L235*Comparateur!D$10/12,2))</f>
        <v>164.3</v>
      </c>
      <c r="J236" s="18">
        <f>IF(I236="","",IF($B236=Comparateur!D$11,L235,Comparateur!D$20-I236))</f>
        <v>727.2</v>
      </c>
      <c r="K236" s="18">
        <f>IF(I236="","",ROUND(IF(Comparateur!D$12=Paramètres!$B$36,Comparateur!D$9,L235)*Comparateur!D$13/12,2))</f>
        <v>8.6999999999999993</v>
      </c>
      <c r="L236" s="31">
        <f t="shared" si="30"/>
        <v>57262.09</v>
      </c>
      <c r="M236" s="18">
        <f t="shared" si="31"/>
        <v>900.2</v>
      </c>
      <c r="N236" s="18">
        <f t="shared" si="32"/>
        <v>891.5</v>
      </c>
      <c r="O236" s="18">
        <f>IF(OR($B236="",Comparateur!E$17&lt;&gt;"OK",$B236&gt;Comparateur!E$11),"",ROUND(R235*Comparateur!E$10/12,2))</f>
        <v>173.57</v>
      </c>
      <c r="P236" s="18">
        <f>IF(O236="","",IF($B236=Comparateur!E$11,R235,Comparateur!E$20-O236))</f>
        <v>732.3900000000001</v>
      </c>
      <c r="Q236" s="18">
        <f>IF(O236="","",ROUND(IF(Comparateur!E$12=Paramètres!$B$36,Comparateur!E$9,R235)*Comparateur!E$13/12,2))</f>
        <v>30</v>
      </c>
      <c r="R236" s="31">
        <f t="shared" si="33"/>
        <v>57938.66</v>
      </c>
      <c r="S236" s="18">
        <f t="shared" si="34"/>
        <v>935.96</v>
      </c>
      <c r="T236" s="18">
        <f t="shared" si="35"/>
        <v>905.96</v>
      </c>
    </row>
    <row r="237" spans="2:20" x14ac:dyDescent="0.35">
      <c r="B237" s="29">
        <f>IF(B236="","",IF(B236+1&gt;Comparateur!$C$47,"",B236+1))</f>
        <v>230</v>
      </c>
      <c r="C237" s="18">
        <f>IF(OR($B237="",Comparateur!C$17&lt;&gt;"OK",$B237&gt;Comparateur!C$11),"",ROUND(F236*Comparateur!C$10/12,2))</f>
        <v>153.26</v>
      </c>
      <c r="D237" s="18">
        <f>IF(C237="","",IF($B237=Comparateur!C$11,F236,Comparateur!C$20-C237))</f>
        <v>723.91</v>
      </c>
      <c r="E237" s="18">
        <f>IF(C237="","",ROUND(IF(Comparateur!C$12=Paramètres!$B$36,Comparateur!C$9,F236)*Comparateur!C$13/12,2))</f>
        <v>63</v>
      </c>
      <c r="F237" s="31">
        <f t="shared" si="27"/>
        <v>55863.6</v>
      </c>
      <c r="G237" s="18">
        <f t="shared" si="28"/>
        <v>940.17</v>
      </c>
      <c r="H237" s="18">
        <f t="shared" si="29"/>
        <v>877.17</v>
      </c>
      <c r="I237" s="18">
        <f>IF(OR($B237="",Comparateur!D$17&lt;&gt;"OK",$B237&gt;Comparateur!D$11),"",ROUND(L236*Comparateur!D$10/12,2))</f>
        <v>162.24</v>
      </c>
      <c r="J237" s="18">
        <f>IF(I237="","",IF($B237=Comparateur!D$11,L236,Comparateur!D$20-I237))</f>
        <v>729.26</v>
      </c>
      <c r="K237" s="18">
        <f>IF(I237="","",ROUND(IF(Comparateur!D$12=Paramètres!$B$36,Comparateur!D$9,L236)*Comparateur!D$13/12,2))</f>
        <v>8.59</v>
      </c>
      <c r="L237" s="31">
        <f t="shared" si="30"/>
        <v>56532.83</v>
      </c>
      <c r="M237" s="18">
        <f t="shared" si="31"/>
        <v>900.09</v>
      </c>
      <c r="N237" s="18">
        <f t="shared" si="32"/>
        <v>891.5</v>
      </c>
      <c r="O237" s="18">
        <f>IF(OR($B237="",Comparateur!E$17&lt;&gt;"OK",$B237&gt;Comparateur!E$11),"",ROUND(R236*Comparateur!E$10/12,2))</f>
        <v>171.4</v>
      </c>
      <c r="P237" s="18">
        <f>IF(O237="","",IF($B237=Comparateur!E$11,R236,Comparateur!E$20-O237))</f>
        <v>734.56000000000006</v>
      </c>
      <c r="Q237" s="18">
        <f>IF(O237="","",ROUND(IF(Comparateur!E$12=Paramètres!$B$36,Comparateur!E$9,R236)*Comparateur!E$13/12,2))</f>
        <v>30</v>
      </c>
      <c r="R237" s="31">
        <f t="shared" si="33"/>
        <v>57204.1</v>
      </c>
      <c r="S237" s="18">
        <f t="shared" si="34"/>
        <v>935.96</v>
      </c>
      <c r="T237" s="18">
        <f t="shared" si="35"/>
        <v>905.96</v>
      </c>
    </row>
    <row r="238" spans="2:20" x14ac:dyDescent="0.35">
      <c r="B238" s="29">
        <f>IF(B237="","",IF(B237+1&gt;Comparateur!$C$47,"",B237+1))</f>
        <v>231</v>
      </c>
      <c r="C238" s="18">
        <f>IF(OR($B238="",Comparateur!C$17&lt;&gt;"OK",$B238&gt;Comparateur!C$11),"",ROUND(F237*Comparateur!C$10/12,2))</f>
        <v>151.30000000000001</v>
      </c>
      <c r="D238" s="18">
        <f>IF(C238="","",IF($B238=Comparateur!C$11,F237,Comparateur!C$20-C238))</f>
        <v>725.86999999999989</v>
      </c>
      <c r="E238" s="18">
        <f>IF(C238="","",ROUND(IF(Comparateur!C$12=Paramètres!$B$36,Comparateur!C$9,F237)*Comparateur!C$13/12,2))</f>
        <v>63</v>
      </c>
      <c r="F238" s="31">
        <f t="shared" si="27"/>
        <v>55137.73</v>
      </c>
      <c r="G238" s="18">
        <f t="shared" si="28"/>
        <v>940.16999999999985</v>
      </c>
      <c r="H238" s="18">
        <f t="shared" si="29"/>
        <v>877.16999999999985</v>
      </c>
      <c r="I238" s="18">
        <f>IF(OR($B238="",Comparateur!D$17&lt;&gt;"OK",$B238&gt;Comparateur!D$11),"",ROUND(L237*Comparateur!D$10/12,2))</f>
        <v>160.18</v>
      </c>
      <c r="J238" s="18">
        <f>IF(I238="","",IF($B238=Comparateur!D$11,L237,Comparateur!D$20-I238))</f>
        <v>731.31999999999994</v>
      </c>
      <c r="K238" s="18">
        <f>IF(I238="","",ROUND(IF(Comparateur!D$12=Paramètres!$B$36,Comparateur!D$9,L237)*Comparateur!D$13/12,2))</f>
        <v>8.48</v>
      </c>
      <c r="L238" s="31">
        <f t="shared" si="30"/>
        <v>55801.51</v>
      </c>
      <c r="M238" s="18">
        <f t="shared" si="31"/>
        <v>899.98</v>
      </c>
      <c r="N238" s="18">
        <f t="shared" si="32"/>
        <v>891.5</v>
      </c>
      <c r="O238" s="18">
        <f>IF(OR($B238="",Comparateur!E$17&lt;&gt;"OK",$B238&gt;Comparateur!E$11),"",ROUND(R237*Comparateur!E$10/12,2))</f>
        <v>169.23</v>
      </c>
      <c r="P238" s="18">
        <f>IF(O238="","",IF($B238=Comparateur!E$11,R237,Comparateur!E$20-O238))</f>
        <v>736.73</v>
      </c>
      <c r="Q238" s="18">
        <f>IF(O238="","",ROUND(IF(Comparateur!E$12=Paramètres!$B$36,Comparateur!E$9,R237)*Comparateur!E$13/12,2))</f>
        <v>30</v>
      </c>
      <c r="R238" s="31">
        <f t="shared" si="33"/>
        <v>56467.37</v>
      </c>
      <c r="S238" s="18">
        <f t="shared" si="34"/>
        <v>935.96</v>
      </c>
      <c r="T238" s="18">
        <f t="shared" si="35"/>
        <v>905.96</v>
      </c>
    </row>
    <row r="239" spans="2:20" x14ac:dyDescent="0.35">
      <c r="B239" s="29">
        <f>IF(B238="","",IF(B238+1&gt;Comparateur!$C$47,"",B238+1))</f>
        <v>232</v>
      </c>
      <c r="C239" s="18">
        <f>IF(OR($B239="",Comparateur!C$17&lt;&gt;"OK",$B239&gt;Comparateur!C$11),"",ROUND(F238*Comparateur!C$10/12,2))</f>
        <v>149.33000000000001</v>
      </c>
      <c r="D239" s="18">
        <f>IF(C239="","",IF($B239=Comparateur!C$11,F238,Comparateur!C$20-C239))</f>
        <v>727.83999999999992</v>
      </c>
      <c r="E239" s="18">
        <f>IF(C239="","",ROUND(IF(Comparateur!C$12=Paramètres!$B$36,Comparateur!C$9,F238)*Comparateur!C$13/12,2))</f>
        <v>63</v>
      </c>
      <c r="F239" s="31">
        <f t="shared" si="27"/>
        <v>54409.89</v>
      </c>
      <c r="G239" s="18">
        <f t="shared" si="28"/>
        <v>940.17</v>
      </c>
      <c r="H239" s="18">
        <f t="shared" si="29"/>
        <v>877.17</v>
      </c>
      <c r="I239" s="18">
        <f>IF(OR($B239="",Comparateur!D$17&lt;&gt;"OK",$B239&gt;Comparateur!D$11),"",ROUND(L238*Comparateur!D$10/12,2))</f>
        <v>158.1</v>
      </c>
      <c r="J239" s="18">
        <f>IF(I239="","",IF($B239=Comparateur!D$11,L238,Comparateur!D$20-I239))</f>
        <v>733.4</v>
      </c>
      <c r="K239" s="18">
        <f>IF(I239="","",ROUND(IF(Comparateur!D$12=Paramètres!$B$36,Comparateur!D$9,L238)*Comparateur!D$13/12,2))</f>
        <v>8.3699999999999992</v>
      </c>
      <c r="L239" s="31">
        <f t="shared" si="30"/>
        <v>55068.11</v>
      </c>
      <c r="M239" s="18">
        <f t="shared" si="31"/>
        <v>899.87</v>
      </c>
      <c r="N239" s="18">
        <f t="shared" si="32"/>
        <v>891.5</v>
      </c>
      <c r="O239" s="18">
        <f>IF(OR($B239="",Comparateur!E$17&lt;&gt;"OK",$B239&gt;Comparateur!E$11),"",ROUND(R238*Comparateur!E$10/12,2))</f>
        <v>167.05</v>
      </c>
      <c r="P239" s="18">
        <f>IF(O239="","",IF($B239=Comparateur!E$11,R238,Comparateur!E$20-O239))</f>
        <v>738.91000000000008</v>
      </c>
      <c r="Q239" s="18">
        <f>IF(O239="","",ROUND(IF(Comparateur!E$12=Paramètres!$B$36,Comparateur!E$9,R238)*Comparateur!E$13/12,2))</f>
        <v>30</v>
      </c>
      <c r="R239" s="31">
        <f t="shared" si="33"/>
        <v>55728.46</v>
      </c>
      <c r="S239" s="18">
        <f t="shared" si="34"/>
        <v>935.96</v>
      </c>
      <c r="T239" s="18">
        <f t="shared" si="35"/>
        <v>905.96</v>
      </c>
    </row>
    <row r="240" spans="2:20" x14ac:dyDescent="0.35">
      <c r="B240" s="29">
        <f>IF(B239="","",IF(B239+1&gt;Comparateur!$C$47,"",B239+1))</f>
        <v>233</v>
      </c>
      <c r="C240" s="18">
        <f>IF(OR($B240="",Comparateur!C$17&lt;&gt;"OK",$B240&gt;Comparateur!C$11),"",ROUND(F239*Comparateur!C$10/12,2))</f>
        <v>147.36000000000001</v>
      </c>
      <c r="D240" s="18">
        <f>IF(C240="","",IF($B240=Comparateur!C$11,F239,Comparateur!C$20-C240))</f>
        <v>729.81</v>
      </c>
      <c r="E240" s="18">
        <f>IF(C240="","",ROUND(IF(Comparateur!C$12=Paramètres!$B$36,Comparateur!C$9,F239)*Comparateur!C$13/12,2))</f>
        <v>63</v>
      </c>
      <c r="F240" s="31">
        <f t="shared" si="27"/>
        <v>53680.08</v>
      </c>
      <c r="G240" s="18">
        <f t="shared" si="28"/>
        <v>940.17</v>
      </c>
      <c r="H240" s="18">
        <f t="shared" si="29"/>
        <v>877.17</v>
      </c>
      <c r="I240" s="18">
        <f>IF(OR($B240="",Comparateur!D$17&lt;&gt;"OK",$B240&gt;Comparateur!D$11),"",ROUND(L239*Comparateur!D$10/12,2))</f>
        <v>156.03</v>
      </c>
      <c r="J240" s="18">
        <f>IF(I240="","",IF($B240=Comparateur!D$11,L239,Comparateur!D$20-I240))</f>
        <v>735.47</v>
      </c>
      <c r="K240" s="18">
        <f>IF(I240="","",ROUND(IF(Comparateur!D$12=Paramètres!$B$36,Comparateur!D$9,L239)*Comparateur!D$13/12,2))</f>
        <v>8.26</v>
      </c>
      <c r="L240" s="31">
        <f t="shared" si="30"/>
        <v>54332.639999999999</v>
      </c>
      <c r="M240" s="18">
        <f t="shared" si="31"/>
        <v>899.76</v>
      </c>
      <c r="N240" s="18">
        <f t="shared" si="32"/>
        <v>891.5</v>
      </c>
      <c r="O240" s="18">
        <f>IF(OR($B240="",Comparateur!E$17&lt;&gt;"OK",$B240&gt;Comparateur!E$11),"",ROUND(R239*Comparateur!E$10/12,2))</f>
        <v>164.86</v>
      </c>
      <c r="P240" s="18">
        <f>IF(O240="","",IF($B240=Comparateur!E$11,R239,Comparateur!E$20-O240))</f>
        <v>741.1</v>
      </c>
      <c r="Q240" s="18">
        <f>IF(O240="","",ROUND(IF(Comparateur!E$12=Paramètres!$B$36,Comparateur!E$9,R239)*Comparateur!E$13/12,2))</f>
        <v>30</v>
      </c>
      <c r="R240" s="31">
        <f t="shared" si="33"/>
        <v>54987.360000000001</v>
      </c>
      <c r="S240" s="18">
        <f t="shared" si="34"/>
        <v>935.96</v>
      </c>
      <c r="T240" s="18">
        <f t="shared" si="35"/>
        <v>905.96</v>
      </c>
    </row>
    <row r="241" spans="2:20" x14ac:dyDescent="0.35">
      <c r="B241" s="29">
        <f>IF(B240="","",IF(B240+1&gt;Comparateur!$C$47,"",B240+1))</f>
        <v>234</v>
      </c>
      <c r="C241" s="18">
        <f>IF(OR($B241="",Comparateur!C$17&lt;&gt;"OK",$B241&gt;Comparateur!C$11),"",ROUND(F240*Comparateur!C$10/12,2))</f>
        <v>145.38</v>
      </c>
      <c r="D241" s="18">
        <f>IF(C241="","",IF($B241=Comparateur!C$11,F240,Comparateur!C$20-C241))</f>
        <v>731.79</v>
      </c>
      <c r="E241" s="18">
        <f>IF(C241="","",ROUND(IF(Comparateur!C$12=Paramètres!$B$36,Comparateur!C$9,F240)*Comparateur!C$13/12,2))</f>
        <v>63</v>
      </c>
      <c r="F241" s="31">
        <f t="shared" si="27"/>
        <v>52948.29</v>
      </c>
      <c r="G241" s="18">
        <f t="shared" si="28"/>
        <v>940.17</v>
      </c>
      <c r="H241" s="18">
        <f t="shared" si="29"/>
        <v>877.17</v>
      </c>
      <c r="I241" s="18">
        <f>IF(OR($B241="",Comparateur!D$17&lt;&gt;"OK",$B241&gt;Comparateur!D$11),"",ROUND(L240*Comparateur!D$10/12,2))</f>
        <v>153.94</v>
      </c>
      <c r="J241" s="18">
        <f>IF(I241="","",IF($B241=Comparateur!D$11,L240,Comparateur!D$20-I241))</f>
        <v>737.56</v>
      </c>
      <c r="K241" s="18">
        <f>IF(I241="","",ROUND(IF(Comparateur!D$12=Paramètres!$B$36,Comparateur!D$9,L240)*Comparateur!D$13/12,2))</f>
        <v>8.15</v>
      </c>
      <c r="L241" s="31">
        <f t="shared" si="30"/>
        <v>53595.08</v>
      </c>
      <c r="M241" s="18">
        <f t="shared" si="31"/>
        <v>899.65</v>
      </c>
      <c r="N241" s="18">
        <f t="shared" si="32"/>
        <v>891.5</v>
      </c>
      <c r="O241" s="18">
        <f>IF(OR($B241="",Comparateur!E$17&lt;&gt;"OK",$B241&gt;Comparateur!E$11),"",ROUND(R240*Comparateur!E$10/12,2))</f>
        <v>162.66999999999999</v>
      </c>
      <c r="P241" s="18">
        <f>IF(O241="","",IF($B241=Comparateur!E$11,R240,Comparateur!E$20-O241))</f>
        <v>743.29000000000008</v>
      </c>
      <c r="Q241" s="18">
        <f>IF(O241="","",ROUND(IF(Comparateur!E$12=Paramètres!$B$36,Comparateur!E$9,R240)*Comparateur!E$13/12,2))</f>
        <v>30</v>
      </c>
      <c r="R241" s="31">
        <f t="shared" si="33"/>
        <v>54244.07</v>
      </c>
      <c r="S241" s="18">
        <f t="shared" si="34"/>
        <v>935.96</v>
      </c>
      <c r="T241" s="18">
        <f t="shared" si="35"/>
        <v>905.96</v>
      </c>
    </row>
    <row r="242" spans="2:20" x14ac:dyDescent="0.35">
      <c r="B242" s="29">
        <f>IF(B241="","",IF(B241+1&gt;Comparateur!$C$47,"",B241+1))</f>
        <v>235</v>
      </c>
      <c r="C242" s="18">
        <f>IF(OR($B242="",Comparateur!C$17&lt;&gt;"OK",$B242&gt;Comparateur!C$11),"",ROUND(F241*Comparateur!C$10/12,2))</f>
        <v>143.4</v>
      </c>
      <c r="D242" s="18">
        <f>IF(C242="","",IF($B242=Comparateur!C$11,F241,Comparateur!C$20-C242))</f>
        <v>733.77</v>
      </c>
      <c r="E242" s="18">
        <f>IF(C242="","",ROUND(IF(Comparateur!C$12=Paramètres!$B$36,Comparateur!C$9,F241)*Comparateur!C$13/12,2))</f>
        <v>63</v>
      </c>
      <c r="F242" s="31">
        <f t="shared" si="27"/>
        <v>52214.52</v>
      </c>
      <c r="G242" s="18">
        <f t="shared" si="28"/>
        <v>940.17</v>
      </c>
      <c r="H242" s="18">
        <f t="shared" si="29"/>
        <v>877.17</v>
      </c>
      <c r="I242" s="18">
        <f>IF(OR($B242="",Comparateur!D$17&lt;&gt;"OK",$B242&gt;Comparateur!D$11),"",ROUND(L241*Comparateur!D$10/12,2))</f>
        <v>151.85</v>
      </c>
      <c r="J242" s="18">
        <f>IF(I242="","",IF($B242=Comparateur!D$11,L241,Comparateur!D$20-I242))</f>
        <v>739.65</v>
      </c>
      <c r="K242" s="18">
        <f>IF(I242="","",ROUND(IF(Comparateur!D$12=Paramètres!$B$36,Comparateur!D$9,L241)*Comparateur!D$13/12,2))</f>
        <v>8.0399999999999991</v>
      </c>
      <c r="L242" s="31">
        <f t="shared" si="30"/>
        <v>52855.43</v>
      </c>
      <c r="M242" s="18">
        <f t="shared" si="31"/>
        <v>899.54</v>
      </c>
      <c r="N242" s="18">
        <f t="shared" si="32"/>
        <v>891.5</v>
      </c>
      <c r="O242" s="18">
        <f>IF(OR($B242="",Comparateur!E$17&lt;&gt;"OK",$B242&gt;Comparateur!E$11),"",ROUND(R241*Comparateur!E$10/12,2))</f>
        <v>160.47</v>
      </c>
      <c r="P242" s="18">
        <f>IF(O242="","",IF($B242=Comparateur!E$11,R241,Comparateur!E$20-O242))</f>
        <v>745.49</v>
      </c>
      <c r="Q242" s="18">
        <f>IF(O242="","",ROUND(IF(Comparateur!E$12=Paramètres!$B$36,Comparateur!E$9,R241)*Comparateur!E$13/12,2))</f>
        <v>30</v>
      </c>
      <c r="R242" s="31">
        <f t="shared" si="33"/>
        <v>53498.58</v>
      </c>
      <c r="S242" s="18">
        <f t="shared" si="34"/>
        <v>935.96</v>
      </c>
      <c r="T242" s="18">
        <f t="shared" si="35"/>
        <v>905.96</v>
      </c>
    </row>
    <row r="243" spans="2:20" x14ac:dyDescent="0.35">
      <c r="B243" s="29">
        <f>IF(B242="","",IF(B242+1&gt;Comparateur!$C$47,"",B242+1))</f>
        <v>236</v>
      </c>
      <c r="C243" s="18">
        <f>IF(OR($B243="",Comparateur!C$17&lt;&gt;"OK",$B243&gt;Comparateur!C$11),"",ROUND(F242*Comparateur!C$10/12,2))</f>
        <v>141.41</v>
      </c>
      <c r="D243" s="18">
        <f>IF(C243="","",IF($B243=Comparateur!C$11,F242,Comparateur!C$20-C243))</f>
        <v>735.76</v>
      </c>
      <c r="E243" s="18">
        <f>IF(C243="","",ROUND(IF(Comparateur!C$12=Paramètres!$B$36,Comparateur!C$9,F242)*Comparateur!C$13/12,2))</f>
        <v>63</v>
      </c>
      <c r="F243" s="31">
        <f t="shared" si="27"/>
        <v>51478.76</v>
      </c>
      <c r="G243" s="18">
        <f t="shared" si="28"/>
        <v>940.17</v>
      </c>
      <c r="H243" s="18">
        <f t="shared" si="29"/>
        <v>877.17</v>
      </c>
      <c r="I243" s="18">
        <f>IF(OR($B243="",Comparateur!D$17&lt;&gt;"OK",$B243&gt;Comparateur!D$11),"",ROUND(L242*Comparateur!D$10/12,2))</f>
        <v>149.76</v>
      </c>
      <c r="J243" s="18">
        <f>IF(I243="","",IF($B243=Comparateur!D$11,L242,Comparateur!D$20-I243))</f>
        <v>741.74</v>
      </c>
      <c r="K243" s="18">
        <f>IF(I243="","",ROUND(IF(Comparateur!D$12=Paramètres!$B$36,Comparateur!D$9,L242)*Comparateur!D$13/12,2))</f>
        <v>7.93</v>
      </c>
      <c r="L243" s="31">
        <f t="shared" si="30"/>
        <v>52113.69</v>
      </c>
      <c r="M243" s="18">
        <f t="shared" si="31"/>
        <v>899.43</v>
      </c>
      <c r="N243" s="18">
        <f t="shared" si="32"/>
        <v>891.5</v>
      </c>
      <c r="O243" s="18">
        <f>IF(OR($B243="",Comparateur!E$17&lt;&gt;"OK",$B243&gt;Comparateur!E$11),"",ROUND(R242*Comparateur!E$10/12,2))</f>
        <v>158.27000000000001</v>
      </c>
      <c r="P243" s="18">
        <f>IF(O243="","",IF($B243=Comparateur!E$11,R242,Comparateur!E$20-O243))</f>
        <v>747.69</v>
      </c>
      <c r="Q243" s="18">
        <f>IF(O243="","",ROUND(IF(Comparateur!E$12=Paramètres!$B$36,Comparateur!E$9,R242)*Comparateur!E$13/12,2))</f>
        <v>30</v>
      </c>
      <c r="R243" s="31">
        <f t="shared" si="33"/>
        <v>52750.89</v>
      </c>
      <c r="S243" s="18">
        <f t="shared" si="34"/>
        <v>935.96</v>
      </c>
      <c r="T243" s="18">
        <f t="shared" si="35"/>
        <v>905.96</v>
      </c>
    </row>
    <row r="244" spans="2:20" x14ac:dyDescent="0.35">
      <c r="B244" s="29">
        <f>IF(B243="","",IF(B243+1&gt;Comparateur!$C$47,"",B243+1))</f>
        <v>237</v>
      </c>
      <c r="C244" s="18">
        <f>IF(OR($B244="",Comparateur!C$17&lt;&gt;"OK",$B244&gt;Comparateur!C$11),"",ROUND(F243*Comparateur!C$10/12,2))</f>
        <v>139.41999999999999</v>
      </c>
      <c r="D244" s="18">
        <f>IF(C244="","",IF($B244=Comparateur!C$11,F243,Comparateur!C$20-C244))</f>
        <v>737.75</v>
      </c>
      <c r="E244" s="18">
        <f>IF(C244="","",ROUND(IF(Comparateur!C$12=Paramètres!$B$36,Comparateur!C$9,F243)*Comparateur!C$13/12,2))</f>
        <v>63</v>
      </c>
      <c r="F244" s="31">
        <f t="shared" si="27"/>
        <v>50741.01</v>
      </c>
      <c r="G244" s="18">
        <f t="shared" si="28"/>
        <v>940.17</v>
      </c>
      <c r="H244" s="18">
        <f t="shared" si="29"/>
        <v>877.17</v>
      </c>
      <c r="I244" s="18">
        <f>IF(OR($B244="",Comparateur!D$17&lt;&gt;"OK",$B244&gt;Comparateur!D$11),"",ROUND(L243*Comparateur!D$10/12,2))</f>
        <v>147.66</v>
      </c>
      <c r="J244" s="18">
        <f>IF(I244="","",IF($B244=Comparateur!D$11,L243,Comparateur!D$20-I244))</f>
        <v>743.84</v>
      </c>
      <c r="K244" s="18">
        <f>IF(I244="","",ROUND(IF(Comparateur!D$12=Paramètres!$B$36,Comparateur!D$9,L243)*Comparateur!D$13/12,2))</f>
        <v>7.82</v>
      </c>
      <c r="L244" s="31">
        <f t="shared" si="30"/>
        <v>51369.85</v>
      </c>
      <c r="M244" s="18">
        <f t="shared" si="31"/>
        <v>899.32</v>
      </c>
      <c r="N244" s="18">
        <f t="shared" si="32"/>
        <v>891.5</v>
      </c>
      <c r="O244" s="18">
        <f>IF(OR($B244="",Comparateur!E$17&lt;&gt;"OK",$B244&gt;Comparateur!E$11),"",ROUND(R243*Comparateur!E$10/12,2))</f>
        <v>156.05000000000001</v>
      </c>
      <c r="P244" s="18">
        <f>IF(O244="","",IF($B244=Comparateur!E$11,R243,Comparateur!E$20-O244))</f>
        <v>749.91000000000008</v>
      </c>
      <c r="Q244" s="18">
        <f>IF(O244="","",ROUND(IF(Comparateur!E$12=Paramètres!$B$36,Comparateur!E$9,R243)*Comparateur!E$13/12,2))</f>
        <v>30</v>
      </c>
      <c r="R244" s="31">
        <f t="shared" si="33"/>
        <v>52000.98</v>
      </c>
      <c r="S244" s="18">
        <f t="shared" si="34"/>
        <v>935.96</v>
      </c>
      <c r="T244" s="18">
        <f t="shared" si="35"/>
        <v>905.96</v>
      </c>
    </row>
    <row r="245" spans="2:20" x14ac:dyDescent="0.35">
      <c r="B245" s="29">
        <f>IF(B244="","",IF(B244+1&gt;Comparateur!$C$47,"",B244+1))</f>
        <v>238</v>
      </c>
      <c r="C245" s="18">
        <f>IF(OR($B245="",Comparateur!C$17&lt;&gt;"OK",$B245&gt;Comparateur!C$11),"",ROUND(F244*Comparateur!C$10/12,2))</f>
        <v>137.41999999999999</v>
      </c>
      <c r="D245" s="18">
        <f>IF(C245="","",IF($B245=Comparateur!C$11,F244,Comparateur!C$20-C245))</f>
        <v>739.75</v>
      </c>
      <c r="E245" s="18">
        <f>IF(C245="","",ROUND(IF(Comparateur!C$12=Paramètres!$B$36,Comparateur!C$9,F244)*Comparateur!C$13/12,2))</f>
        <v>63</v>
      </c>
      <c r="F245" s="31">
        <f t="shared" si="27"/>
        <v>50001.26</v>
      </c>
      <c r="G245" s="18">
        <f t="shared" si="28"/>
        <v>940.17</v>
      </c>
      <c r="H245" s="18">
        <f t="shared" si="29"/>
        <v>877.17</v>
      </c>
      <c r="I245" s="18">
        <f>IF(OR($B245="",Comparateur!D$17&lt;&gt;"OK",$B245&gt;Comparateur!D$11),"",ROUND(L244*Comparateur!D$10/12,2))</f>
        <v>145.55000000000001</v>
      </c>
      <c r="J245" s="18">
        <f>IF(I245="","",IF($B245=Comparateur!D$11,L244,Comparateur!D$20-I245))</f>
        <v>745.95</v>
      </c>
      <c r="K245" s="18">
        <f>IF(I245="","",ROUND(IF(Comparateur!D$12=Paramètres!$B$36,Comparateur!D$9,L244)*Comparateur!D$13/12,2))</f>
        <v>7.71</v>
      </c>
      <c r="L245" s="31">
        <f t="shared" si="30"/>
        <v>50623.9</v>
      </c>
      <c r="M245" s="18">
        <f t="shared" si="31"/>
        <v>899.21</v>
      </c>
      <c r="N245" s="18">
        <f t="shared" si="32"/>
        <v>891.5</v>
      </c>
      <c r="O245" s="18">
        <f>IF(OR($B245="",Comparateur!E$17&lt;&gt;"OK",$B245&gt;Comparateur!E$11),"",ROUND(R244*Comparateur!E$10/12,2))</f>
        <v>153.84</v>
      </c>
      <c r="P245" s="18">
        <f>IF(O245="","",IF($B245=Comparateur!E$11,R244,Comparateur!E$20-O245))</f>
        <v>752.12</v>
      </c>
      <c r="Q245" s="18">
        <f>IF(O245="","",ROUND(IF(Comparateur!E$12=Paramètres!$B$36,Comparateur!E$9,R244)*Comparateur!E$13/12,2))</f>
        <v>30</v>
      </c>
      <c r="R245" s="31">
        <f t="shared" si="33"/>
        <v>51248.86</v>
      </c>
      <c r="S245" s="18">
        <f t="shared" si="34"/>
        <v>935.96</v>
      </c>
      <c r="T245" s="18">
        <f t="shared" si="35"/>
        <v>905.96</v>
      </c>
    </row>
    <row r="246" spans="2:20" x14ac:dyDescent="0.35">
      <c r="B246" s="29">
        <f>IF(B245="","",IF(B245+1&gt;Comparateur!$C$47,"",B245+1))</f>
        <v>239</v>
      </c>
      <c r="C246" s="18">
        <f>IF(OR($B246="",Comparateur!C$17&lt;&gt;"OK",$B246&gt;Comparateur!C$11),"",ROUND(F245*Comparateur!C$10/12,2))</f>
        <v>135.41999999999999</v>
      </c>
      <c r="D246" s="18">
        <f>IF(C246="","",IF($B246=Comparateur!C$11,F245,Comparateur!C$20-C246))</f>
        <v>741.75</v>
      </c>
      <c r="E246" s="18">
        <f>IF(C246="","",ROUND(IF(Comparateur!C$12=Paramètres!$B$36,Comparateur!C$9,F245)*Comparateur!C$13/12,2))</f>
        <v>63</v>
      </c>
      <c r="F246" s="31">
        <f t="shared" si="27"/>
        <v>49259.51</v>
      </c>
      <c r="G246" s="18">
        <f t="shared" si="28"/>
        <v>940.17</v>
      </c>
      <c r="H246" s="18">
        <f t="shared" si="29"/>
        <v>877.17</v>
      </c>
      <c r="I246" s="18">
        <f>IF(OR($B246="",Comparateur!D$17&lt;&gt;"OK",$B246&gt;Comparateur!D$11),"",ROUND(L245*Comparateur!D$10/12,2))</f>
        <v>143.43</v>
      </c>
      <c r="J246" s="18">
        <f>IF(I246="","",IF($B246=Comparateur!D$11,L245,Comparateur!D$20-I246))</f>
        <v>748.06999999999994</v>
      </c>
      <c r="K246" s="18">
        <f>IF(I246="","",ROUND(IF(Comparateur!D$12=Paramètres!$B$36,Comparateur!D$9,L245)*Comparateur!D$13/12,2))</f>
        <v>7.59</v>
      </c>
      <c r="L246" s="31">
        <f t="shared" si="30"/>
        <v>49875.83</v>
      </c>
      <c r="M246" s="18">
        <f t="shared" si="31"/>
        <v>899.09</v>
      </c>
      <c r="N246" s="18">
        <f t="shared" si="32"/>
        <v>891.5</v>
      </c>
      <c r="O246" s="18">
        <f>IF(OR($B246="",Comparateur!E$17&lt;&gt;"OK",$B246&gt;Comparateur!E$11),"",ROUND(R245*Comparateur!E$10/12,2))</f>
        <v>151.61000000000001</v>
      </c>
      <c r="P246" s="18">
        <f>IF(O246="","",IF($B246=Comparateur!E$11,R245,Comparateur!E$20-O246))</f>
        <v>754.35</v>
      </c>
      <c r="Q246" s="18">
        <f>IF(O246="","",ROUND(IF(Comparateur!E$12=Paramètres!$B$36,Comparateur!E$9,R245)*Comparateur!E$13/12,2))</f>
        <v>30</v>
      </c>
      <c r="R246" s="31">
        <f t="shared" si="33"/>
        <v>50494.51</v>
      </c>
      <c r="S246" s="18">
        <f t="shared" si="34"/>
        <v>935.96</v>
      </c>
      <c r="T246" s="18">
        <f t="shared" si="35"/>
        <v>905.96</v>
      </c>
    </row>
    <row r="247" spans="2:20" x14ac:dyDescent="0.35">
      <c r="B247" s="29">
        <f>IF(B246="","",IF(B246+1&gt;Comparateur!$C$47,"",B246+1))</f>
        <v>240</v>
      </c>
      <c r="C247" s="18">
        <f>IF(OR($B247="",Comparateur!C$17&lt;&gt;"OK",$B247&gt;Comparateur!C$11),"",ROUND(F246*Comparateur!C$10/12,2))</f>
        <v>133.41</v>
      </c>
      <c r="D247" s="18">
        <f>IF(C247="","",IF($B247=Comparateur!C$11,F246,Comparateur!C$20-C247))</f>
        <v>743.76</v>
      </c>
      <c r="E247" s="18">
        <f>IF(C247="","",ROUND(IF(Comparateur!C$12=Paramètres!$B$36,Comparateur!C$9,F246)*Comparateur!C$13/12,2))</f>
        <v>63</v>
      </c>
      <c r="F247" s="31">
        <f t="shared" si="27"/>
        <v>48515.75</v>
      </c>
      <c r="G247" s="18">
        <f t="shared" si="28"/>
        <v>940.17</v>
      </c>
      <c r="H247" s="18">
        <f t="shared" si="29"/>
        <v>877.17</v>
      </c>
      <c r="I247" s="18">
        <f>IF(OR($B247="",Comparateur!D$17&lt;&gt;"OK",$B247&gt;Comparateur!D$11),"",ROUND(L246*Comparateur!D$10/12,2))</f>
        <v>141.31</v>
      </c>
      <c r="J247" s="18">
        <f>IF(I247="","",IF($B247=Comparateur!D$11,L246,Comparateur!D$20-I247))</f>
        <v>750.19</v>
      </c>
      <c r="K247" s="18">
        <f>IF(I247="","",ROUND(IF(Comparateur!D$12=Paramètres!$B$36,Comparateur!D$9,L246)*Comparateur!D$13/12,2))</f>
        <v>7.48</v>
      </c>
      <c r="L247" s="31">
        <f t="shared" si="30"/>
        <v>49125.64</v>
      </c>
      <c r="M247" s="18">
        <f t="shared" si="31"/>
        <v>898.98</v>
      </c>
      <c r="N247" s="18">
        <f t="shared" si="32"/>
        <v>891.5</v>
      </c>
      <c r="O247" s="18">
        <f>IF(OR($B247="",Comparateur!E$17&lt;&gt;"OK",$B247&gt;Comparateur!E$11),"",ROUND(R246*Comparateur!E$10/12,2))</f>
        <v>149.38</v>
      </c>
      <c r="P247" s="18">
        <f>IF(O247="","",IF($B247=Comparateur!E$11,R246,Comparateur!E$20-O247))</f>
        <v>756.58</v>
      </c>
      <c r="Q247" s="18">
        <f>IF(O247="","",ROUND(IF(Comparateur!E$12=Paramètres!$B$36,Comparateur!E$9,R246)*Comparateur!E$13/12,2))</f>
        <v>30</v>
      </c>
      <c r="R247" s="31">
        <f t="shared" si="33"/>
        <v>49737.93</v>
      </c>
      <c r="S247" s="18">
        <f t="shared" si="34"/>
        <v>935.96</v>
      </c>
      <c r="T247" s="18">
        <f t="shared" si="35"/>
        <v>905.96</v>
      </c>
    </row>
    <row r="248" spans="2:20" x14ac:dyDescent="0.35">
      <c r="B248" s="29">
        <f>IF(B247="","",IF(B247+1&gt;Comparateur!$C$47,"",B247+1))</f>
        <v>241</v>
      </c>
      <c r="C248" s="18">
        <f>IF(OR($B248="",Comparateur!C$17&lt;&gt;"OK",$B248&gt;Comparateur!C$11),"",ROUND(F247*Comparateur!C$10/12,2))</f>
        <v>131.4</v>
      </c>
      <c r="D248" s="18">
        <f>IF(C248="","",IF($B248=Comparateur!C$11,F247,Comparateur!C$20-C248))</f>
        <v>745.77</v>
      </c>
      <c r="E248" s="18">
        <f>IF(C248="","",ROUND(IF(Comparateur!C$12=Paramètres!$B$36,Comparateur!C$9,F247)*Comparateur!C$13/12,2))</f>
        <v>63</v>
      </c>
      <c r="F248" s="31">
        <f t="shared" si="27"/>
        <v>47769.98</v>
      </c>
      <c r="G248" s="18">
        <f t="shared" si="28"/>
        <v>940.17</v>
      </c>
      <c r="H248" s="18">
        <f t="shared" si="29"/>
        <v>877.17</v>
      </c>
      <c r="I248" s="18">
        <f>IF(OR($B248="",Comparateur!D$17&lt;&gt;"OK",$B248&gt;Comparateur!D$11),"",ROUND(L247*Comparateur!D$10/12,2))</f>
        <v>139.19</v>
      </c>
      <c r="J248" s="18">
        <f>IF(I248="","",IF($B248=Comparateur!D$11,L247,Comparateur!D$20-I248))</f>
        <v>752.31</v>
      </c>
      <c r="K248" s="18">
        <f>IF(I248="","",ROUND(IF(Comparateur!D$12=Paramètres!$B$36,Comparateur!D$9,L247)*Comparateur!D$13/12,2))</f>
        <v>7.37</v>
      </c>
      <c r="L248" s="31">
        <f t="shared" si="30"/>
        <v>48373.33</v>
      </c>
      <c r="M248" s="18">
        <f t="shared" si="31"/>
        <v>898.87</v>
      </c>
      <c r="N248" s="18">
        <f t="shared" si="32"/>
        <v>891.5</v>
      </c>
      <c r="O248" s="18">
        <f>IF(OR($B248="",Comparateur!E$17&lt;&gt;"OK",$B248&gt;Comparateur!E$11),"",ROUND(R247*Comparateur!E$10/12,2))</f>
        <v>147.13999999999999</v>
      </c>
      <c r="P248" s="18">
        <f>IF(O248="","",IF($B248=Comparateur!E$11,R247,Comparateur!E$20-O248))</f>
        <v>758.82</v>
      </c>
      <c r="Q248" s="18">
        <f>IF(O248="","",ROUND(IF(Comparateur!E$12=Paramètres!$B$36,Comparateur!E$9,R247)*Comparateur!E$13/12,2))</f>
        <v>30</v>
      </c>
      <c r="R248" s="31">
        <f t="shared" si="33"/>
        <v>48979.11</v>
      </c>
      <c r="S248" s="18">
        <f t="shared" si="34"/>
        <v>935.96</v>
      </c>
      <c r="T248" s="18">
        <f t="shared" si="35"/>
        <v>905.96</v>
      </c>
    </row>
    <row r="249" spans="2:20" x14ac:dyDescent="0.35">
      <c r="B249" s="29">
        <f>IF(B248="","",IF(B248+1&gt;Comparateur!$C$47,"",B248+1))</f>
        <v>242</v>
      </c>
      <c r="C249" s="18">
        <f>IF(OR($B249="",Comparateur!C$17&lt;&gt;"OK",$B249&gt;Comparateur!C$11),"",ROUND(F248*Comparateur!C$10/12,2))</f>
        <v>129.38</v>
      </c>
      <c r="D249" s="18">
        <f>IF(C249="","",IF($B249=Comparateur!C$11,F248,Comparateur!C$20-C249))</f>
        <v>747.79</v>
      </c>
      <c r="E249" s="18">
        <f>IF(C249="","",ROUND(IF(Comparateur!C$12=Paramètres!$B$36,Comparateur!C$9,F248)*Comparateur!C$13/12,2))</f>
        <v>63</v>
      </c>
      <c r="F249" s="31">
        <f t="shared" si="27"/>
        <v>47022.19</v>
      </c>
      <c r="G249" s="18">
        <f t="shared" si="28"/>
        <v>940.17</v>
      </c>
      <c r="H249" s="18">
        <f t="shared" si="29"/>
        <v>877.17</v>
      </c>
      <c r="I249" s="18">
        <f>IF(OR($B249="",Comparateur!D$17&lt;&gt;"OK",$B249&gt;Comparateur!D$11),"",ROUND(L248*Comparateur!D$10/12,2))</f>
        <v>137.06</v>
      </c>
      <c r="J249" s="18">
        <f>IF(I249="","",IF($B249=Comparateur!D$11,L248,Comparateur!D$20-I249))</f>
        <v>754.44</v>
      </c>
      <c r="K249" s="18">
        <f>IF(I249="","",ROUND(IF(Comparateur!D$12=Paramètres!$B$36,Comparateur!D$9,L248)*Comparateur!D$13/12,2))</f>
        <v>7.26</v>
      </c>
      <c r="L249" s="31">
        <f t="shared" si="30"/>
        <v>47618.89</v>
      </c>
      <c r="M249" s="18">
        <f t="shared" si="31"/>
        <v>898.76</v>
      </c>
      <c r="N249" s="18">
        <f t="shared" si="32"/>
        <v>891.5</v>
      </c>
      <c r="O249" s="18">
        <f>IF(OR($B249="",Comparateur!E$17&lt;&gt;"OK",$B249&gt;Comparateur!E$11),"",ROUND(R248*Comparateur!E$10/12,2))</f>
        <v>144.9</v>
      </c>
      <c r="P249" s="18">
        <f>IF(O249="","",IF($B249=Comparateur!E$11,R248,Comparateur!E$20-O249))</f>
        <v>761.06000000000006</v>
      </c>
      <c r="Q249" s="18">
        <f>IF(O249="","",ROUND(IF(Comparateur!E$12=Paramètres!$B$36,Comparateur!E$9,R248)*Comparateur!E$13/12,2))</f>
        <v>30</v>
      </c>
      <c r="R249" s="31">
        <f t="shared" si="33"/>
        <v>48218.05</v>
      </c>
      <c r="S249" s="18">
        <f t="shared" si="34"/>
        <v>935.96</v>
      </c>
      <c r="T249" s="18">
        <f t="shared" si="35"/>
        <v>905.96</v>
      </c>
    </row>
    <row r="250" spans="2:20" x14ac:dyDescent="0.35">
      <c r="B250" s="29">
        <f>IF(B249="","",IF(B249+1&gt;Comparateur!$C$47,"",B249+1))</f>
        <v>243</v>
      </c>
      <c r="C250" s="18">
        <f>IF(OR($B250="",Comparateur!C$17&lt;&gt;"OK",$B250&gt;Comparateur!C$11),"",ROUND(F249*Comparateur!C$10/12,2))</f>
        <v>127.35</v>
      </c>
      <c r="D250" s="18">
        <f>IF(C250="","",IF($B250=Comparateur!C$11,F249,Comparateur!C$20-C250))</f>
        <v>749.81999999999994</v>
      </c>
      <c r="E250" s="18">
        <f>IF(C250="","",ROUND(IF(Comparateur!C$12=Paramètres!$B$36,Comparateur!C$9,F249)*Comparateur!C$13/12,2))</f>
        <v>63</v>
      </c>
      <c r="F250" s="31">
        <f t="shared" si="27"/>
        <v>46272.37</v>
      </c>
      <c r="G250" s="18">
        <f t="shared" si="28"/>
        <v>940.17</v>
      </c>
      <c r="H250" s="18">
        <f t="shared" si="29"/>
        <v>877.17</v>
      </c>
      <c r="I250" s="18">
        <f>IF(OR($B250="",Comparateur!D$17&lt;&gt;"OK",$B250&gt;Comparateur!D$11),"",ROUND(L249*Comparateur!D$10/12,2))</f>
        <v>134.91999999999999</v>
      </c>
      <c r="J250" s="18">
        <f>IF(I250="","",IF($B250=Comparateur!D$11,L249,Comparateur!D$20-I250))</f>
        <v>756.58</v>
      </c>
      <c r="K250" s="18">
        <f>IF(I250="","",ROUND(IF(Comparateur!D$12=Paramètres!$B$36,Comparateur!D$9,L249)*Comparateur!D$13/12,2))</f>
        <v>7.14</v>
      </c>
      <c r="L250" s="31">
        <f t="shared" si="30"/>
        <v>46862.31</v>
      </c>
      <c r="M250" s="18">
        <f t="shared" si="31"/>
        <v>898.64</v>
      </c>
      <c r="N250" s="18">
        <f t="shared" si="32"/>
        <v>891.5</v>
      </c>
      <c r="O250" s="18">
        <f>IF(OR($B250="",Comparateur!E$17&lt;&gt;"OK",$B250&gt;Comparateur!E$11),"",ROUND(R249*Comparateur!E$10/12,2))</f>
        <v>142.65</v>
      </c>
      <c r="P250" s="18">
        <f>IF(O250="","",IF($B250=Comparateur!E$11,R249,Comparateur!E$20-O250))</f>
        <v>763.31000000000006</v>
      </c>
      <c r="Q250" s="18">
        <f>IF(O250="","",ROUND(IF(Comparateur!E$12=Paramètres!$B$36,Comparateur!E$9,R249)*Comparateur!E$13/12,2))</f>
        <v>30</v>
      </c>
      <c r="R250" s="31">
        <f t="shared" si="33"/>
        <v>47454.74</v>
      </c>
      <c r="S250" s="18">
        <f t="shared" si="34"/>
        <v>935.96</v>
      </c>
      <c r="T250" s="18">
        <f t="shared" si="35"/>
        <v>905.96</v>
      </c>
    </row>
    <row r="251" spans="2:20" x14ac:dyDescent="0.35">
      <c r="B251" s="29">
        <f>IF(B250="","",IF(B250+1&gt;Comparateur!$C$47,"",B250+1))</f>
        <v>244</v>
      </c>
      <c r="C251" s="18">
        <f>IF(OR($B251="",Comparateur!C$17&lt;&gt;"OK",$B251&gt;Comparateur!C$11),"",ROUND(F250*Comparateur!C$10/12,2))</f>
        <v>125.32</v>
      </c>
      <c r="D251" s="18">
        <f>IF(C251="","",IF($B251=Comparateur!C$11,F250,Comparateur!C$20-C251))</f>
        <v>751.84999999999991</v>
      </c>
      <c r="E251" s="18">
        <f>IF(C251="","",ROUND(IF(Comparateur!C$12=Paramètres!$B$36,Comparateur!C$9,F250)*Comparateur!C$13/12,2))</f>
        <v>63</v>
      </c>
      <c r="F251" s="31">
        <f t="shared" si="27"/>
        <v>45520.52</v>
      </c>
      <c r="G251" s="18">
        <f t="shared" si="28"/>
        <v>940.16999999999985</v>
      </c>
      <c r="H251" s="18">
        <f t="shared" si="29"/>
        <v>877.16999999999985</v>
      </c>
      <c r="I251" s="18">
        <f>IF(OR($B251="",Comparateur!D$17&lt;&gt;"OK",$B251&gt;Comparateur!D$11),"",ROUND(L250*Comparateur!D$10/12,2))</f>
        <v>132.78</v>
      </c>
      <c r="J251" s="18">
        <f>IF(I251="","",IF($B251=Comparateur!D$11,L250,Comparateur!D$20-I251))</f>
        <v>758.72</v>
      </c>
      <c r="K251" s="18">
        <f>IF(I251="","",ROUND(IF(Comparateur!D$12=Paramètres!$B$36,Comparateur!D$9,L250)*Comparateur!D$13/12,2))</f>
        <v>7.03</v>
      </c>
      <c r="L251" s="31">
        <f t="shared" si="30"/>
        <v>46103.59</v>
      </c>
      <c r="M251" s="18">
        <f t="shared" si="31"/>
        <v>898.53</v>
      </c>
      <c r="N251" s="18">
        <f t="shared" si="32"/>
        <v>891.5</v>
      </c>
      <c r="O251" s="18">
        <f>IF(OR($B251="",Comparateur!E$17&lt;&gt;"OK",$B251&gt;Comparateur!E$11),"",ROUND(R250*Comparateur!E$10/12,2))</f>
        <v>140.38999999999999</v>
      </c>
      <c r="P251" s="18">
        <f>IF(O251="","",IF($B251=Comparateur!E$11,R250,Comparateur!E$20-O251))</f>
        <v>765.57</v>
      </c>
      <c r="Q251" s="18">
        <f>IF(O251="","",ROUND(IF(Comparateur!E$12=Paramètres!$B$36,Comparateur!E$9,R250)*Comparateur!E$13/12,2))</f>
        <v>30</v>
      </c>
      <c r="R251" s="31">
        <f t="shared" si="33"/>
        <v>46689.17</v>
      </c>
      <c r="S251" s="18">
        <f t="shared" si="34"/>
        <v>935.96</v>
      </c>
      <c r="T251" s="18">
        <f t="shared" si="35"/>
        <v>905.96</v>
      </c>
    </row>
    <row r="252" spans="2:20" x14ac:dyDescent="0.35">
      <c r="B252" s="29">
        <f>IF(B251="","",IF(B251+1&gt;Comparateur!$C$47,"",B251+1))</f>
        <v>245</v>
      </c>
      <c r="C252" s="18">
        <f>IF(OR($B252="",Comparateur!C$17&lt;&gt;"OK",$B252&gt;Comparateur!C$11),"",ROUND(F251*Comparateur!C$10/12,2))</f>
        <v>123.28</v>
      </c>
      <c r="D252" s="18">
        <f>IF(C252="","",IF($B252=Comparateur!C$11,F251,Comparateur!C$20-C252))</f>
        <v>753.89</v>
      </c>
      <c r="E252" s="18">
        <f>IF(C252="","",ROUND(IF(Comparateur!C$12=Paramètres!$B$36,Comparateur!C$9,F251)*Comparateur!C$13/12,2))</f>
        <v>63</v>
      </c>
      <c r="F252" s="31">
        <f t="shared" si="27"/>
        <v>44766.63</v>
      </c>
      <c r="G252" s="18">
        <f t="shared" si="28"/>
        <v>940.17</v>
      </c>
      <c r="H252" s="18">
        <f t="shared" si="29"/>
        <v>877.17</v>
      </c>
      <c r="I252" s="18">
        <f>IF(OR($B252="",Comparateur!D$17&lt;&gt;"OK",$B252&gt;Comparateur!D$11),"",ROUND(L251*Comparateur!D$10/12,2))</f>
        <v>130.63</v>
      </c>
      <c r="J252" s="18">
        <f>IF(I252="","",IF($B252=Comparateur!D$11,L251,Comparateur!D$20-I252))</f>
        <v>760.87</v>
      </c>
      <c r="K252" s="18">
        <f>IF(I252="","",ROUND(IF(Comparateur!D$12=Paramètres!$B$36,Comparateur!D$9,L251)*Comparateur!D$13/12,2))</f>
        <v>6.92</v>
      </c>
      <c r="L252" s="31">
        <f t="shared" si="30"/>
        <v>45342.720000000001</v>
      </c>
      <c r="M252" s="18">
        <f t="shared" si="31"/>
        <v>898.42</v>
      </c>
      <c r="N252" s="18">
        <f t="shared" si="32"/>
        <v>891.5</v>
      </c>
      <c r="O252" s="18">
        <f>IF(OR($B252="",Comparateur!E$17&lt;&gt;"OK",$B252&gt;Comparateur!E$11),"",ROUND(R251*Comparateur!E$10/12,2))</f>
        <v>138.12</v>
      </c>
      <c r="P252" s="18">
        <f>IF(O252="","",IF($B252=Comparateur!E$11,R251,Comparateur!E$20-O252))</f>
        <v>767.84</v>
      </c>
      <c r="Q252" s="18">
        <f>IF(O252="","",ROUND(IF(Comparateur!E$12=Paramètres!$B$36,Comparateur!E$9,R251)*Comparateur!E$13/12,2))</f>
        <v>30</v>
      </c>
      <c r="R252" s="31">
        <f t="shared" si="33"/>
        <v>45921.33</v>
      </c>
      <c r="S252" s="18">
        <f t="shared" si="34"/>
        <v>935.96</v>
      </c>
      <c r="T252" s="18">
        <f t="shared" si="35"/>
        <v>905.96</v>
      </c>
    </row>
    <row r="253" spans="2:20" x14ac:dyDescent="0.35">
      <c r="B253" s="29">
        <f>IF(B252="","",IF(B252+1&gt;Comparateur!$C$47,"",B252+1))</f>
        <v>246</v>
      </c>
      <c r="C253" s="18">
        <f>IF(OR($B253="",Comparateur!C$17&lt;&gt;"OK",$B253&gt;Comparateur!C$11),"",ROUND(F252*Comparateur!C$10/12,2))</f>
        <v>121.24</v>
      </c>
      <c r="D253" s="18">
        <f>IF(C253="","",IF($B253=Comparateur!C$11,F252,Comparateur!C$20-C253))</f>
        <v>755.93</v>
      </c>
      <c r="E253" s="18">
        <f>IF(C253="","",ROUND(IF(Comparateur!C$12=Paramètres!$B$36,Comparateur!C$9,F252)*Comparateur!C$13/12,2))</f>
        <v>63</v>
      </c>
      <c r="F253" s="31">
        <f t="shared" si="27"/>
        <v>44010.7</v>
      </c>
      <c r="G253" s="18">
        <f t="shared" si="28"/>
        <v>940.17</v>
      </c>
      <c r="H253" s="18">
        <f t="shared" si="29"/>
        <v>877.17</v>
      </c>
      <c r="I253" s="18">
        <f>IF(OR($B253="",Comparateur!D$17&lt;&gt;"OK",$B253&gt;Comparateur!D$11),"",ROUND(L252*Comparateur!D$10/12,2))</f>
        <v>128.47</v>
      </c>
      <c r="J253" s="18">
        <f>IF(I253="","",IF($B253=Comparateur!D$11,L252,Comparateur!D$20-I253))</f>
        <v>763.03</v>
      </c>
      <c r="K253" s="18">
        <f>IF(I253="","",ROUND(IF(Comparateur!D$12=Paramètres!$B$36,Comparateur!D$9,L252)*Comparateur!D$13/12,2))</f>
        <v>6.8</v>
      </c>
      <c r="L253" s="31">
        <f t="shared" si="30"/>
        <v>44579.69</v>
      </c>
      <c r="M253" s="18">
        <f t="shared" si="31"/>
        <v>898.3</v>
      </c>
      <c r="N253" s="18">
        <f t="shared" si="32"/>
        <v>891.5</v>
      </c>
      <c r="O253" s="18">
        <f>IF(OR($B253="",Comparateur!E$17&lt;&gt;"OK",$B253&gt;Comparateur!E$11),"",ROUND(R252*Comparateur!E$10/12,2))</f>
        <v>135.85</v>
      </c>
      <c r="P253" s="18">
        <f>IF(O253="","",IF($B253=Comparateur!E$11,R252,Comparateur!E$20-O253))</f>
        <v>770.11</v>
      </c>
      <c r="Q253" s="18">
        <f>IF(O253="","",ROUND(IF(Comparateur!E$12=Paramètres!$B$36,Comparateur!E$9,R252)*Comparateur!E$13/12,2))</f>
        <v>30</v>
      </c>
      <c r="R253" s="31">
        <f t="shared" si="33"/>
        <v>45151.22</v>
      </c>
      <c r="S253" s="18">
        <f t="shared" si="34"/>
        <v>935.96</v>
      </c>
      <c r="T253" s="18">
        <f t="shared" si="35"/>
        <v>905.96</v>
      </c>
    </row>
    <row r="254" spans="2:20" x14ac:dyDescent="0.35">
      <c r="B254" s="29">
        <f>IF(B253="","",IF(B253+1&gt;Comparateur!$C$47,"",B253+1))</f>
        <v>247</v>
      </c>
      <c r="C254" s="18">
        <f>IF(OR($B254="",Comparateur!C$17&lt;&gt;"OK",$B254&gt;Comparateur!C$11),"",ROUND(F253*Comparateur!C$10/12,2))</f>
        <v>119.2</v>
      </c>
      <c r="D254" s="18">
        <f>IF(C254="","",IF($B254=Comparateur!C$11,F253,Comparateur!C$20-C254))</f>
        <v>757.96999999999991</v>
      </c>
      <c r="E254" s="18">
        <f>IF(C254="","",ROUND(IF(Comparateur!C$12=Paramètres!$B$36,Comparateur!C$9,F253)*Comparateur!C$13/12,2))</f>
        <v>63</v>
      </c>
      <c r="F254" s="31">
        <f t="shared" si="27"/>
        <v>43252.73</v>
      </c>
      <c r="G254" s="18">
        <f t="shared" si="28"/>
        <v>940.17</v>
      </c>
      <c r="H254" s="18">
        <f t="shared" si="29"/>
        <v>877.17</v>
      </c>
      <c r="I254" s="18">
        <f>IF(OR($B254="",Comparateur!D$17&lt;&gt;"OK",$B254&gt;Comparateur!D$11),"",ROUND(L253*Comparateur!D$10/12,2))</f>
        <v>126.31</v>
      </c>
      <c r="J254" s="18">
        <f>IF(I254="","",IF($B254=Comparateur!D$11,L253,Comparateur!D$20-I254))</f>
        <v>765.19</v>
      </c>
      <c r="K254" s="18">
        <f>IF(I254="","",ROUND(IF(Comparateur!D$12=Paramètres!$B$36,Comparateur!D$9,L253)*Comparateur!D$13/12,2))</f>
        <v>6.69</v>
      </c>
      <c r="L254" s="31">
        <f t="shared" si="30"/>
        <v>43814.5</v>
      </c>
      <c r="M254" s="18">
        <f t="shared" si="31"/>
        <v>898.19</v>
      </c>
      <c r="N254" s="18">
        <f t="shared" si="32"/>
        <v>891.5</v>
      </c>
      <c r="O254" s="18">
        <f>IF(OR($B254="",Comparateur!E$17&lt;&gt;"OK",$B254&gt;Comparateur!E$11),"",ROUND(R253*Comparateur!E$10/12,2))</f>
        <v>133.57</v>
      </c>
      <c r="P254" s="18">
        <f>IF(O254="","",IF($B254=Comparateur!E$11,R253,Comparateur!E$20-O254))</f>
        <v>772.3900000000001</v>
      </c>
      <c r="Q254" s="18">
        <f>IF(O254="","",ROUND(IF(Comparateur!E$12=Paramètres!$B$36,Comparateur!E$9,R253)*Comparateur!E$13/12,2))</f>
        <v>30</v>
      </c>
      <c r="R254" s="31">
        <f t="shared" si="33"/>
        <v>44378.83</v>
      </c>
      <c r="S254" s="18">
        <f t="shared" si="34"/>
        <v>935.96</v>
      </c>
      <c r="T254" s="18">
        <f t="shared" si="35"/>
        <v>905.96</v>
      </c>
    </row>
    <row r="255" spans="2:20" x14ac:dyDescent="0.35">
      <c r="B255" s="29">
        <f>IF(B254="","",IF(B254+1&gt;Comparateur!$C$47,"",B254+1))</f>
        <v>248</v>
      </c>
      <c r="C255" s="18">
        <f>IF(OR($B255="",Comparateur!C$17&lt;&gt;"OK",$B255&gt;Comparateur!C$11),"",ROUND(F254*Comparateur!C$10/12,2))</f>
        <v>117.14</v>
      </c>
      <c r="D255" s="18">
        <f>IF(C255="","",IF($B255=Comparateur!C$11,F254,Comparateur!C$20-C255))</f>
        <v>760.03</v>
      </c>
      <c r="E255" s="18">
        <f>IF(C255="","",ROUND(IF(Comparateur!C$12=Paramètres!$B$36,Comparateur!C$9,F254)*Comparateur!C$13/12,2))</f>
        <v>63</v>
      </c>
      <c r="F255" s="31">
        <f t="shared" si="27"/>
        <v>42492.7</v>
      </c>
      <c r="G255" s="18">
        <f t="shared" si="28"/>
        <v>940.17</v>
      </c>
      <c r="H255" s="18">
        <f t="shared" si="29"/>
        <v>877.17</v>
      </c>
      <c r="I255" s="18">
        <f>IF(OR($B255="",Comparateur!D$17&lt;&gt;"OK",$B255&gt;Comparateur!D$11),"",ROUND(L254*Comparateur!D$10/12,2))</f>
        <v>124.14</v>
      </c>
      <c r="J255" s="18">
        <f>IF(I255="","",IF($B255=Comparateur!D$11,L254,Comparateur!D$20-I255))</f>
        <v>767.36</v>
      </c>
      <c r="K255" s="18">
        <f>IF(I255="","",ROUND(IF(Comparateur!D$12=Paramètres!$B$36,Comparateur!D$9,L254)*Comparateur!D$13/12,2))</f>
        <v>6.57</v>
      </c>
      <c r="L255" s="31">
        <f t="shared" si="30"/>
        <v>43047.14</v>
      </c>
      <c r="M255" s="18">
        <f t="shared" si="31"/>
        <v>898.07</v>
      </c>
      <c r="N255" s="18">
        <f t="shared" si="32"/>
        <v>891.5</v>
      </c>
      <c r="O255" s="18">
        <f>IF(OR($B255="",Comparateur!E$17&lt;&gt;"OK",$B255&gt;Comparateur!E$11),"",ROUND(R254*Comparateur!E$10/12,2))</f>
        <v>131.29</v>
      </c>
      <c r="P255" s="18">
        <f>IF(O255="","",IF($B255=Comparateur!E$11,R254,Comparateur!E$20-O255))</f>
        <v>774.67000000000007</v>
      </c>
      <c r="Q255" s="18">
        <f>IF(O255="","",ROUND(IF(Comparateur!E$12=Paramètres!$B$36,Comparateur!E$9,R254)*Comparateur!E$13/12,2))</f>
        <v>30</v>
      </c>
      <c r="R255" s="31">
        <f t="shared" si="33"/>
        <v>43604.160000000003</v>
      </c>
      <c r="S255" s="18">
        <f t="shared" si="34"/>
        <v>935.96</v>
      </c>
      <c r="T255" s="18">
        <f t="shared" si="35"/>
        <v>905.96</v>
      </c>
    </row>
    <row r="256" spans="2:20" x14ac:dyDescent="0.35">
      <c r="B256" s="29">
        <f>IF(B255="","",IF(B255+1&gt;Comparateur!$C$47,"",B255+1))</f>
        <v>249</v>
      </c>
      <c r="C256" s="18">
        <f>IF(OR($B256="",Comparateur!C$17&lt;&gt;"OK",$B256&gt;Comparateur!C$11),"",ROUND(F255*Comparateur!C$10/12,2))</f>
        <v>115.08</v>
      </c>
      <c r="D256" s="18">
        <f>IF(C256="","",IF($B256=Comparateur!C$11,F255,Comparateur!C$20-C256))</f>
        <v>762.08999999999992</v>
      </c>
      <c r="E256" s="18">
        <f>IF(C256="","",ROUND(IF(Comparateur!C$12=Paramètres!$B$36,Comparateur!C$9,F255)*Comparateur!C$13/12,2))</f>
        <v>63</v>
      </c>
      <c r="F256" s="31">
        <f t="shared" si="27"/>
        <v>41730.61</v>
      </c>
      <c r="G256" s="18">
        <f t="shared" si="28"/>
        <v>940.17</v>
      </c>
      <c r="H256" s="18">
        <f t="shared" si="29"/>
        <v>877.17</v>
      </c>
      <c r="I256" s="18">
        <f>IF(OR($B256="",Comparateur!D$17&lt;&gt;"OK",$B256&gt;Comparateur!D$11),"",ROUND(L255*Comparateur!D$10/12,2))</f>
        <v>121.97</v>
      </c>
      <c r="J256" s="18">
        <f>IF(I256="","",IF($B256=Comparateur!D$11,L255,Comparateur!D$20-I256))</f>
        <v>769.53</v>
      </c>
      <c r="K256" s="18">
        <f>IF(I256="","",ROUND(IF(Comparateur!D$12=Paramètres!$B$36,Comparateur!D$9,L255)*Comparateur!D$13/12,2))</f>
        <v>6.46</v>
      </c>
      <c r="L256" s="31">
        <f t="shared" si="30"/>
        <v>42277.61</v>
      </c>
      <c r="M256" s="18">
        <f t="shared" si="31"/>
        <v>897.96</v>
      </c>
      <c r="N256" s="18">
        <f t="shared" si="32"/>
        <v>891.5</v>
      </c>
      <c r="O256" s="18">
        <f>IF(OR($B256="",Comparateur!E$17&lt;&gt;"OK",$B256&gt;Comparateur!E$11),"",ROUND(R255*Comparateur!E$10/12,2))</f>
        <v>129</v>
      </c>
      <c r="P256" s="18">
        <f>IF(O256="","",IF($B256=Comparateur!E$11,R255,Comparateur!E$20-O256))</f>
        <v>776.96</v>
      </c>
      <c r="Q256" s="18">
        <f>IF(O256="","",ROUND(IF(Comparateur!E$12=Paramètres!$B$36,Comparateur!E$9,R255)*Comparateur!E$13/12,2))</f>
        <v>30</v>
      </c>
      <c r="R256" s="31">
        <f t="shared" si="33"/>
        <v>42827.199999999997</v>
      </c>
      <c r="S256" s="18">
        <f t="shared" si="34"/>
        <v>935.96</v>
      </c>
      <c r="T256" s="18">
        <f t="shared" si="35"/>
        <v>905.96</v>
      </c>
    </row>
    <row r="257" spans="2:20" x14ac:dyDescent="0.35">
      <c r="B257" s="29">
        <f>IF(B256="","",IF(B256+1&gt;Comparateur!$C$47,"",B256+1))</f>
        <v>250</v>
      </c>
      <c r="C257" s="18">
        <f>IF(OR($B257="",Comparateur!C$17&lt;&gt;"OK",$B257&gt;Comparateur!C$11),"",ROUND(F256*Comparateur!C$10/12,2))</f>
        <v>113.02</v>
      </c>
      <c r="D257" s="18">
        <f>IF(C257="","",IF($B257=Comparateur!C$11,F256,Comparateur!C$20-C257))</f>
        <v>764.15</v>
      </c>
      <c r="E257" s="18">
        <f>IF(C257="","",ROUND(IF(Comparateur!C$12=Paramètres!$B$36,Comparateur!C$9,F256)*Comparateur!C$13/12,2))</f>
        <v>63</v>
      </c>
      <c r="F257" s="31">
        <f t="shared" si="27"/>
        <v>40966.46</v>
      </c>
      <c r="G257" s="18">
        <f t="shared" si="28"/>
        <v>940.17</v>
      </c>
      <c r="H257" s="18">
        <f t="shared" si="29"/>
        <v>877.17</v>
      </c>
      <c r="I257" s="18">
        <f>IF(OR($B257="",Comparateur!D$17&lt;&gt;"OK",$B257&gt;Comparateur!D$11),"",ROUND(L256*Comparateur!D$10/12,2))</f>
        <v>119.79</v>
      </c>
      <c r="J257" s="18">
        <f>IF(I257="","",IF($B257=Comparateur!D$11,L256,Comparateur!D$20-I257))</f>
        <v>771.71</v>
      </c>
      <c r="K257" s="18">
        <f>IF(I257="","",ROUND(IF(Comparateur!D$12=Paramètres!$B$36,Comparateur!D$9,L256)*Comparateur!D$13/12,2))</f>
        <v>6.34</v>
      </c>
      <c r="L257" s="31">
        <f t="shared" si="30"/>
        <v>41505.9</v>
      </c>
      <c r="M257" s="18">
        <f t="shared" si="31"/>
        <v>897.84</v>
      </c>
      <c r="N257" s="18">
        <f t="shared" si="32"/>
        <v>891.5</v>
      </c>
      <c r="O257" s="18">
        <f>IF(OR($B257="",Comparateur!E$17&lt;&gt;"OK",$B257&gt;Comparateur!E$11),"",ROUND(R256*Comparateur!E$10/12,2))</f>
        <v>126.7</v>
      </c>
      <c r="P257" s="18">
        <f>IF(O257="","",IF($B257=Comparateur!E$11,R256,Comparateur!E$20-O257))</f>
        <v>779.26</v>
      </c>
      <c r="Q257" s="18">
        <f>IF(O257="","",ROUND(IF(Comparateur!E$12=Paramètres!$B$36,Comparateur!E$9,R256)*Comparateur!E$13/12,2))</f>
        <v>30</v>
      </c>
      <c r="R257" s="31">
        <f t="shared" si="33"/>
        <v>42047.94</v>
      </c>
      <c r="S257" s="18">
        <f t="shared" si="34"/>
        <v>935.96</v>
      </c>
      <c r="T257" s="18">
        <f t="shared" si="35"/>
        <v>905.96</v>
      </c>
    </row>
    <row r="258" spans="2:20" x14ac:dyDescent="0.35">
      <c r="B258" s="29">
        <f>IF(B257="","",IF(B257+1&gt;Comparateur!$C$47,"",B257+1))</f>
        <v>251</v>
      </c>
      <c r="C258" s="18">
        <f>IF(OR($B258="",Comparateur!C$17&lt;&gt;"OK",$B258&gt;Comparateur!C$11),"",ROUND(F257*Comparateur!C$10/12,2))</f>
        <v>110.95</v>
      </c>
      <c r="D258" s="18">
        <f>IF(C258="","",IF($B258=Comparateur!C$11,F257,Comparateur!C$20-C258))</f>
        <v>766.21999999999991</v>
      </c>
      <c r="E258" s="18">
        <f>IF(C258="","",ROUND(IF(Comparateur!C$12=Paramètres!$B$36,Comparateur!C$9,F257)*Comparateur!C$13/12,2))</f>
        <v>63</v>
      </c>
      <c r="F258" s="31">
        <f t="shared" si="27"/>
        <v>40200.239999999998</v>
      </c>
      <c r="G258" s="18">
        <f t="shared" si="28"/>
        <v>940.17</v>
      </c>
      <c r="H258" s="18">
        <f t="shared" si="29"/>
        <v>877.17</v>
      </c>
      <c r="I258" s="18">
        <f>IF(OR($B258="",Comparateur!D$17&lt;&gt;"OK",$B258&gt;Comparateur!D$11),"",ROUND(L257*Comparateur!D$10/12,2))</f>
        <v>117.6</v>
      </c>
      <c r="J258" s="18">
        <f>IF(I258="","",IF($B258=Comparateur!D$11,L257,Comparateur!D$20-I258))</f>
        <v>773.9</v>
      </c>
      <c r="K258" s="18">
        <f>IF(I258="","",ROUND(IF(Comparateur!D$12=Paramètres!$B$36,Comparateur!D$9,L257)*Comparateur!D$13/12,2))</f>
        <v>6.23</v>
      </c>
      <c r="L258" s="31">
        <f t="shared" si="30"/>
        <v>40732</v>
      </c>
      <c r="M258" s="18">
        <f t="shared" si="31"/>
        <v>897.73</v>
      </c>
      <c r="N258" s="18">
        <f t="shared" si="32"/>
        <v>891.5</v>
      </c>
      <c r="O258" s="18">
        <f>IF(OR($B258="",Comparateur!E$17&lt;&gt;"OK",$B258&gt;Comparateur!E$11),"",ROUND(R257*Comparateur!E$10/12,2))</f>
        <v>124.39</v>
      </c>
      <c r="P258" s="18">
        <f>IF(O258="","",IF($B258=Comparateur!E$11,R257,Comparateur!E$20-O258))</f>
        <v>781.57</v>
      </c>
      <c r="Q258" s="18">
        <f>IF(O258="","",ROUND(IF(Comparateur!E$12=Paramètres!$B$36,Comparateur!E$9,R257)*Comparateur!E$13/12,2))</f>
        <v>30</v>
      </c>
      <c r="R258" s="31">
        <f t="shared" si="33"/>
        <v>41266.370000000003</v>
      </c>
      <c r="S258" s="18">
        <f t="shared" si="34"/>
        <v>935.96</v>
      </c>
      <c r="T258" s="18">
        <f t="shared" si="35"/>
        <v>905.96</v>
      </c>
    </row>
    <row r="259" spans="2:20" x14ac:dyDescent="0.35">
      <c r="B259" s="29">
        <f>IF(B258="","",IF(B258+1&gt;Comparateur!$C$47,"",B258+1))</f>
        <v>252</v>
      </c>
      <c r="C259" s="18">
        <f>IF(OR($B259="",Comparateur!C$17&lt;&gt;"OK",$B259&gt;Comparateur!C$11),"",ROUND(F258*Comparateur!C$10/12,2))</f>
        <v>108.88</v>
      </c>
      <c r="D259" s="18">
        <f>IF(C259="","",IF($B259=Comparateur!C$11,F258,Comparateur!C$20-C259))</f>
        <v>768.29</v>
      </c>
      <c r="E259" s="18">
        <f>IF(C259="","",ROUND(IF(Comparateur!C$12=Paramètres!$B$36,Comparateur!C$9,F258)*Comparateur!C$13/12,2))</f>
        <v>63</v>
      </c>
      <c r="F259" s="31">
        <f t="shared" si="27"/>
        <v>39431.949999999997</v>
      </c>
      <c r="G259" s="18">
        <f t="shared" si="28"/>
        <v>940.17</v>
      </c>
      <c r="H259" s="18">
        <f t="shared" si="29"/>
        <v>877.17</v>
      </c>
      <c r="I259" s="18">
        <f>IF(OR($B259="",Comparateur!D$17&lt;&gt;"OK",$B259&gt;Comparateur!D$11),"",ROUND(L258*Comparateur!D$10/12,2))</f>
        <v>115.41</v>
      </c>
      <c r="J259" s="18">
        <f>IF(I259="","",IF($B259=Comparateur!D$11,L258,Comparateur!D$20-I259))</f>
        <v>776.09</v>
      </c>
      <c r="K259" s="18">
        <f>IF(I259="","",ROUND(IF(Comparateur!D$12=Paramètres!$B$36,Comparateur!D$9,L258)*Comparateur!D$13/12,2))</f>
        <v>6.11</v>
      </c>
      <c r="L259" s="31">
        <f t="shared" si="30"/>
        <v>39955.910000000003</v>
      </c>
      <c r="M259" s="18">
        <f t="shared" si="31"/>
        <v>897.61</v>
      </c>
      <c r="N259" s="18">
        <f t="shared" si="32"/>
        <v>891.5</v>
      </c>
      <c r="O259" s="18">
        <f>IF(OR($B259="",Comparateur!E$17&lt;&gt;"OK",$B259&gt;Comparateur!E$11),"",ROUND(R258*Comparateur!E$10/12,2))</f>
        <v>122.08</v>
      </c>
      <c r="P259" s="18">
        <f>IF(O259="","",IF($B259=Comparateur!E$11,R258,Comparateur!E$20-O259))</f>
        <v>783.88</v>
      </c>
      <c r="Q259" s="18">
        <f>IF(O259="","",ROUND(IF(Comparateur!E$12=Paramètres!$B$36,Comparateur!E$9,R258)*Comparateur!E$13/12,2))</f>
        <v>30</v>
      </c>
      <c r="R259" s="31">
        <f t="shared" si="33"/>
        <v>40482.49</v>
      </c>
      <c r="S259" s="18">
        <f t="shared" si="34"/>
        <v>935.96</v>
      </c>
      <c r="T259" s="18">
        <f t="shared" si="35"/>
        <v>905.96</v>
      </c>
    </row>
    <row r="260" spans="2:20" x14ac:dyDescent="0.35">
      <c r="B260" s="29">
        <f>IF(B259="","",IF(B259+1&gt;Comparateur!$C$47,"",B259+1))</f>
        <v>253</v>
      </c>
      <c r="C260" s="18">
        <f>IF(OR($B260="",Comparateur!C$17&lt;&gt;"OK",$B260&gt;Comparateur!C$11),"",ROUND(F259*Comparateur!C$10/12,2))</f>
        <v>106.79</v>
      </c>
      <c r="D260" s="18">
        <f>IF(C260="","",IF($B260=Comparateur!C$11,F259,Comparateur!C$20-C260))</f>
        <v>770.38</v>
      </c>
      <c r="E260" s="18">
        <f>IF(C260="","",ROUND(IF(Comparateur!C$12=Paramètres!$B$36,Comparateur!C$9,F259)*Comparateur!C$13/12,2))</f>
        <v>63</v>
      </c>
      <c r="F260" s="31">
        <f t="shared" si="27"/>
        <v>38661.57</v>
      </c>
      <c r="G260" s="18">
        <f t="shared" si="28"/>
        <v>940.17</v>
      </c>
      <c r="H260" s="18">
        <f t="shared" si="29"/>
        <v>877.17</v>
      </c>
      <c r="I260" s="18">
        <f>IF(OR($B260="",Comparateur!D$17&lt;&gt;"OK",$B260&gt;Comparateur!D$11),"",ROUND(L259*Comparateur!D$10/12,2))</f>
        <v>113.21</v>
      </c>
      <c r="J260" s="18">
        <f>IF(I260="","",IF($B260=Comparateur!D$11,L259,Comparateur!D$20-I260))</f>
        <v>778.29</v>
      </c>
      <c r="K260" s="18">
        <f>IF(I260="","",ROUND(IF(Comparateur!D$12=Paramètres!$B$36,Comparateur!D$9,L259)*Comparateur!D$13/12,2))</f>
        <v>5.99</v>
      </c>
      <c r="L260" s="31">
        <f t="shared" si="30"/>
        <v>39177.620000000003</v>
      </c>
      <c r="M260" s="18">
        <f t="shared" si="31"/>
        <v>897.49</v>
      </c>
      <c r="N260" s="18">
        <f t="shared" si="32"/>
        <v>891.5</v>
      </c>
      <c r="O260" s="18">
        <f>IF(OR($B260="",Comparateur!E$17&lt;&gt;"OK",$B260&gt;Comparateur!E$11),"",ROUND(R259*Comparateur!E$10/12,2))</f>
        <v>119.76</v>
      </c>
      <c r="P260" s="18">
        <f>IF(O260="","",IF($B260=Comparateur!E$11,R259,Comparateur!E$20-O260))</f>
        <v>786.2</v>
      </c>
      <c r="Q260" s="18">
        <f>IF(O260="","",ROUND(IF(Comparateur!E$12=Paramètres!$B$36,Comparateur!E$9,R259)*Comparateur!E$13/12,2))</f>
        <v>30</v>
      </c>
      <c r="R260" s="31">
        <f t="shared" si="33"/>
        <v>39696.29</v>
      </c>
      <c r="S260" s="18">
        <f t="shared" si="34"/>
        <v>935.96</v>
      </c>
      <c r="T260" s="18">
        <f t="shared" si="35"/>
        <v>905.96</v>
      </c>
    </row>
    <row r="261" spans="2:20" x14ac:dyDescent="0.35">
      <c r="B261" s="29">
        <f>IF(B260="","",IF(B260+1&gt;Comparateur!$C$47,"",B260+1))</f>
        <v>254</v>
      </c>
      <c r="C261" s="18">
        <f>IF(OR($B261="",Comparateur!C$17&lt;&gt;"OK",$B261&gt;Comparateur!C$11),"",ROUND(F260*Comparateur!C$10/12,2))</f>
        <v>104.71</v>
      </c>
      <c r="D261" s="18">
        <f>IF(C261="","",IF($B261=Comparateur!C$11,F260,Comparateur!C$20-C261))</f>
        <v>772.45999999999992</v>
      </c>
      <c r="E261" s="18">
        <f>IF(C261="","",ROUND(IF(Comparateur!C$12=Paramètres!$B$36,Comparateur!C$9,F260)*Comparateur!C$13/12,2))</f>
        <v>63</v>
      </c>
      <c r="F261" s="31">
        <f t="shared" si="27"/>
        <v>37889.11</v>
      </c>
      <c r="G261" s="18">
        <f t="shared" si="28"/>
        <v>940.17</v>
      </c>
      <c r="H261" s="18">
        <f t="shared" si="29"/>
        <v>877.17</v>
      </c>
      <c r="I261" s="18">
        <f>IF(OR($B261="",Comparateur!D$17&lt;&gt;"OK",$B261&gt;Comparateur!D$11),"",ROUND(L260*Comparateur!D$10/12,2))</f>
        <v>111</v>
      </c>
      <c r="J261" s="18">
        <f>IF(I261="","",IF($B261=Comparateur!D$11,L260,Comparateur!D$20-I261))</f>
        <v>780.5</v>
      </c>
      <c r="K261" s="18">
        <f>IF(I261="","",ROUND(IF(Comparateur!D$12=Paramètres!$B$36,Comparateur!D$9,L260)*Comparateur!D$13/12,2))</f>
        <v>5.88</v>
      </c>
      <c r="L261" s="31">
        <f t="shared" si="30"/>
        <v>38397.120000000003</v>
      </c>
      <c r="M261" s="18">
        <f t="shared" si="31"/>
        <v>897.38</v>
      </c>
      <c r="N261" s="18">
        <f t="shared" si="32"/>
        <v>891.5</v>
      </c>
      <c r="O261" s="18">
        <f>IF(OR($B261="",Comparateur!E$17&lt;&gt;"OK",$B261&gt;Comparateur!E$11),"",ROUND(R260*Comparateur!E$10/12,2))</f>
        <v>117.43</v>
      </c>
      <c r="P261" s="18">
        <f>IF(O261="","",IF($B261=Comparateur!E$11,R260,Comparateur!E$20-O261))</f>
        <v>788.53</v>
      </c>
      <c r="Q261" s="18">
        <f>IF(O261="","",ROUND(IF(Comparateur!E$12=Paramètres!$B$36,Comparateur!E$9,R260)*Comparateur!E$13/12,2))</f>
        <v>30</v>
      </c>
      <c r="R261" s="31">
        <f t="shared" si="33"/>
        <v>38907.760000000002</v>
      </c>
      <c r="S261" s="18">
        <f t="shared" si="34"/>
        <v>935.96</v>
      </c>
      <c r="T261" s="18">
        <f t="shared" si="35"/>
        <v>905.96</v>
      </c>
    </row>
    <row r="262" spans="2:20" x14ac:dyDescent="0.35">
      <c r="B262" s="29">
        <f>IF(B261="","",IF(B261+1&gt;Comparateur!$C$47,"",B261+1))</f>
        <v>255</v>
      </c>
      <c r="C262" s="18">
        <f>IF(OR($B262="",Comparateur!C$17&lt;&gt;"OK",$B262&gt;Comparateur!C$11),"",ROUND(F261*Comparateur!C$10/12,2))</f>
        <v>102.62</v>
      </c>
      <c r="D262" s="18">
        <f>IF(C262="","",IF($B262=Comparateur!C$11,F261,Comparateur!C$20-C262))</f>
        <v>774.55</v>
      </c>
      <c r="E262" s="18">
        <f>IF(C262="","",ROUND(IF(Comparateur!C$12=Paramètres!$B$36,Comparateur!C$9,F261)*Comparateur!C$13/12,2))</f>
        <v>63</v>
      </c>
      <c r="F262" s="31">
        <f t="shared" si="27"/>
        <v>37114.559999999998</v>
      </c>
      <c r="G262" s="18">
        <f t="shared" si="28"/>
        <v>940.17</v>
      </c>
      <c r="H262" s="18">
        <f t="shared" si="29"/>
        <v>877.17</v>
      </c>
      <c r="I262" s="18">
        <f>IF(OR($B262="",Comparateur!D$17&lt;&gt;"OK",$B262&gt;Comparateur!D$11),"",ROUND(L261*Comparateur!D$10/12,2))</f>
        <v>108.79</v>
      </c>
      <c r="J262" s="18">
        <f>IF(I262="","",IF($B262=Comparateur!D$11,L261,Comparateur!D$20-I262))</f>
        <v>782.71</v>
      </c>
      <c r="K262" s="18">
        <f>IF(I262="","",ROUND(IF(Comparateur!D$12=Paramètres!$B$36,Comparateur!D$9,L261)*Comparateur!D$13/12,2))</f>
        <v>5.76</v>
      </c>
      <c r="L262" s="31">
        <f t="shared" si="30"/>
        <v>37614.410000000003</v>
      </c>
      <c r="M262" s="18">
        <f t="shared" si="31"/>
        <v>897.26</v>
      </c>
      <c r="N262" s="18">
        <f t="shared" si="32"/>
        <v>891.5</v>
      </c>
      <c r="O262" s="18">
        <f>IF(OR($B262="",Comparateur!E$17&lt;&gt;"OK",$B262&gt;Comparateur!E$11),"",ROUND(R261*Comparateur!E$10/12,2))</f>
        <v>115.1</v>
      </c>
      <c r="P262" s="18">
        <f>IF(O262="","",IF($B262=Comparateur!E$11,R261,Comparateur!E$20-O262))</f>
        <v>790.86</v>
      </c>
      <c r="Q262" s="18">
        <f>IF(O262="","",ROUND(IF(Comparateur!E$12=Paramètres!$B$36,Comparateur!E$9,R261)*Comparateur!E$13/12,2))</f>
        <v>30</v>
      </c>
      <c r="R262" s="31">
        <f t="shared" si="33"/>
        <v>38116.9</v>
      </c>
      <c r="S262" s="18">
        <f t="shared" si="34"/>
        <v>935.96</v>
      </c>
      <c r="T262" s="18">
        <f t="shared" si="35"/>
        <v>905.96</v>
      </c>
    </row>
    <row r="263" spans="2:20" x14ac:dyDescent="0.35">
      <c r="B263" s="29">
        <f>IF(B262="","",IF(B262+1&gt;Comparateur!$C$47,"",B262+1))</f>
        <v>256</v>
      </c>
      <c r="C263" s="18">
        <f>IF(OR($B263="",Comparateur!C$17&lt;&gt;"OK",$B263&gt;Comparateur!C$11),"",ROUND(F262*Comparateur!C$10/12,2))</f>
        <v>100.52</v>
      </c>
      <c r="D263" s="18">
        <f>IF(C263="","",IF($B263=Comparateur!C$11,F262,Comparateur!C$20-C263))</f>
        <v>776.65</v>
      </c>
      <c r="E263" s="18">
        <f>IF(C263="","",ROUND(IF(Comparateur!C$12=Paramètres!$B$36,Comparateur!C$9,F262)*Comparateur!C$13/12,2))</f>
        <v>63</v>
      </c>
      <c r="F263" s="31">
        <f t="shared" si="27"/>
        <v>36337.910000000003</v>
      </c>
      <c r="G263" s="18">
        <f t="shared" si="28"/>
        <v>940.17</v>
      </c>
      <c r="H263" s="18">
        <f t="shared" si="29"/>
        <v>877.17</v>
      </c>
      <c r="I263" s="18">
        <f>IF(OR($B263="",Comparateur!D$17&lt;&gt;"OK",$B263&gt;Comparateur!D$11),"",ROUND(L262*Comparateur!D$10/12,2))</f>
        <v>106.57</v>
      </c>
      <c r="J263" s="18">
        <f>IF(I263="","",IF($B263=Comparateur!D$11,L262,Comparateur!D$20-I263))</f>
        <v>784.93000000000006</v>
      </c>
      <c r="K263" s="18">
        <f>IF(I263="","",ROUND(IF(Comparateur!D$12=Paramètres!$B$36,Comparateur!D$9,L262)*Comparateur!D$13/12,2))</f>
        <v>5.64</v>
      </c>
      <c r="L263" s="31">
        <f t="shared" si="30"/>
        <v>36829.480000000003</v>
      </c>
      <c r="M263" s="18">
        <f t="shared" si="31"/>
        <v>897.14</v>
      </c>
      <c r="N263" s="18">
        <f t="shared" si="32"/>
        <v>891.5</v>
      </c>
      <c r="O263" s="18">
        <f>IF(OR($B263="",Comparateur!E$17&lt;&gt;"OK",$B263&gt;Comparateur!E$11),"",ROUND(R262*Comparateur!E$10/12,2))</f>
        <v>112.76</v>
      </c>
      <c r="P263" s="18">
        <f>IF(O263="","",IF($B263=Comparateur!E$11,R262,Comparateur!E$20-O263))</f>
        <v>793.2</v>
      </c>
      <c r="Q263" s="18">
        <f>IF(O263="","",ROUND(IF(Comparateur!E$12=Paramètres!$B$36,Comparateur!E$9,R262)*Comparateur!E$13/12,2))</f>
        <v>30</v>
      </c>
      <c r="R263" s="31">
        <f t="shared" si="33"/>
        <v>37323.699999999997</v>
      </c>
      <c r="S263" s="18">
        <f t="shared" si="34"/>
        <v>935.96</v>
      </c>
      <c r="T263" s="18">
        <f t="shared" si="35"/>
        <v>905.96</v>
      </c>
    </row>
    <row r="264" spans="2:20" x14ac:dyDescent="0.35">
      <c r="B264" s="29">
        <f>IF(B263="","",IF(B263+1&gt;Comparateur!$C$47,"",B263+1))</f>
        <v>257</v>
      </c>
      <c r="C264" s="18">
        <f>IF(OR($B264="",Comparateur!C$17&lt;&gt;"OK",$B264&gt;Comparateur!C$11),"",ROUND(F263*Comparateur!C$10/12,2))</f>
        <v>98.42</v>
      </c>
      <c r="D264" s="18">
        <f>IF(C264="","",IF($B264=Comparateur!C$11,F263,Comparateur!C$20-C264))</f>
        <v>778.75</v>
      </c>
      <c r="E264" s="18">
        <f>IF(C264="","",ROUND(IF(Comparateur!C$12=Paramètres!$B$36,Comparateur!C$9,F263)*Comparateur!C$13/12,2))</f>
        <v>63</v>
      </c>
      <c r="F264" s="31">
        <f t="shared" ref="F264:F327" si="36">IF(C264="","",ROUND(F263-D264,2))</f>
        <v>35559.160000000003</v>
      </c>
      <c r="G264" s="18">
        <f t="shared" ref="G264:G327" si="37">IF(C264="","",C264+D264+E264)</f>
        <v>940.17</v>
      </c>
      <c r="H264" s="18">
        <f t="shared" ref="H264:H327" si="38">IF(C264="","",C264+D264)</f>
        <v>877.17</v>
      </c>
      <c r="I264" s="18">
        <f>IF(OR($B264="",Comparateur!D$17&lt;&gt;"OK",$B264&gt;Comparateur!D$11),"",ROUND(L263*Comparateur!D$10/12,2))</f>
        <v>104.35</v>
      </c>
      <c r="J264" s="18">
        <f>IF(I264="","",IF($B264=Comparateur!D$11,L263,Comparateur!D$20-I264))</f>
        <v>787.15</v>
      </c>
      <c r="K264" s="18">
        <f>IF(I264="","",ROUND(IF(Comparateur!D$12=Paramètres!$B$36,Comparateur!D$9,L263)*Comparateur!D$13/12,2))</f>
        <v>5.52</v>
      </c>
      <c r="L264" s="31">
        <f t="shared" ref="L264:L327" si="39">IF(I264="","",ROUND(L263-J264,2))</f>
        <v>36042.33</v>
      </c>
      <c r="M264" s="18">
        <f t="shared" ref="M264:M327" si="40">IF(I264="","",I264+J264+K264)</f>
        <v>897.02</v>
      </c>
      <c r="N264" s="18">
        <f t="shared" ref="N264:N327" si="41">IF(I264="","",I264+J264)</f>
        <v>891.5</v>
      </c>
      <c r="O264" s="18">
        <f>IF(OR($B264="",Comparateur!E$17&lt;&gt;"OK",$B264&gt;Comparateur!E$11),"",ROUND(R263*Comparateur!E$10/12,2))</f>
        <v>110.42</v>
      </c>
      <c r="P264" s="18">
        <f>IF(O264="","",IF($B264=Comparateur!E$11,R263,Comparateur!E$20-O264))</f>
        <v>795.54000000000008</v>
      </c>
      <c r="Q264" s="18">
        <f>IF(O264="","",ROUND(IF(Comparateur!E$12=Paramètres!$B$36,Comparateur!E$9,R263)*Comparateur!E$13/12,2))</f>
        <v>30</v>
      </c>
      <c r="R264" s="31">
        <f t="shared" ref="R264:R327" si="42">IF(O264="","",ROUND(R263-P264,2))</f>
        <v>36528.160000000003</v>
      </c>
      <c r="S264" s="18">
        <f t="shared" ref="S264:S327" si="43">IF(O264="","",O264+P264+Q264)</f>
        <v>935.96</v>
      </c>
      <c r="T264" s="18">
        <f t="shared" ref="T264:T327" si="44">IF(O264="","",O264+P264)</f>
        <v>905.96</v>
      </c>
    </row>
    <row r="265" spans="2:20" x14ac:dyDescent="0.35">
      <c r="B265" s="29">
        <f>IF(B264="","",IF(B264+1&gt;Comparateur!$C$47,"",B264+1))</f>
        <v>258</v>
      </c>
      <c r="C265" s="18">
        <f>IF(OR($B265="",Comparateur!C$17&lt;&gt;"OK",$B265&gt;Comparateur!C$11),"",ROUND(F264*Comparateur!C$10/12,2))</f>
        <v>96.31</v>
      </c>
      <c r="D265" s="18">
        <f>IF(C265="","",IF($B265=Comparateur!C$11,F264,Comparateur!C$20-C265))</f>
        <v>780.8599999999999</v>
      </c>
      <c r="E265" s="18">
        <f>IF(C265="","",ROUND(IF(Comparateur!C$12=Paramètres!$B$36,Comparateur!C$9,F264)*Comparateur!C$13/12,2))</f>
        <v>63</v>
      </c>
      <c r="F265" s="31">
        <f t="shared" si="36"/>
        <v>34778.300000000003</v>
      </c>
      <c r="G265" s="18">
        <f t="shared" si="37"/>
        <v>940.16999999999985</v>
      </c>
      <c r="H265" s="18">
        <f t="shared" si="38"/>
        <v>877.16999999999985</v>
      </c>
      <c r="I265" s="18">
        <f>IF(OR($B265="",Comparateur!D$17&lt;&gt;"OK",$B265&gt;Comparateur!D$11),"",ROUND(L264*Comparateur!D$10/12,2))</f>
        <v>102.12</v>
      </c>
      <c r="J265" s="18">
        <f>IF(I265="","",IF($B265=Comparateur!D$11,L264,Comparateur!D$20-I265))</f>
        <v>789.38</v>
      </c>
      <c r="K265" s="18">
        <f>IF(I265="","",ROUND(IF(Comparateur!D$12=Paramètres!$B$36,Comparateur!D$9,L264)*Comparateur!D$13/12,2))</f>
        <v>5.41</v>
      </c>
      <c r="L265" s="31">
        <f t="shared" si="39"/>
        <v>35252.949999999997</v>
      </c>
      <c r="M265" s="18">
        <f t="shared" si="40"/>
        <v>896.91</v>
      </c>
      <c r="N265" s="18">
        <f t="shared" si="41"/>
        <v>891.5</v>
      </c>
      <c r="O265" s="18">
        <f>IF(OR($B265="",Comparateur!E$17&lt;&gt;"OK",$B265&gt;Comparateur!E$11),"",ROUND(R264*Comparateur!E$10/12,2))</f>
        <v>108.06</v>
      </c>
      <c r="P265" s="18">
        <f>IF(O265="","",IF($B265=Comparateur!E$11,R264,Comparateur!E$20-O265))</f>
        <v>797.90000000000009</v>
      </c>
      <c r="Q265" s="18">
        <f>IF(O265="","",ROUND(IF(Comparateur!E$12=Paramètres!$B$36,Comparateur!E$9,R264)*Comparateur!E$13/12,2))</f>
        <v>30</v>
      </c>
      <c r="R265" s="31">
        <f t="shared" si="42"/>
        <v>35730.26</v>
      </c>
      <c r="S265" s="18">
        <f t="shared" si="43"/>
        <v>935.96</v>
      </c>
      <c r="T265" s="18">
        <f t="shared" si="44"/>
        <v>905.96</v>
      </c>
    </row>
    <row r="266" spans="2:20" x14ac:dyDescent="0.35">
      <c r="B266" s="29">
        <f>IF(B265="","",IF(B265+1&gt;Comparateur!$C$47,"",B265+1))</f>
        <v>259</v>
      </c>
      <c r="C266" s="18">
        <f>IF(OR($B266="",Comparateur!C$17&lt;&gt;"OK",$B266&gt;Comparateur!C$11),"",ROUND(F265*Comparateur!C$10/12,2))</f>
        <v>94.19</v>
      </c>
      <c r="D266" s="18">
        <f>IF(C266="","",IF($B266=Comparateur!C$11,F265,Comparateur!C$20-C266))</f>
        <v>782.98</v>
      </c>
      <c r="E266" s="18">
        <f>IF(C266="","",ROUND(IF(Comparateur!C$12=Paramètres!$B$36,Comparateur!C$9,F265)*Comparateur!C$13/12,2))</f>
        <v>63</v>
      </c>
      <c r="F266" s="31">
        <f t="shared" si="36"/>
        <v>33995.32</v>
      </c>
      <c r="G266" s="18">
        <f t="shared" si="37"/>
        <v>940.17000000000007</v>
      </c>
      <c r="H266" s="18">
        <f t="shared" si="38"/>
        <v>877.17000000000007</v>
      </c>
      <c r="I266" s="18">
        <f>IF(OR($B266="",Comparateur!D$17&lt;&gt;"OK",$B266&gt;Comparateur!D$11),"",ROUND(L265*Comparateur!D$10/12,2))</f>
        <v>99.88</v>
      </c>
      <c r="J266" s="18">
        <f>IF(I266="","",IF($B266=Comparateur!D$11,L265,Comparateur!D$20-I266))</f>
        <v>791.62</v>
      </c>
      <c r="K266" s="18">
        <f>IF(I266="","",ROUND(IF(Comparateur!D$12=Paramètres!$B$36,Comparateur!D$9,L265)*Comparateur!D$13/12,2))</f>
        <v>5.29</v>
      </c>
      <c r="L266" s="31">
        <f t="shared" si="39"/>
        <v>34461.33</v>
      </c>
      <c r="M266" s="18">
        <f t="shared" si="40"/>
        <v>896.79</v>
      </c>
      <c r="N266" s="18">
        <f t="shared" si="41"/>
        <v>891.5</v>
      </c>
      <c r="O266" s="18">
        <f>IF(OR($B266="",Comparateur!E$17&lt;&gt;"OK",$B266&gt;Comparateur!E$11),"",ROUND(R265*Comparateur!E$10/12,2))</f>
        <v>105.7</v>
      </c>
      <c r="P266" s="18">
        <f>IF(O266="","",IF($B266=Comparateur!E$11,R265,Comparateur!E$20-O266))</f>
        <v>800.26</v>
      </c>
      <c r="Q266" s="18">
        <f>IF(O266="","",ROUND(IF(Comparateur!E$12=Paramètres!$B$36,Comparateur!E$9,R265)*Comparateur!E$13/12,2))</f>
        <v>30</v>
      </c>
      <c r="R266" s="31">
        <f t="shared" si="42"/>
        <v>34930</v>
      </c>
      <c r="S266" s="18">
        <f t="shared" si="43"/>
        <v>935.96</v>
      </c>
      <c r="T266" s="18">
        <f t="shared" si="44"/>
        <v>905.96</v>
      </c>
    </row>
    <row r="267" spans="2:20" x14ac:dyDescent="0.35">
      <c r="B267" s="29">
        <f>IF(B266="","",IF(B266+1&gt;Comparateur!$C$47,"",B266+1))</f>
        <v>260</v>
      </c>
      <c r="C267" s="18">
        <f>IF(OR($B267="",Comparateur!C$17&lt;&gt;"OK",$B267&gt;Comparateur!C$11),"",ROUND(F266*Comparateur!C$10/12,2))</f>
        <v>92.07</v>
      </c>
      <c r="D267" s="18">
        <f>IF(C267="","",IF($B267=Comparateur!C$11,F266,Comparateur!C$20-C267))</f>
        <v>785.09999999999991</v>
      </c>
      <c r="E267" s="18">
        <f>IF(C267="","",ROUND(IF(Comparateur!C$12=Paramètres!$B$36,Comparateur!C$9,F266)*Comparateur!C$13/12,2))</f>
        <v>63</v>
      </c>
      <c r="F267" s="31">
        <f t="shared" si="36"/>
        <v>33210.22</v>
      </c>
      <c r="G267" s="18">
        <f t="shared" si="37"/>
        <v>940.16999999999985</v>
      </c>
      <c r="H267" s="18">
        <f t="shared" si="38"/>
        <v>877.16999999999985</v>
      </c>
      <c r="I267" s="18">
        <f>IF(OR($B267="",Comparateur!D$17&lt;&gt;"OK",$B267&gt;Comparateur!D$11),"",ROUND(L266*Comparateur!D$10/12,2))</f>
        <v>97.64</v>
      </c>
      <c r="J267" s="18">
        <f>IF(I267="","",IF($B267=Comparateur!D$11,L266,Comparateur!D$20-I267))</f>
        <v>793.86</v>
      </c>
      <c r="K267" s="18">
        <f>IF(I267="","",ROUND(IF(Comparateur!D$12=Paramètres!$B$36,Comparateur!D$9,L266)*Comparateur!D$13/12,2))</f>
        <v>5.17</v>
      </c>
      <c r="L267" s="31">
        <f t="shared" si="39"/>
        <v>33667.47</v>
      </c>
      <c r="M267" s="18">
        <f t="shared" si="40"/>
        <v>896.67</v>
      </c>
      <c r="N267" s="18">
        <f t="shared" si="41"/>
        <v>891.5</v>
      </c>
      <c r="O267" s="18">
        <f>IF(OR($B267="",Comparateur!E$17&lt;&gt;"OK",$B267&gt;Comparateur!E$11),"",ROUND(R266*Comparateur!E$10/12,2))</f>
        <v>103.33</v>
      </c>
      <c r="P267" s="18">
        <f>IF(O267="","",IF($B267=Comparateur!E$11,R266,Comparateur!E$20-O267))</f>
        <v>802.63</v>
      </c>
      <c r="Q267" s="18">
        <f>IF(O267="","",ROUND(IF(Comparateur!E$12=Paramètres!$B$36,Comparateur!E$9,R266)*Comparateur!E$13/12,2))</f>
        <v>30</v>
      </c>
      <c r="R267" s="31">
        <f t="shared" si="42"/>
        <v>34127.370000000003</v>
      </c>
      <c r="S267" s="18">
        <f t="shared" si="43"/>
        <v>935.96</v>
      </c>
      <c r="T267" s="18">
        <f t="shared" si="44"/>
        <v>905.96</v>
      </c>
    </row>
    <row r="268" spans="2:20" x14ac:dyDescent="0.35">
      <c r="B268" s="29">
        <f>IF(B267="","",IF(B267+1&gt;Comparateur!$C$47,"",B267+1))</f>
        <v>261</v>
      </c>
      <c r="C268" s="18">
        <f>IF(OR($B268="",Comparateur!C$17&lt;&gt;"OK",$B268&gt;Comparateur!C$11),"",ROUND(F267*Comparateur!C$10/12,2))</f>
        <v>89.94</v>
      </c>
      <c r="D268" s="18">
        <f>IF(C268="","",IF($B268=Comparateur!C$11,F267,Comparateur!C$20-C268))</f>
        <v>787.23</v>
      </c>
      <c r="E268" s="18">
        <f>IF(C268="","",ROUND(IF(Comparateur!C$12=Paramètres!$B$36,Comparateur!C$9,F267)*Comparateur!C$13/12,2))</f>
        <v>63</v>
      </c>
      <c r="F268" s="31">
        <f t="shared" si="36"/>
        <v>32422.99</v>
      </c>
      <c r="G268" s="18">
        <f t="shared" si="37"/>
        <v>940.17000000000007</v>
      </c>
      <c r="H268" s="18">
        <f t="shared" si="38"/>
        <v>877.17000000000007</v>
      </c>
      <c r="I268" s="18">
        <f>IF(OR($B268="",Comparateur!D$17&lt;&gt;"OK",$B268&gt;Comparateur!D$11),"",ROUND(L267*Comparateur!D$10/12,2))</f>
        <v>95.39</v>
      </c>
      <c r="J268" s="18">
        <f>IF(I268="","",IF($B268=Comparateur!D$11,L267,Comparateur!D$20-I268))</f>
        <v>796.11</v>
      </c>
      <c r="K268" s="18">
        <f>IF(I268="","",ROUND(IF(Comparateur!D$12=Paramètres!$B$36,Comparateur!D$9,L267)*Comparateur!D$13/12,2))</f>
        <v>5.05</v>
      </c>
      <c r="L268" s="31">
        <f t="shared" si="39"/>
        <v>32871.360000000001</v>
      </c>
      <c r="M268" s="18">
        <f t="shared" si="40"/>
        <v>896.55</v>
      </c>
      <c r="N268" s="18">
        <f t="shared" si="41"/>
        <v>891.5</v>
      </c>
      <c r="O268" s="18">
        <f>IF(OR($B268="",Comparateur!E$17&lt;&gt;"OK",$B268&gt;Comparateur!E$11),"",ROUND(R267*Comparateur!E$10/12,2))</f>
        <v>100.96</v>
      </c>
      <c r="P268" s="18">
        <f>IF(O268="","",IF($B268=Comparateur!E$11,R267,Comparateur!E$20-O268))</f>
        <v>805</v>
      </c>
      <c r="Q268" s="18">
        <f>IF(O268="","",ROUND(IF(Comparateur!E$12=Paramètres!$B$36,Comparateur!E$9,R267)*Comparateur!E$13/12,2))</f>
        <v>30</v>
      </c>
      <c r="R268" s="31">
        <f t="shared" si="42"/>
        <v>33322.370000000003</v>
      </c>
      <c r="S268" s="18">
        <f t="shared" si="43"/>
        <v>935.96</v>
      </c>
      <c r="T268" s="18">
        <f t="shared" si="44"/>
        <v>905.96</v>
      </c>
    </row>
    <row r="269" spans="2:20" x14ac:dyDescent="0.35">
      <c r="B269" s="29">
        <f>IF(B268="","",IF(B268+1&gt;Comparateur!$C$47,"",B268+1))</f>
        <v>262</v>
      </c>
      <c r="C269" s="18">
        <f>IF(OR($B269="",Comparateur!C$17&lt;&gt;"OK",$B269&gt;Comparateur!C$11),"",ROUND(F268*Comparateur!C$10/12,2))</f>
        <v>87.81</v>
      </c>
      <c r="D269" s="18">
        <f>IF(C269="","",IF($B269=Comparateur!C$11,F268,Comparateur!C$20-C269))</f>
        <v>789.3599999999999</v>
      </c>
      <c r="E269" s="18">
        <f>IF(C269="","",ROUND(IF(Comparateur!C$12=Paramètres!$B$36,Comparateur!C$9,F268)*Comparateur!C$13/12,2))</f>
        <v>63</v>
      </c>
      <c r="F269" s="31">
        <f t="shared" si="36"/>
        <v>31633.63</v>
      </c>
      <c r="G269" s="18">
        <f t="shared" si="37"/>
        <v>940.16999999999985</v>
      </c>
      <c r="H269" s="18">
        <f t="shared" si="38"/>
        <v>877.16999999999985</v>
      </c>
      <c r="I269" s="18">
        <f>IF(OR($B269="",Comparateur!D$17&lt;&gt;"OK",$B269&gt;Comparateur!D$11),"",ROUND(L268*Comparateur!D$10/12,2))</f>
        <v>93.14</v>
      </c>
      <c r="J269" s="18">
        <f>IF(I269="","",IF($B269=Comparateur!D$11,L268,Comparateur!D$20-I269))</f>
        <v>798.36</v>
      </c>
      <c r="K269" s="18">
        <f>IF(I269="","",ROUND(IF(Comparateur!D$12=Paramètres!$B$36,Comparateur!D$9,L268)*Comparateur!D$13/12,2))</f>
        <v>4.93</v>
      </c>
      <c r="L269" s="31">
        <f t="shared" si="39"/>
        <v>32073</v>
      </c>
      <c r="M269" s="18">
        <f t="shared" si="40"/>
        <v>896.43</v>
      </c>
      <c r="N269" s="18">
        <f t="shared" si="41"/>
        <v>891.5</v>
      </c>
      <c r="O269" s="18">
        <f>IF(OR($B269="",Comparateur!E$17&lt;&gt;"OK",$B269&gt;Comparateur!E$11),"",ROUND(R268*Comparateur!E$10/12,2))</f>
        <v>98.58</v>
      </c>
      <c r="P269" s="18">
        <f>IF(O269="","",IF($B269=Comparateur!E$11,R268,Comparateur!E$20-O269))</f>
        <v>807.38</v>
      </c>
      <c r="Q269" s="18">
        <f>IF(O269="","",ROUND(IF(Comparateur!E$12=Paramètres!$B$36,Comparateur!E$9,R268)*Comparateur!E$13/12,2))</f>
        <v>30</v>
      </c>
      <c r="R269" s="31">
        <f t="shared" si="42"/>
        <v>32514.99</v>
      </c>
      <c r="S269" s="18">
        <f t="shared" si="43"/>
        <v>935.96</v>
      </c>
      <c r="T269" s="18">
        <f t="shared" si="44"/>
        <v>905.96</v>
      </c>
    </row>
    <row r="270" spans="2:20" x14ac:dyDescent="0.35">
      <c r="B270" s="29">
        <f>IF(B269="","",IF(B269+1&gt;Comparateur!$C$47,"",B269+1))</f>
        <v>263</v>
      </c>
      <c r="C270" s="18">
        <f>IF(OR($B270="",Comparateur!C$17&lt;&gt;"OK",$B270&gt;Comparateur!C$11),"",ROUND(F269*Comparateur!C$10/12,2))</f>
        <v>85.67</v>
      </c>
      <c r="D270" s="18">
        <f>IF(C270="","",IF($B270=Comparateur!C$11,F269,Comparateur!C$20-C270))</f>
        <v>791.5</v>
      </c>
      <c r="E270" s="18">
        <f>IF(C270="","",ROUND(IF(Comparateur!C$12=Paramètres!$B$36,Comparateur!C$9,F269)*Comparateur!C$13/12,2))</f>
        <v>63</v>
      </c>
      <c r="F270" s="31">
        <f t="shared" si="36"/>
        <v>30842.13</v>
      </c>
      <c r="G270" s="18">
        <f t="shared" si="37"/>
        <v>940.17</v>
      </c>
      <c r="H270" s="18">
        <f t="shared" si="38"/>
        <v>877.17</v>
      </c>
      <c r="I270" s="18">
        <f>IF(OR($B270="",Comparateur!D$17&lt;&gt;"OK",$B270&gt;Comparateur!D$11),"",ROUND(L269*Comparateur!D$10/12,2))</f>
        <v>90.87</v>
      </c>
      <c r="J270" s="18">
        <f>IF(I270="","",IF($B270=Comparateur!D$11,L269,Comparateur!D$20-I270))</f>
        <v>800.63</v>
      </c>
      <c r="K270" s="18">
        <f>IF(I270="","",ROUND(IF(Comparateur!D$12=Paramètres!$B$36,Comparateur!D$9,L269)*Comparateur!D$13/12,2))</f>
        <v>4.8099999999999996</v>
      </c>
      <c r="L270" s="31">
        <f t="shared" si="39"/>
        <v>31272.37</v>
      </c>
      <c r="M270" s="18">
        <f t="shared" si="40"/>
        <v>896.31</v>
      </c>
      <c r="N270" s="18">
        <f t="shared" si="41"/>
        <v>891.5</v>
      </c>
      <c r="O270" s="18">
        <f>IF(OR($B270="",Comparateur!E$17&lt;&gt;"OK",$B270&gt;Comparateur!E$11),"",ROUND(R269*Comparateur!E$10/12,2))</f>
        <v>96.19</v>
      </c>
      <c r="P270" s="18">
        <f>IF(O270="","",IF($B270=Comparateur!E$11,R269,Comparateur!E$20-O270))</f>
        <v>809.77</v>
      </c>
      <c r="Q270" s="18">
        <f>IF(O270="","",ROUND(IF(Comparateur!E$12=Paramètres!$B$36,Comparateur!E$9,R269)*Comparateur!E$13/12,2))</f>
        <v>30</v>
      </c>
      <c r="R270" s="31">
        <f t="shared" si="42"/>
        <v>31705.22</v>
      </c>
      <c r="S270" s="18">
        <f t="shared" si="43"/>
        <v>935.96</v>
      </c>
      <c r="T270" s="18">
        <f t="shared" si="44"/>
        <v>905.96</v>
      </c>
    </row>
    <row r="271" spans="2:20" x14ac:dyDescent="0.35">
      <c r="B271" s="29">
        <f>IF(B270="","",IF(B270+1&gt;Comparateur!$C$47,"",B270+1))</f>
        <v>264</v>
      </c>
      <c r="C271" s="18">
        <f>IF(OR($B271="",Comparateur!C$17&lt;&gt;"OK",$B271&gt;Comparateur!C$11),"",ROUND(F270*Comparateur!C$10/12,2))</f>
        <v>83.53</v>
      </c>
      <c r="D271" s="18">
        <f>IF(C271="","",IF($B271=Comparateur!C$11,F270,Comparateur!C$20-C271))</f>
        <v>793.64</v>
      </c>
      <c r="E271" s="18">
        <f>IF(C271="","",ROUND(IF(Comparateur!C$12=Paramètres!$B$36,Comparateur!C$9,F270)*Comparateur!C$13/12,2))</f>
        <v>63</v>
      </c>
      <c r="F271" s="31">
        <f t="shared" si="36"/>
        <v>30048.49</v>
      </c>
      <c r="G271" s="18">
        <f t="shared" si="37"/>
        <v>940.17</v>
      </c>
      <c r="H271" s="18">
        <f t="shared" si="38"/>
        <v>877.17</v>
      </c>
      <c r="I271" s="18">
        <f>IF(OR($B271="",Comparateur!D$17&lt;&gt;"OK",$B271&gt;Comparateur!D$11),"",ROUND(L270*Comparateur!D$10/12,2))</f>
        <v>88.61</v>
      </c>
      <c r="J271" s="18">
        <f>IF(I271="","",IF($B271=Comparateur!D$11,L270,Comparateur!D$20-I271))</f>
        <v>802.89</v>
      </c>
      <c r="K271" s="18">
        <f>IF(I271="","",ROUND(IF(Comparateur!D$12=Paramètres!$B$36,Comparateur!D$9,L270)*Comparateur!D$13/12,2))</f>
        <v>4.6900000000000004</v>
      </c>
      <c r="L271" s="31">
        <f t="shared" si="39"/>
        <v>30469.48</v>
      </c>
      <c r="M271" s="18">
        <f t="shared" si="40"/>
        <v>896.19</v>
      </c>
      <c r="N271" s="18">
        <f t="shared" si="41"/>
        <v>891.5</v>
      </c>
      <c r="O271" s="18">
        <f>IF(OR($B271="",Comparateur!E$17&lt;&gt;"OK",$B271&gt;Comparateur!E$11),"",ROUND(R270*Comparateur!E$10/12,2))</f>
        <v>93.79</v>
      </c>
      <c r="P271" s="18">
        <f>IF(O271="","",IF($B271=Comparateur!E$11,R270,Comparateur!E$20-O271))</f>
        <v>812.17000000000007</v>
      </c>
      <c r="Q271" s="18">
        <f>IF(O271="","",ROUND(IF(Comparateur!E$12=Paramètres!$B$36,Comparateur!E$9,R270)*Comparateur!E$13/12,2))</f>
        <v>30</v>
      </c>
      <c r="R271" s="31">
        <f t="shared" si="42"/>
        <v>30893.05</v>
      </c>
      <c r="S271" s="18">
        <f t="shared" si="43"/>
        <v>935.96</v>
      </c>
      <c r="T271" s="18">
        <f t="shared" si="44"/>
        <v>905.96</v>
      </c>
    </row>
    <row r="272" spans="2:20" x14ac:dyDescent="0.35">
      <c r="B272" s="29">
        <f>IF(B271="","",IF(B271+1&gt;Comparateur!$C$47,"",B271+1))</f>
        <v>265</v>
      </c>
      <c r="C272" s="18">
        <f>IF(OR($B272="",Comparateur!C$17&lt;&gt;"OK",$B272&gt;Comparateur!C$11),"",ROUND(F271*Comparateur!C$10/12,2))</f>
        <v>81.38</v>
      </c>
      <c r="D272" s="18">
        <f>IF(C272="","",IF($B272=Comparateur!C$11,F271,Comparateur!C$20-C272))</f>
        <v>795.79</v>
      </c>
      <c r="E272" s="18">
        <f>IF(C272="","",ROUND(IF(Comparateur!C$12=Paramètres!$B$36,Comparateur!C$9,F271)*Comparateur!C$13/12,2))</f>
        <v>63</v>
      </c>
      <c r="F272" s="31">
        <f t="shared" si="36"/>
        <v>29252.7</v>
      </c>
      <c r="G272" s="18">
        <f t="shared" si="37"/>
        <v>940.17</v>
      </c>
      <c r="H272" s="18">
        <f t="shared" si="38"/>
        <v>877.17</v>
      </c>
      <c r="I272" s="18">
        <f>IF(OR($B272="",Comparateur!D$17&lt;&gt;"OK",$B272&gt;Comparateur!D$11),"",ROUND(L271*Comparateur!D$10/12,2))</f>
        <v>86.33</v>
      </c>
      <c r="J272" s="18">
        <f>IF(I272="","",IF($B272=Comparateur!D$11,L271,Comparateur!D$20-I272))</f>
        <v>805.17</v>
      </c>
      <c r="K272" s="18">
        <f>IF(I272="","",ROUND(IF(Comparateur!D$12=Paramètres!$B$36,Comparateur!D$9,L271)*Comparateur!D$13/12,2))</f>
        <v>4.57</v>
      </c>
      <c r="L272" s="31">
        <f t="shared" si="39"/>
        <v>29664.31</v>
      </c>
      <c r="M272" s="18">
        <f t="shared" si="40"/>
        <v>896.07</v>
      </c>
      <c r="N272" s="18">
        <f t="shared" si="41"/>
        <v>891.5</v>
      </c>
      <c r="O272" s="18">
        <f>IF(OR($B272="",Comparateur!E$17&lt;&gt;"OK",$B272&gt;Comparateur!E$11),"",ROUND(R271*Comparateur!E$10/12,2))</f>
        <v>91.39</v>
      </c>
      <c r="P272" s="18">
        <f>IF(O272="","",IF($B272=Comparateur!E$11,R271,Comparateur!E$20-O272))</f>
        <v>814.57</v>
      </c>
      <c r="Q272" s="18">
        <f>IF(O272="","",ROUND(IF(Comparateur!E$12=Paramètres!$B$36,Comparateur!E$9,R271)*Comparateur!E$13/12,2))</f>
        <v>30</v>
      </c>
      <c r="R272" s="31">
        <f t="shared" si="42"/>
        <v>30078.48</v>
      </c>
      <c r="S272" s="18">
        <f t="shared" si="43"/>
        <v>935.96</v>
      </c>
      <c r="T272" s="18">
        <f t="shared" si="44"/>
        <v>905.96</v>
      </c>
    </row>
    <row r="273" spans="2:20" x14ac:dyDescent="0.35">
      <c r="B273" s="29">
        <f>IF(B272="","",IF(B272+1&gt;Comparateur!$C$47,"",B272+1))</f>
        <v>266</v>
      </c>
      <c r="C273" s="18">
        <f>IF(OR($B273="",Comparateur!C$17&lt;&gt;"OK",$B273&gt;Comparateur!C$11),"",ROUND(F272*Comparateur!C$10/12,2))</f>
        <v>79.23</v>
      </c>
      <c r="D273" s="18">
        <f>IF(C273="","",IF($B273=Comparateur!C$11,F272,Comparateur!C$20-C273))</f>
        <v>797.93999999999994</v>
      </c>
      <c r="E273" s="18">
        <f>IF(C273="","",ROUND(IF(Comparateur!C$12=Paramètres!$B$36,Comparateur!C$9,F272)*Comparateur!C$13/12,2))</f>
        <v>63</v>
      </c>
      <c r="F273" s="31">
        <f t="shared" si="36"/>
        <v>28454.76</v>
      </c>
      <c r="G273" s="18">
        <f t="shared" si="37"/>
        <v>940.17</v>
      </c>
      <c r="H273" s="18">
        <f t="shared" si="38"/>
        <v>877.17</v>
      </c>
      <c r="I273" s="18">
        <f>IF(OR($B273="",Comparateur!D$17&lt;&gt;"OK",$B273&gt;Comparateur!D$11),"",ROUND(L272*Comparateur!D$10/12,2))</f>
        <v>84.05</v>
      </c>
      <c r="J273" s="18">
        <f>IF(I273="","",IF($B273=Comparateur!D$11,L272,Comparateur!D$20-I273))</f>
        <v>807.45</v>
      </c>
      <c r="K273" s="18">
        <f>IF(I273="","",ROUND(IF(Comparateur!D$12=Paramètres!$B$36,Comparateur!D$9,L272)*Comparateur!D$13/12,2))</f>
        <v>4.45</v>
      </c>
      <c r="L273" s="31">
        <f t="shared" si="39"/>
        <v>28856.86</v>
      </c>
      <c r="M273" s="18">
        <f t="shared" si="40"/>
        <v>895.95</v>
      </c>
      <c r="N273" s="18">
        <f t="shared" si="41"/>
        <v>891.5</v>
      </c>
      <c r="O273" s="18">
        <f>IF(OR($B273="",Comparateur!E$17&lt;&gt;"OK",$B273&gt;Comparateur!E$11),"",ROUND(R272*Comparateur!E$10/12,2))</f>
        <v>88.98</v>
      </c>
      <c r="P273" s="18">
        <f>IF(O273="","",IF($B273=Comparateur!E$11,R272,Comparateur!E$20-O273))</f>
        <v>816.98</v>
      </c>
      <c r="Q273" s="18">
        <f>IF(O273="","",ROUND(IF(Comparateur!E$12=Paramètres!$B$36,Comparateur!E$9,R272)*Comparateur!E$13/12,2))</f>
        <v>30</v>
      </c>
      <c r="R273" s="31">
        <f t="shared" si="42"/>
        <v>29261.5</v>
      </c>
      <c r="S273" s="18">
        <f t="shared" si="43"/>
        <v>935.96</v>
      </c>
      <c r="T273" s="18">
        <f t="shared" si="44"/>
        <v>905.96</v>
      </c>
    </row>
    <row r="274" spans="2:20" x14ac:dyDescent="0.35">
      <c r="B274" s="29">
        <f>IF(B273="","",IF(B273+1&gt;Comparateur!$C$47,"",B273+1))</f>
        <v>267</v>
      </c>
      <c r="C274" s="18">
        <f>IF(OR($B274="",Comparateur!C$17&lt;&gt;"OK",$B274&gt;Comparateur!C$11),"",ROUND(F273*Comparateur!C$10/12,2))</f>
        <v>77.06</v>
      </c>
      <c r="D274" s="18">
        <f>IF(C274="","",IF($B274=Comparateur!C$11,F273,Comparateur!C$20-C274))</f>
        <v>800.1099999999999</v>
      </c>
      <c r="E274" s="18">
        <f>IF(C274="","",ROUND(IF(Comparateur!C$12=Paramètres!$B$36,Comparateur!C$9,F273)*Comparateur!C$13/12,2))</f>
        <v>63</v>
      </c>
      <c r="F274" s="31">
        <f t="shared" si="36"/>
        <v>27654.65</v>
      </c>
      <c r="G274" s="18">
        <f t="shared" si="37"/>
        <v>940.16999999999985</v>
      </c>
      <c r="H274" s="18">
        <f t="shared" si="38"/>
        <v>877.16999999999985</v>
      </c>
      <c r="I274" s="18">
        <f>IF(OR($B274="",Comparateur!D$17&lt;&gt;"OK",$B274&gt;Comparateur!D$11),"",ROUND(L273*Comparateur!D$10/12,2))</f>
        <v>81.760000000000005</v>
      </c>
      <c r="J274" s="18">
        <f>IF(I274="","",IF($B274=Comparateur!D$11,L273,Comparateur!D$20-I274))</f>
        <v>809.74</v>
      </c>
      <c r="K274" s="18">
        <f>IF(I274="","",ROUND(IF(Comparateur!D$12=Paramètres!$B$36,Comparateur!D$9,L273)*Comparateur!D$13/12,2))</f>
        <v>4.33</v>
      </c>
      <c r="L274" s="31">
        <f t="shared" si="39"/>
        <v>28047.119999999999</v>
      </c>
      <c r="M274" s="18">
        <f t="shared" si="40"/>
        <v>895.83</v>
      </c>
      <c r="N274" s="18">
        <f t="shared" si="41"/>
        <v>891.5</v>
      </c>
      <c r="O274" s="18">
        <f>IF(OR($B274="",Comparateur!E$17&lt;&gt;"OK",$B274&gt;Comparateur!E$11),"",ROUND(R273*Comparateur!E$10/12,2))</f>
        <v>86.57</v>
      </c>
      <c r="P274" s="18">
        <f>IF(O274="","",IF($B274=Comparateur!E$11,R273,Comparateur!E$20-O274))</f>
        <v>819.3900000000001</v>
      </c>
      <c r="Q274" s="18">
        <f>IF(O274="","",ROUND(IF(Comparateur!E$12=Paramètres!$B$36,Comparateur!E$9,R273)*Comparateur!E$13/12,2))</f>
        <v>30</v>
      </c>
      <c r="R274" s="31">
        <f t="shared" si="42"/>
        <v>28442.11</v>
      </c>
      <c r="S274" s="18">
        <f t="shared" si="43"/>
        <v>935.96</v>
      </c>
      <c r="T274" s="18">
        <f t="shared" si="44"/>
        <v>905.96</v>
      </c>
    </row>
    <row r="275" spans="2:20" x14ac:dyDescent="0.35">
      <c r="B275" s="29">
        <f>IF(B274="","",IF(B274+1&gt;Comparateur!$C$47,"",B274+1))</f>
        <v>268</v>
      </c>
      <c r="C275" s="18">
        <f>IF(OR($B275="",Comparateur!C$17&lt;&gt;"OK",$B275&gt;Comparateur!C$11),"",ROUND(F274*Comparateur!C$10/12,2))</f>
        <v>74.900000000000006</v>
      </c>
      <c r="D275" s="18">
        <f>IF(C275="","",IF($B275=Comparateur!C$11,F274,Comparateur!C$20-C275))</f>
        <v>802.27</v>
      </c>
      <c r="E275" s="18">
        <f>IF(C275="","",ROUND(IF(Comparateur!C$12=Paramètres!$B$36,Comparateur!C$9,F274)*Comparateur!C$13/12,2))</f>
        <v>63</v>
      </c>
      <c r="F275" s="31">
        <f t="shared" si="36"/>
        <v>26852.38</v>
      </c>
      <c r="G275" s="18">
        <f t="shared" si="37"/>
        <v>940.17</v>
      </c>
      <c r="H275" s="18">
        <f t="shared" si="38"/>
        <v>877.17</v>
      </c>
      <c r="I275" s="18">
        <f>IF(OR($B275="",Comparateur!D$17&lt;&gt;"OK",$B275&gt;Comparateur!D$11),"",ROUND(L274*Comparateur!D$10/12,2))</f>
        <v>79.47</v>
      </c>
      <c r="J275" s="18">
        <f>IF(I275="","",IF($B275=Comparateur!D$11,L274,Comparateur!D$20-I275))</f>
        <v>812.03</v>
      </c>
      <c r="K275" s="18">
        <f>IF(I275="","",ROUND(IF(Comparateur!D$12=Paramètres!$B$36,Comparateur!D$9,L274)*Comparateur!D$13/12,2))</f>
        <v>4.21</v>
      </c>
      <c r="L275" s="31">
        <f t="shared" si="39"/>
        <v>27235.09</v>
      </c>
      <c r="M275" s="18">
        <f t="shared" si="40"/>
        <v>895.71</v>
      </c>
      <c r="N275" s="18">
        <f t="shared" si="41"/>
        <v>891.5</v>
      </c>
      <c r="O275" s="18">
        <f>IF(OR($B275="",Comparateur!E$17&lt;&gt;"OK",$B275&gt;Comparateur!E$11),"",ROUND(R274*Comparateur!E$10/12,2))</f>
        <v>84.14</v>
      </c>
      <c r="P275" s="18">
        <f>IF(O275="","",IF($B275=Comparateur!E$11,R274,Comparateur!E$20-O275))</f>
        <v>821.82</v>
      </c>
      <c r="Q275" s="18">
        <f>IF(O275="","",ROUND(IF(Comparateur!E$12=Paramètres!$B$36,Comparateur!E$9,R274)*Comparateur!E$13/12,2))</f>
        <v>30</v>
      </c>
      <c r="R275" s="31">
        <f t="shared" si="42"/>
        <v>27620.29</v>
      </c>
      <c r="S275" s="18">
        <f t="shared" si="43"/>
        <v>935.96</v>
      </c>
      <c r="T275" s="18">
        <f t="shared" si="44"/>
        <v>905.96</v>
      </c>
    </row>
    <row r="276" spans="2:20" x14ac:dyDescent="0.35">
      <c r="B276" s="29">
        <f>IF(B275="","",IF(B275+1&gt;Comparateur!$C$47,"",B275+1))</f>
        <v>269</v>
      </c>
      <c r="C276" s="18">
        <f>IF(OR($B276="",Comparateur!C$17&lt;&gt;"OK",$B276&gt;Comparateur!C$11),"",ROUND(F275*Comparateur!C$10/12,2))</f>
        <v>72.73</v>
      </c>
      <c r="D276" s="18">
        <f>IF(C276="","",IF($B276=Comparateur!C$11,F275,Comparateur!C$20-C276))</f>
        <v>804.43999999999994</v>
      </c>
      <c r="E276" s="18">
        <f>IF(C276="","",ROUND(IF(Comparateur!C$12=Paramètres!$B$36,Comparateur!C$9,F275)*Comparateur!C$13/12,2))</f>
        <v>63</v>
      </c>
      <c r="F276" s="31">
        <f t="shared" si="36"/>
        <v>26047.94</v>
      </c>
      <c r="G276" s="18">
        <f t="shared" si="37"/>
        <v>940.17</v>
      </c>
      <c r="H276" s="18">
        <f t="shared" si="38"/>
        <v>877.17</v>
      </c>
      <c r="I276" s="18">
        <f>IF(OR($B276="",Comparateur!D$17&lt;&gt;"OK",$B276&gt;Comparateur!D$11),"",ROUND(L275*Comparateur!D$10/12,2))</f>
        <v>77.17</v>
      </c>
      <c r="J276" s="18">
        <f>IF(I276="","",IF($B276=Comparateur!D$11,L275,Comparateur!D$20-I276))</f>
        <v>814.33</v>
      </c>
      <c r="K276" s="18">
        <f>IF(I276="","",ROUND(IF(Comparateur!D$12=Paramètres!$B$36,Comparateur!D$9,L275)*Comparateur!D$13/12,2))</f>
        <v>4.09</v>
      </c>
      <c r="L276" s="31">
        <f t="shared" si="39"/>
        <v>26420.76</v>
      </c>
      <c r="M276" s="18">
        <f t="shared" si="40"/>
        <v>895.59</v>
      </c>
      <c r="N276" s="18">
        <f t="shared" si="41"/>
        <v>891.5</v>
      </c>
      <c r="O276" s="18">
        <f>IF(OR($B276="",Comparateur!E$17&lt;&gt;"OK",$B276&gt;Comparateur!E$11),"",ROUND(R275*Comparateur!E$10/12,2))</f>
        <v>81.709999999999994</v>
      </c>
      <c r="P276" s="18">
        <f>IF(O276="","",IF($B276=Comparateur!E$11,R275,Comparateur!E$20-O276))</f>
        <v>824.25</v>
      </c>
      <c r="Q276" s="18">
        <f>IF(O276="","",ROUND(IF(Comparateur!E$12=Paramètres!$B$36,Comparateur!E$9,R275)*Comparateur!E$13/12,2))</f>
        <v>30</v>
      </c>
      <c r="R276" s="31">
        <f t="shared" si="42"/>
        <v>26796.04</v>
      </c>
      <c r="S276" s="18">
        <f t="shared" si="43"/>
        <v>935.96</v>
      </c>
      <c r="T276" s="18">
        <f t="shared" si="44"/>
        <v>905.96</v>
      </c>
    </row>
    <row r="277" spans="2:20" x14ac:dyDescent="0.35">
      <c r="B277" s="29">
        <f>IF(B276="","",IF(B276+1&gt;Comparateur!$C$47,"",B276+1))</f>
        <v>270</v>
      </c>
      <c r="C277" s="18">
        <f>IF(OR($B277="",Comparateur!C$17&lt;&gt;"OK",$B277&gt;Comparateur!C$11),"",ROUND(F276*Comparateur!C$10/12,2))</f>
        <v>70.55</v>
      </c>
      <c r="D277" s="18">
        <f>IF(C277="","",IF($B277=Comparateur!C$11,F276,Comparateur!C$20-C277))</f>
        <v>806.62</v>
      </c>
      <c r="E277" s="18">
        <f>IF(C277="","",ROUND(IF(Comparateur!C$12=Paramètres!$B$36,Comparateur!C$9,F276)*Comparateur!C$13/12,2))</f>
        <v>63</v>
      </c>
      <c r="F277" s="31">
        <f t="shared" si="36"/>
        <v>25241.32</v>
      </c>
      <c r="G277" s="18">
        <f t="shared" si="37"/>
        <v>940.17</v>
      </c>
      <c r="H277" s="18">
        <f t="shared" si="38"/>
        <v>877.17</v>
      </c>
      <c r="I277" s="18">
        <f>IF(OR($B277="",Comparateur!D$17&lt;&gt;"OK",$B277&gt;Comparateur!D$11),"",ROUND(L276*Comparateur!D$10/12,2))</f>
        <v>74.86</v>
      </c>
      <c r="J277" s="18">
        <f>IF(I277="","",IF($B277=Comparateur!D$11,L276,Comparateur!D$20-I277))</f>
        <v>816.64</v>
      </c>
      <c r="K277" s="18">
        <f>IF(I277="","",ROUND(IF(Comparateur!D$12=Paramètres!$B$36,Comparateur!D$9,L276)*Comparateur!D$13/12,2))</f>
        <v>3.96</v>
      </c>
      <c r="L277" s="31">
        <f t="shared" si="39"/>
        <v>25604.12</v>
      </c>
      <c r="M277" s="18">
        <f t="shared" si="40"/>
        <v>895.46</v>
      </c>
      <c r="N277" s="18">
        <f t="shared" si="41"/>
        <v>891.5</v>
      </c>
      <c r="O277" s="18">
        <f>IF(OR($B277="",Comparateur!E$17&lt;&gt;"OK",$B277&gt;Comparateur!E$11),"",ROUND(R276*Comparateur!E$10/12,2))</f>
        <v>79.27</v>
      </c>
      <c r="P277" s="18">
        <f>IF(O277="","",IF($B277=Comparateur!E$11,R276,Comparateur!E$20-O277))</f>
        <v>826.69</v>
      </c>
      <c r="Q277" s="18">
        <f>IF(O277="","",ROUND(IF(Comparateur!E$12=Paramètres!$B$36,Comparateur!E$9,R276)*Comparateur!E$13/12,2))</f>
        <v>30</v>
      </c>
      <c r="R277" s="31">
        <f t="shared" si="42"/>
        <v>25969.35</v>
      </c>
      <c r="S277" s="18">
        <f t="shared" si="43"/>
        <v>935.96</v>
      </c>
      <c r="T277" s="18">
        <f t="shared" si="44"/>
        <v>905.96</v>
      </c>
    </row>
    <row r="278" spans="2:20" x14ac:dyDescent="0.35">
      <c r="B278" s="29">
        <f>IF(B277="","",IF(B277+1&gt;Comparateur!$C$47,"",B277+1))</f>
        <v>271</v>
      </c>
      <c r="C278" s="18">
        <f>IF(OR($B278="",Comparateur!C$17&lt;&gt;"OK",$B278&gt;Comparateur!C$11),"",ROUND(F277*Comparateur!C$10/12,2))</f>
        <v>68.36</v>
      </c>
      <c r="D278" s="18">
        <f>IF(C278="","",IF($B278=Comparateur!C$11,F277,Comparateur!C$20-C278))</f>
        <v>808.81</v>
      </c>
      <c r="E278" s="18">
        <f>IF(C278="","",ROUND(IF(Comparateur!C$12=Paramètres!$B$36,Comparateur!C$9,F277)*Comparateur!C$13/12,2))</f>
        <v>63</v>
      </c>
      <c r="F278" s="31">
        <f t="shared" si="36"/>
        <v>24432.51</v>
      </c>
      <c r="G278" s="18">
        <f t="shared" si="37"/>
        <v>940.17</v>
      </c>
      <c r="H278" s="18">
        <f t="shared" si="38"/>
        <v>877.17</v>
      </c>
      <c r="I278" s="18">
        <f>IF(OR($B278="",Comparateur!D$17&lt;&gt;"OK",$B278&gt;Comparateur!D$11),"",ROUND(L277*Comparateur!D$10/12,2))</f>
        <v>72.55</v>
      </c>
      <c r="J278" s="18">
        <f>IF(I278="","",IF($B278=Comparateur!D$11,L277,Comparateur!D$20-I278))</f>
        <v>818.95</v>
      </c>
      <c r="K278" s="18">
        <f>IF(I278="","",ROUND(IF(Comparateur!D$12=Paramètres!$B$36,Comparateur!D$9,L277)*Comparateur!D$13/12,2))</f>
        <v>3.84</v>
      </c>
      <c r="L278" s="31">
        <f t="shared" si="39"/>
        <v>24785.17</v>
      </c>
      <c r="M278" s="18">
        <f t="shared" si="40"/>
        <v>895.34</v>
      </c>
      <c r="N278" s="18">
        <f t="shared" si="41"/>
        <v>891.5</v>
      </c>
      <c r="O278" s="18">
        <f>IF(OR($B278="",Comparateur!E$17&lt;&gt;"OK",$B278&gt;Comparateur!E$11),"",ROUND(R277*Comparateur!E$10/12,2))</f>
        <v>76.83</v>
      </c>
      <c r="P278" s="18">
        <f>IF(O278="","",IF($B278=Comparateur!E$11,R277,Comparateur!E$20-O278))</f>
        <v>829.13</v>
      </c>
      <c r="Q278" s="18">
        <f>IF(O278="","",ROUND(IF(Comparateur!E$12=Paramètres!$B$36,Comparateur!E$9,R277)*Comparateur!E$13/12,2))</f>
        <v>30</v>
      </c>
      <c r="R278" s="31">
        <f t="shared" si="42"/>
        <v>25140.22</v>
      </c>
      <c r="S278" s="18">
        <f t="shared" si="43"/>
        <v>935.96</v>
      </c>
      <c r="T278" s="18">
        <f t="shared" si="44"/>
        <v>905.96</v>
      </c>
    </row>
    <row r="279" spans="2:20" x14ac:dyDescent="0.35">
      <c r="B279" s="29">
        <f>IF(B278="","",IF(B278+1&gt;Comparateur!$C$47,"",B278+1))</f>
        <v>272</v>
      </c>
      <c r="C279" s="18">
        <f>IF(OR($B279="",Comparateur!C$17&lt;&gt;"OK",$B279&gt;Comparateur!C$11),"",ROUND(F278*Comparateur!C$10/12,2))</f>
        <v>66.17</v>
      </c>
      <c r="D279" s="18">
        <f>IF(C279="","",IF($B279=Comparateur!C$11,F278,Comparateur!C$20-C279))</f>
        <v>811</v>
      </c>
      <c r="E279" s="18">
        <f>IF(C279="","",ROUND(IF(Comparateur!C$12=Paramètres!$B$36,Comparateur!C$9,F278)*Comparateur!C$13/12,2))</f>
        <v>63</v>
      </c>
      <c r="F279" s="31">
        <f t="shared" si="36"/>
        <v>23621.51</v>
      </c>
      <c r="G279" s="18">
        <f t="shared" si="37"/>
        <v>940.17</v>
      </c>
      <c r="H279" s="18">
        <f t="shared" si="38"/>
        <v>877.17</v>
      </c>
      <c r="I279" s="18">
        <f>IF(OR($B279="",Comparateur!D$17&lt;&gt;"OK",$B279&gt;Comparateur!D$11),"",ROUND(L278*Comparateur!D$10/12,2))</f>
        <v>70.22</v>
      </c>
      <c r="J279" s="18">
        <f>IF(I279="","",IF($B279=Comparateur!D$11,L278,Comparateur!D$20-I279))</f>
        <v>821.28</v>
      </c>
      <c r="K279" s="18">
        <f>IF(I279="","",ROUND(IF(Comparateur!D$12=Paramètres!$B$36,Comparateur!D$9,L278)*Comparateur!D$13/12,2))</f>
        <v>3.72</v>
      </c>
      <c r="L279" s="31">
        <f t="shared" si="39"/>
        <v>23963.89</v>
      </c>
      <c r="M279" s="18">
        <f t="shared" si="40"/>
        <v>895.22</v>
      </c>
      <c r="N279" s="18">
        <f t="shared" si="41"/>
        <v>891.5</v>
      </c>
      <c r="O279" s="18">
        <f>IF(OR($B279="",Comparateur!E$17&lt;&gt;"OK",$B279&gt;Comparateur!E$11),"",ROUND(R278*Comparateur!E$10/12,2))</f>
        <v>74.37</v>
      </c>
      <c r="P279" s="18">
        <f>IF(O279="","",IF($B279=Comparateur!E$11,R278,Comparateur!E$20-O279))</f>
        <v>831.59</v>
      </c>
      <c r="Q279" s="18">
        <f>IF(O279="","",ROUND(IF(Comparateur!E$12=Paramètres!$B$36,Comparateur!E$9,R278)*Comparateur!E$13/12,2))</f>
        <v>30</v>
      </c>
      <c r="R279" s="31">
        <f t="shared" si="42"/>
        <v>24308.63</v>
      </c>
      <c r="S279" s="18">
        <f t="shared" si="43"/>
        <v>935.96</v>
      </c>
      <c r="T279" s="18">
        <f t="shared" si="44"/>
        <v>905.96</v>
      </c>
    </row>
    <row r="280" spans="2:20" x14ac:dyDescent="0.35">
      <c r="B280" s="29">
        <f>IF(B279="","",IF(B279+1&gt;Comparateur!$C$47,"",B279+1))</f>
        <v>273</v>
      </c>
      <c r="C280" s="18">
        <f>IF(OR($B280="",Comparateur!C$17&lt;&gt;"OK",$B280&gt;Comparateur!C$11),"",ROUND(F279*Comparateur!C$10/12,2))</f>
        <v>63.97</v>
      </c>
      <c r="D280" s="18">
        <f>IF(C280="","",IF($B280=Comparateur!C$11,F279,Comparateur!C$20-C280))</f>
        <v>813.19999999999993</v>
      </c>
      <c r="E280" s="18">
        <f>IF(C280="","",ROUND(IF(Comparateur!C$12=Paramètres!$B$36,Comparateur!C$9,F279)*Comparateur!C$13/12,2))</f>
        <v>63</v>
      </c>
      <c r="F280" s="31">
        <f t="shared" si="36"/>
        <v>22808.31</v>
      </c>
      <c r="G280" s="18">
        <f t="shared" si="37"/>
        <v>940.17</v>
      </c>
      <c r="H280" s="18">
        <f t="shared" si="38"/>
        <v>877.17</v>
      </c>
      <c r="I280" s="18">
        <f>IF(OR($B280="",Comparateur!D$17&lt;&gt;"OK",$B280&gt;Comparateur!D$11),"",ROUND(L279*Comparateur!D$10/12,2))</f>
        <v>67.900000000000006</v>
      </c>
      <c r="J280" s="18">
        <f>IF(I280="","",IF($B280=Comparateur!D$11,L279,Comparateur!D$20-I280))</f>
        <v>823.6</v>
      </c>
      <c r="K280" s="18">
        <f>IF(I280="","",ROUND(IF(Comparateur!D$12=Paramètres!$B$36,Comparateur!D$9,L279)*Comparateur!D$13/12,2))</f>
        <v>3.59</v>
      </c>
      <c r="L280" s="31">
        <f t="shared" si="39"/>
        <v>23140.29</v>
      </c>
      <c r="M280" s="18">
        <f t="shared" si="40"/>
        <v>895.09</v>
      </c>
      <c r="N280" s="18">
        <f t="shared" si="41"/>
        <v>891.5</v>
      </c>
      <c r="O280" s="18">
        <f>IF(OR($B280="",Comparateur!E$17&lt;&gt;"OK",$B280&gt;Comparateur!E$11),"",ROUND(R279*Comparateur!E$10/12,2))</f>
        <v>71.91</v>
      </c>
      <c r="P280" s="18">
        <f>IF(O280="","",IF($B280=Comparateur!E$11,R279,Comparateur!E$20-O280))</f>
        <v>834.05000000000007</v>
      </c>
      <c r="Q280" s="18">
        <f>IF(O280="","",ROUND(IF(Comparateur!E$12=Paramètres!$B$36,Comparateur!E$9,R279)*Comparateur!E$13/12,2))</f>
        <v>30</v>
      </c>
      <c r="R280" s="31">
        <f t="shared" si="42"/>
        <v>23474.58</v>
      </c>
      <c r="S280" s="18">
        <f t="shared" si="43"/>
        <v>935.96</v>
      </c>
      <c r="T280" s="18">
        <f t="shared" si="44"/>
        <v>905.96</v>
      </c>
    </row>
    <row r="281" spans="2:20" x14ac:dyDescent="0.35">
      <c r="B281" s="29">
        <f>IF(B280="","",IF(B280+1&gt;Comparateur!$C$47,"",B280+1))</f>
        <v>274</v>
      </c>
      <c r="C281" s="18">
        <f>IF(OR($B281="",Comparateur!C$17&lt;&gt;"OK",$B281&gt;Comparateur!C$11),"",ROUND(F280*Comparateur!C$10/12,2))</f>
        <v>61.77</v>
      </c>
      <c r="D281" s="18">
        <f>IF(C281="","",IF($B281=Comparateur!C$11,F280,Comparateur!C$20-C281))</f>
        <v>815.4</v>
      </c>
      <c r="E281" s="18">
        <f>IF(C281="","",ROUND(IF(Comparateur!C$12=Paramètres!$B$36,Comparateur!C$9,F280)*Comparateur!C$13/12,2))</f>
        <v>63</v>
      </c>
      <c r="F281" s="31">
        <f t="shared" si="36"/>
        <v>21992.91</v>
      </c>
      <c r="G281" s="18">
        <f t="shared" si="37"/>
        <v>940.17</v>
      </c>
      <c r="H281" s="18">
        <f t="shared" si="38"/>
        <v>877.17</v>
      </c>
      <c r="I281" s="18">
        <f>IF(OR($B281="",Comparateur!D$17&lt;&gt;"OK",$B281&gt;Comparateur!D$11),"",ROUND(L280*Comparateur!D$10/12,2))</f>
        <v>65.56</v>
      </c>
      <c r="J281" s="18">
        <f>IF(I281="","",IF($B281=Comparateur!D$11,L280,Comparateur!D$20-I281))</f>
        <v>825.94</v>
      </c>
      <c r="K281" s="18">
        <f>IF(I281="","",ROUND(IF(Comparateur!D$12=Paramètres!$B$36,Comparateur!D$9,L280)*Comparateur!D$13/12,2))</f>
        <v>3.47</v>
      </c>
      <c r="L281" s="31">
        <f t="shared" si="39"/>
        <v>22314.35</v>
      </c>
      <c r="M281" s="18">
        <f t="shared" si="40"/>
        <v>894.97</v>
      </c>
      <c r="N281" s="18">
        <f t="shared" si="41"/>
        <v>891.5</v>
      </c>
      <c r="O281" s="18">
        <f>IF(OR($B281="",Comparateur!E$17&lt;&gt;"OK",$B281&gt;Comparateur!E$11),"",ROUND(R280*Comparateur!E$10/12,2))</f>
        <v>69.45</v>
      </c>
      <c r="P281" s="18">
        <f>IF(O281="","",IF($B281=Comparateur!E$11,R280,Comparateur!E$20-O281))</f>
        <v>836.51</v>
      </c>
      <c r="Q281" s="18">
        <f>IF(O281="","",ROUND(IF(Comparateur!E$12=Paramètres!$B$36,Comparateur!E$9,R280)*Comparateur!E$13/12,2))</f>
        <v>30</v>
      </c>
      <c r="R281" s="31">
        <f t="shared" si="42"/>
        <v>22638.07</v>
      </c>
      <c r="S281" s="18">
        <f t="shared" si="43"/>
        <v>935.96</v>
      </c>
      <c r="T281" s="18">
        <f t="shared" si="44"/>
        <v>905.96</v>
      </c>
    </row>
    <row r="282" spans="2:20" x14ac:dyDescent="0.35">
      <c r="B282" s="29">
        <f>IF(B281="","",IF(B281+1&gt;Comparateur!$C$47,"",B281+1))</f>
        <v>275</v>
      </c>
      <c r="C282" s="18">
        <f>IF(OR($B282="",Comparateur!C$17&lt;&gt;"OK",$B282&gt;Comparateur!C$11),"",ROUND(F281*Comparateur!C$10/12,2))</f>
        <v>59.56</v>
      </c>
      <c r="D282" s="18">
        <f>IF(C282="","",IF($B282=Comparateur!C$11,F281,Comparateur!C$20-C282))</f>
        <v>817.6099999999999</v>
      </c>
      <c r="E282" s="18">
        <f>IF(C282="","",ROUND(IF(Comparateur!C$12=Paramètres!$B$36,Comparateur!C$9,F281)*Comparateur!C$13/12,2))</f>
        <v>63</v>
      </c>
      <c r="F282" s="31">
        <f t="shared" si="36"/>
        <v>21175.3</v>
      </c>
      <c r="G282" s="18">
        <f t="shared" si="37"/>
        <v>940.16999999999985</v>
      </c>
      <c r="H282" s="18">
        <f t="shared" si="38"/>
        <v>877.16999999999985</v>
      </c>
      <c r="I282" s="18">
        <f>IF(OR($B282="",Comparateur!D$17&lt;&gt;"OK",$B282&gt;Comparateur!D$11),"",ROUND(L281*Comparateur!D$10/12,2))</f>
        <v>63.22</v>
      </c>
      <c r="J282" s="18">
        <f>IF(I282="","",IF($B282=Comparateur!D$11,L281,Comparateur!D$20-I282))</f>
        <v>828.28</v>
      </c>
      <c r="K282" s="18">
        <f>IF(I282="","",ROUND(IF(Comparateur!D$12=Paramètres!$B$36,Comparateur!D$9,L281)*Comparateur!D$13/12,2))</f>
        <v>3.35</v>
      </c>
      <c r="L282" s="31">
        <f t="shared" si="39"/>
        <v>21486.07</v>
      </c>
      <c r="M282" s="18">
        <f t="shared" si="40"/>
        <v>894.85</v>
      </c>
      <c r="N282" s="18">
        <f t="shared" si="41"/>
        <v>891.5</v>
      </c>
      <c r="O282" s="18">
        <f>IF(OR($B282="",Comparateur!E$17&lt;&gt;"OK",$B282&gt;Comparateur!E$11),"",ROUND(R281*Comparateur!E$10/12,2))</f>
        <v>66.97</v>
      </c>
      <c r="P282" s="18">
        <f>IF(O282="","",IF($B282=Comparateur!E$11,R281,Comparateur!E$20-O282))</f>
        <v>838.99</v>
      </c>
      <c r="Q282" s="18">
        <f>IF(O282="","",ROUND(IF(Comparateur!E$12=Paramètres!$B$36,Comparateur!E$9,R281)*Comparateur!E$13/12,2))</f>
        <v>30</v>
      </c>
      <c r="R282" s="31">
        <f t="shared" si="42"/>
        <v>21799.08</v>
      </c>
      <c r="S282" s="18">
        <f t="shared" si="43"/>
        <v>935.96</v>
      </c>
      <c r="T282" s="18">
        <f t="shared" si="44"/>
        <v>905.96</v>
      </c>
    </row>
    <row r="283" spans="2:20" x14ac:dyDescent="0.35">
      <c r="B283" s="29">
        <f>IF(B282="","",IF(B282+1&gt;Comparateur!$C$47,"",B282+1))</f>
        <v>276</v>
      </c>
      <c r="C283" s="18">
        <f>IF(OR($B283="",Comparateur!C$17&lt;&gt;"OK",$B283&gt;Comparateur!C$11),"",ROUND(F282*Comparateur!C$10/12,2))</f>
        <v>57.35</v>
      </c>
      <c r="D283" s="18">
        <f>IF(C283="","",IF($B283=Comparateur!C$11,F282,Comparateur!C$20-C283))</f>
        <v>819.81999999999994</v>
      </c>
      <c r="E283" s="18">
        <f>IF(C283="","",ROUND(IF(Comparateur!C$12=Paramètres!$B$36,Comparateur!C$9,F282)*Comparateur!C$13/12,2))</f>
        <v>63</v>
      </c>
      <c r="F283" s="31">
        <f t="shared" si="36"/>
        <v>20355.48</v>
      </c>
      <c r="G283" s="18">
        <f t="shared" si="37"/>
        <v>940.17</v>
      </c>
      <c r="H283" s="18">
        <f t="shared" si="38"/>
        <v>877.17</v>
      </c>
      <c r="I283" s="18">
        <f>IF(OR($B283="",Comparateur!D$17&lt;&gt;"OK",$B283&gt;Comparateur!D$11),"",ROUND(L282*Comparateur!D$10/12,2))</f>
        <v>60.88</v>
      </c>
      <c r="J283" s="18">
        <f>IF(I283="","",IF($B283=Comparateur!D$11,L282,Comparateur!D$20-I283))</f>
        <v>830.62</v>
      </c>
      <c r="K283" s="18">
        <f>IF(I283="","",ROUND(IF(Comparateur!D$12=Paramètres!$B$36,Comparateur!D$9,L282)*Comparateur!D$13/12,2))</f>
        <v>3.22</v>
      </c>
      <c r="L283" s="31">
        <f t="shared" si="39"/>
        <v>20655.45</v>
      </c>
      <c r="M283" s="18">
        <f t="shared" si="40"/>
        <v>894.72</v>
      </c>
      <c r="N283" s="18">
        <f t="shared" si="41"/>
        <v>891.5</v>
      </c>
      <c r="O283" s="18">
        <f>IF(OR($B283="",Comparateur!E$17&lt;&gt;"OK",$B283&gt;Comparateur!E$11),"",ROUND(R282*Comparateur!E$10/12,2))</f>
        <v>64.489999999999995</v>
      </c>
      <c r="P283" s="18">
        <f>IF(O283="","",IF($B283=Comparateur!E$11,R282,Comparateur!E$20-O283))</f>
        <v>841.47</v>
      </c>
      <c r="Q283" s="18">
        <f>IF(O283="","",ROUND(IF(Comparateur!E$12=Paramètres!$B$36,Comparateur!E$9,R282)*Comparateur!E$13/12,2))</f>
        <v>30</v>
      </c>
      <c r="R283" s="31">
        <f t="shared" si="42"/>
        <v>20957.61</v>
      </c>
      <c r="S283" s="18">
        <f t="shared" si="43"/>
        <v>935.96</v>
      </c>
      <c r="T283" s="18">
        <f t="shared" si="44"/>
        <v>905.96</v>
      </c>
    </row>
    <row r="284" spans="2:20" x14ac:dyDescent="0.35">
      <c r="B284" s="29">
        <f>IF(B283="","",IF(B283+1&gt;Comparateur!$C$47,"",B283+1))</f>
        <v>277</v>
      </c>
      <c r="C284" s="18">
        <f>IF(OR($B284="",Comparateur!C$17&lt;&gt;"OK",$B284&gt;Comparateur!C$11),"",ROUND(F283*Comparateur!C$10/12,2))</f>
        <v>55.13</v>
      </c>
      <c r="D284" s="18">
        <f>IF(C284="","",IF($B284=Comparateur!C$11,F283,Comparateur!C$20-C284))</f>
        <v>822.04</v>
      </c>
      <c r="E284" s="18">
        <f>IF(C284="","",ROUND(IF(Comparateur!C$12=Paramètres!$B$36,Comparateur!C$9,F283)*Comparateur!C$13/12,2))</f>
        <v>63</v>
      </c>
      <c r="F284" s="31">
        <f t="shared" si="36"/>
        <v>19533.439999999999</v>
      </c>
      <c r="G284" s="18">
        <f t="shared" si="37"/>
        <v>940.17</v>
      </c>
      <c r="H284" s="18">
        <f t="shared" si="38"/>
        <v>877.17</v>
      </c>
      <c r="I284" s="18">
        <f>IF(OR($B284="",Comparateur!D$17&lt;&gt;"OK",$B284&gt;Comparateur!D$11),"",ROUND(L283*Comparateur!D$10/12,2))</f>
        <v>58.52</v>
      </c>
      <c r="J284" s="18">
        <f>IF(I284="","",IF($B284=Comparateur!D$11,L283,Comparateur!D$20-I284))</f>
        <v>832.98</v>
      </c>
      <c r="K284" s="18">
        <f>IF(I284="","",ROUND(IF(Comparateur!D$12=Paramètres!$B$36,Comparateur!D$9,L283)*Comparateur!D$13/12,2))</f>
        <v>3.1</v>
      </c>
      <c r="L284" s="31">
        <f t="shared" si="39"/>
        <v>19822.47</v>
      </c>
      <c r="M284" s="18">
        <f t="shared" si="40"/>
        <v>894.6</v>
      </c>
      <c r="N284" s="18">
        <f t="shared" si="41"/>
        <v>891.5</v>
      </c>
      <c r="O284" s="18">
        <f>IF(OR($B284="",Comparateur!E$17&lt;&gt;"OK",$B284&gt;Comparateur!E$11),"",ROUND(R283*Comparateur!E$10/12,2))</f>
        <v>62</v>
      </c>
      <c r="P284" s="18">
        <f>IF(O284="","",IF($B284=Comparateur!E$11,R283,Comparateur!E$20-O284))</f>
        <v>843.96</v>
      </c>
      <c r="Q284" s="18">
        <f>IF(O284="","",ROUND(IF(Comparateur!E$12=Paramètres!$B$36,Comparateur!E$9,R283)*Comparateur!E$13/12,2))</f>
        <v>30</v>
      </c>
      <c r="R284" s="31">
        <f t="shared" si="42"/>
        <v>20113.650000000001</v>
      </c>
      <c r="S284" s="18">
        <f t="shared" si="43"/>
        <v>935.96</v>
      </c>
      <c r="T284" s="18">
        <f t="shared" si="44"/>
        <v>905.96</v>
      </c>
    </row>
    <row r="285" spans="2:20" x14ac:dyDescent="0.35">
      <c r="B285" s="29">
        <f>IF(B284="","",IF(B284+1&gt;Comparateur!$C$47,"",B284+1))</f>
        <v>278</v>
      </c>
      <c r="C285" s="18">
        <f>IF(OR($B285="",Comparateur!C$17&lt;&gt;"OK",$B285&gt;Comparateur!C$11),"",ROUND(F284*Comparateur!C$10/12,2))</f>
        <v>52.9</v>
      </c>
      <c r="D285" s="18">
        <f>IF(C285="","",IF($B285=Comparateur!C$11,F284,Comparateur!C$20-C285))</f>
        <v>824.27</v>
      </c>
      <c r="E285" s="18">
        <f>IF(C285="","",ROUND(IF(Comparateur!C$12=Paramètres!$B$36,Comparateur!C$9,F284)*Comparateur!C$13/12,2))</f>
        <v>63</v>
      </c>
      <c r="F285" s="31">
        <f t="shared" si="36"/>
        <v>18709.169999999998</v>
      </c>
      <c r="G285" s="18">
        <f t="shared" si="37"/>
        <v>940.17</v>
      </c>
      <c r="H285" s="18">
        <f t="shared" si="38"/>
        <v>877.17</v>
      </c>
      <c r="I285" s="18">
        <f>IF(OR($B285="",Comparateur!D$17&lt;&gt;"OK",$B285&gt;Comparateur!D$11),"",ROUND(L284*Comparateur!D$10/12,2))</f>
        <v>56.16</v>
      </c>
      <c r="J285" s="18">
        <f>IF(I285="","",IF($B285=Comparateur!D$11,L284,Comparateur!D$20-I285))</f>
        <v>835.34</v>
      </c>
      <c r="K285" s="18">
        <f>IF(I285="","",ROUND(IF(Comparateur!D$12=Paramètres!$B$36,Comparateur!D$9,L284)*Comparateur!D$13/12,2))</f>
        <v>2.97</v>
      </c>
      <c r="L285" s="31">
        <f t="shared" si="39"/>
        <v>18987.13</v>
      </c>
      <c r="M285" s="18">
        <f t="shared" si="40"/>
        <v>894.47</v>
      </c>
      <c r="N285" s="18">
        <f t="shared" si="41"/>
        <v>891.5</v>
      </c>
      <c r="O285" s="18">
        <f>IF(OR($B285="",Comparateur!E$17&lt;&gt;"OK",$B285&gt;Comparateur!E$11),"",ROUND(R284*Comparateur!E$10/12,2))</f>
        <v>59.5</v>
      </c>
      <c r="P285" s="18">
        <f>IF(O285="","",IF($B285=Comparateur!E$11,R284,Comparateur!E$20-O285))</f>
        <v>846.46</v>
      </c>
      <c r="Q285" s="18">
        <f>IF(O285="","",ROUND(IF(Comparateur!E$12=Paramètres!$B$36,Comparateur!E$9,R284)*Comparateur!E$13/12,2))</f>
        <v>30</v>
      </c>
      <c r="R285" s="31">
        <f t="shared" si="42"/>
        <v>19267.189999999999</v>
      </c>
      <c r="S285" s="18">
        <f t="shared" si="43"/>
        <v>935.96</v>
      </c>
      <c r="T285" s="18">
        <f t="shared" si="44"/>
        <v>905.96</v>
      </c>
    </row>
    <row r="286" spans="2:20" x14ac:dyDescent="0.35">
      <c r="B286" s="29">
        <f>IF(B285="","",IF(B285+1&gt;Comparateur!$C$47,"",B285+1))</f>
        <v>279</v>
      </c>
      <c r="C286" s="18">
        <f>IF(OR($B286="",Comparateur!C$17&lt;&gt;"OK",$B286&gt;Comparateur!C$11),"",ROUND(F285*Comparateur!C$10/12,2))</f>
        <v>50.67</v>
      </c>
      <c r="D286" s="18">
        <f>IF(C286="","",IF($B286=Comparateur!C$11,F285,Comparateur!C$20-C286))</f>
        <v>826.5</v>
      </c>
      <c r="E286" s="18">
        <f>IF(C286="","",ROUND(IF(Comparateur!C$12=Paramètres!$B$36,Comparateur!C$9,F285)*Comparateur!C$13/12,2))</f>
        <v>63</v>
      </c>
      <c r="F286" s="31">
        <f t="shared" si="36"/>
        <v>17882.669999999998</v>
      </c>
      <c r="G286" s="18">
        <f t="shared" si="37"/>
        <v>940.17</v>
      </c>
      <c r="H286" s="18">
        <f t="shared" si="38"/>
        <v>877.17</v>
      </c>
      <c r="I286" s="18">
        <f>IF(OR($B286="",Comparateur!D$17&lt;&gt;"OK",$B286&gt;Comparateur!D$11),"",ROUND(L285*Comparateur!D$10/12,2))</f>
        <v>53.8</v>
      </c>
      <c r="J286" s="18">
        <f>IF(I286="","",IF($B286=Comparateur!D$11,L285,Comparateur!D$20-I286))</f>
        <v>837.7</v>
      </c>
      <c r="K286" s="18">
        <f>IF(I286="","",ROUND(IF(Comparateur!D$12=Paramètres!$B$36,Comparateur!D$9,L285)*Comparateur!D$13/12,2))</f>
        <v>2.85</v>
      </c>
      <c r="L286" s="31">
        <f t="shared" si="39"/>
        <v>18149.43</v>
      </c>
      <c r="M286" s="18">
        <f t="shared" si="40"/>
        <v>894.35</v>
      </c>
      <c r="N286" s="18">
        <f t="shared" si="41"/>
        <v>891.5</v>
      </c>
      <c r="O286" s="18">
        <f>IF(OR($B286="",Comparateur!E$17&lt;&gt;"OK",$B286&gt;Comparateur!E$11),"",ROUND(R285*Comparateur!E$10/12,2))</f>
        <v>57</v>
      </c>
      <c r="P286" s="18">
        <f>IF(O286="","",IF($B286=Comparateur!E$11,R285,Comparateur!E$20-O286))</f>
        <v>848.96</v>
      </c>
      <c r="Q286" s="18">
        <f>IF(O286="","",ROUND(IF(Comparateur!E$12=Paramètres!$B$36,Comparateur!E$9,R285)*Comparateur!E$13/12,2))</f>
        <v>30</v>
      </c>
      <c r="R286" s="31">
        <f t="shared" si="42"/>
        <v>18418.23</v>
      </c>
      <c r="S286" s="18">
        <f t="shared" si="43"/>
        <v>935.96</v>
      </c>
      <c r="T286" s="18">
        <f t="shared" si="44"/>
        <v>905.96</v>
      </c>
    </row>
    <row r="287" spans="2:20" x14ac:dyDescent="0.35">
      <c r="B287" s="29">
        <f>IF(B286="","",IF(B286+1&gt;Comparateur!$C$47,"",B286+1))</f>
        <v>280</v>
      </c>
      <c r="C287" s="18">
        <f>IF(OR($B287="",Comparateur!C$17&lt;&gt;"OK",$B287&gt;Comparateur!C$11),"",ROUND(F286*Comparateur!C$10/12,2))</f>
        <v>48.43</v>
      </c>
      <c r="D287" s="18">
        <f>IF(C287="","",IF($B287=Comparateur!C$11,F286,Comparateur!C$20-C287))</f>
        <v>828.74</v>
      </c>
      <c r="E287" s="18">
        <f>IF(C287="","",ROUND(IF(Comparateur!C$12=Paramètres!$B$36,Comparateur!C$9,F286)*Comparateur!C$13/12,2))</f>
        <v>63</v>
      </c>
      <c r="F287" s="31">
        <f t="shared" si="36"/>
        <v>17053.93</v>
      </c>
      <c r="G287" s="18">
        <f t="shared" si="37"/>
        <v>940.17</v>
      </c>
      <c r="H287" s="18">
        <f t="shared" si="38"/>
        <v>877.17</v>
      </c>
      <c r="I287" s="18">
        <f>IF(OR($B287="",Comparateur!D$17&lt;&gt;"OK",$B287&gt;Comparateur!D$11),"",ROUND(L286*Comparateur!D$10/12,2))</f>
        <v>51.42</v>
      </c>
      <c r="J287" s="18">
        <f>IF(I287="","",IF($B287=Comparateur!D$11,L286,Comparateur!D$20-I287))</f>
        <v>840.08</v>
      </c>
      <c r="K287" s="18">
        <f>IF(I287="","",ROUND(IF(Comparateur!D$12=Paramètres!$B$36,Comparateur!D$9,L286)*Comparateur!D$13/12,2))</f>
        <v>2.72</v>
      </c>
      <c r="L287" s="31">
        <f t="shared" si="39"/>
        <v>17309.349999999999</v>
      </c>
      <c r="M287" s="18">
        <f t="shared" si="40"/>
        <v>894.22</v>
      </c>
      <c r="N287" s="18">
        <f t="shared" si="41"/>
        <v>891.5</v>
      </c>
      <c r="O287" s="18">
        <f>IF(OR($B287="",Comparateur!E$17&lt;&gt;"OK",$B287&gt;Comparateur!E$11),"",ROUND(R286*Comparateur!E$10/12,2))</f>
        <v>54.49</v>
      </c>
      <c r="P287" s="18">
        <f>IF(O287="","",IF($B287=Comparateur!E$11,R286,Comparateur!E$20-O287))</f>
        <v>851.47</v>
      </c>
      <c r="Q287" s="18">
        <f>IF(O287="","",ROUND(IF(Comparateur!E$12=Paramètres!$B$36,Comparateur!E$9,R286)*Comparateur!E$13/12,2))</f>
        <v>30</v>
      </c>
      <c r="R287" s="31">
        <f t="shared" si="42"/>
        <v>17566.759999999998</v>
      </c>
      <c r="S287" s="18">
        <f t="shared" si="43"/>
        <v>935.96</v>
      </c>
      <c r="T287" s="18">
        <f t="shared" si="44"/>
        <v>905.96</v>
      </c>
    </row>
    <row r="288" spans="2:20" x14ac:dyDescent="0.35">
      <c r="B288" s="29">
        <f>IF(B287="","",IF(B287+1&gt;Comparateur!$C$47,"",B287+1))</f>
        <v>281</v>
      </c>
      <c r="C288" s="18">
        <f>IF(OR($B288="",Comparateur!C$17&lt;&gt;"OK",$B288&gt;Comparateur!C$11),"",ROUND(F287*Comparateur!C$10/12,2))</f>
        <v>46.19</v>
      </c>
      <c r="D288" s="18">
        <f>IF(C288="","",IF($B288=Comparateur!C$11,F287,Comparateur!C$20-C288))</f>
        <v>830.98</v>
      </c>
      <c r="E288" s="18">
        <f>IF(C288="","",ROUND(IF(Comparateur!C$12=Paramètres!$B$36,Comparateur!C$9,F287)*Comparateur!C$13/12,2))</f>
        <v>63</v>
      </c>
      <c r="F288" s="31">
        <f t="shared" si="36"/>
        <v>16222.95</v>
      </c>
      <c r="G288" s="18">
        <f t="shared" si="37"/>
        <v>940.17000000000007</v>
      </c>
      <c r="H288" s="18">
        <f t="shared" si="38"/>
        <v>877.17000000000007</v>
      </c>
      <c r="I288" s="18">
        <f>IF(OR($B288="",Comparateur!D$17&lt;&gt;"OK",$B288&gt;Comparateur!D$11),"",ROUND(L287*Comparateur!D$10/12,2))</f>
        <v>49.04</v>
      </c>
      <c r="J288" s="18">
        <f>IF(I288="","",IF($B288=Comparateur!D$11,L287,Comparateur!D$20-I288))</f>
        <v>842.46</v>
      </c>
      <c r="K288" s="18">
        <f>IF(I288="","",ROUND(IF(Comparateur!D$12=Paramètres!$B$36,Comparateur!D$9,L287)*Comparateur!D$13/12,2))</f>
        <v>2.6</v>
      </c>
      <c r="L288" s="31">
        <f t="shared" si="39"/>
        <v>16466.89</v>
      </c>
      <c r="M288" s="18">
        <f t="shared" si="40"/>
        <v>894.1</v>
      </c>
      <c r="N288" s="18">
        <f t="shared" si="41"/>
        <v>891.5</v>
      </c>
      <c r="O288" s="18">
        <f>IF(OR($B288="",Comparateur!E$17&lt;&gt;"OK",$B288&gt;Comparateur!E$11),"",ROUND(R287*Comparateur!E$10/12,2))</f>
        <v>51.97</v>
      </c>
      <c r="P288" s="18">
        <f>IF(O288="","",IF($B288=Comparateur!E$11,R287,Comparateur!E$20-O288))</f>
        <v>853.99</v>
      </c>
      <c r="Q288" s="18">
        <f>IF(O288="","",ROUND(IF(Comparateur!E$12=Paramètres!$B$36,Comparateur!E$9,R287)*Comparateur!E$13/12,2))</f>
        <v>30</v>
      </c>
      <c r="R288" s="31">
        <f t="shared" si="42"/>
        <v>16712.77</v>
      </c>
      <c r="S288" s="18">
        <f t="shared" si="43"/>
        <v>935.96</v>
      </c>
      <c r="T288" s="18">
        <f t="shared" si="44"/>
        <v>905.96</v>
      </c>
    </row>
    <row r="289" spans="2:20" x14ac:dyDescent="0.35">
      <c r="B289" s="29">
        <f>IF(B288="","",IF(B288+1&gt;Comparateur!$C$47,"",B288+1))</f>
        <v>282</v>
      </c>
      <c r="C289" s="18">
        <f>IF(OR($B289="",Comparateur!C$17&lt;&gt;"OK",$B289&gt;Comparateur!C$11),"",ROUND(F288*Comparateur!C$10/12,2))</f>
        <v>43.94</v>
      </c>
      <c r="D289" s="18">
        <f>IF(C289="","",IF($B289=Comparateur!C$11,F288,Comparateur!C$20-C289))</f>
        <v>833.23</v>
      </c>
      <c r="E289" s="18">
        <f>IF(C289="","",ROUND(IF(Comparateur!C$12=Paramètres!$B$36,Comparateur!C$9,F288)*Comparateur!C$13/12,2))</f>
        <v>63</v>
      </c>
      <c r="F289" s="31">
        <f t="shared" si="36"/>
        <v>15389.72</v>
      </c>
      <c r="G289" s="18">
        <f t="shared" si="37"/>
        <v>940.17000000000007</v>
      </c>
      <c r="H289" s="18">
        <f t="shared" si="38"/>
        <v>877.17000000000007</v>
      </c>
      <c r="I289" s="18">
        <f>IF(OR($B289="",Comparateur!D$17&lt;&gt;"OK",$B289&gt;Comparateur!D$11),"",ROUND(L288*Comparateur!D$10/12,2))</f>
        <v>46.66</v>
      </c>
      <c r="J289" s="18">
        <f>IF(I289="","",IF($B289=Comparateur!D$11,L288,Comparateur!D$20-I289))</f>
        <v>844.84</v>
      </c>
      <c r="K289" s="18">
        <f>IF(I289="","",ROUND(IF(Comparateur!D$12=Paramètres!$B$36,Comparateur!D$9,L288)*Comparateur!D$13/12,2))</f>
        <v>2.4700000000000002</v>
      </c>
      <c r="L289" s="31">
        <f t="shared" si="39"/>
        <v>15622.05</v>
      </c>
      <c r="M289" s="18">
        <f t="shared" si="40"/>
        <v>893.97</v>
      </c>
      <c r="N289" s="18">
        <f t="shared" si="41"/>
        <v>891.5</v>
      </c>
      <c r="O289" s="18">
        <f>IF(OR($B289="",Comparateur!E$17&lt;&gt;"OK",$B289&gt;Comparateur!E$11),"",ROUND(R288*Comparateur!E$10/12,2))</f>
        <v>49.44</v>
      </c>
      <c r="P289" s="18">
        <f>IF(O289="","",IF($B289=Comparateur!E$11,R288,Comparateur!E$20-O289))</f>
        <v>856.52</v>
      </c>
      <c r="Q289" s="18">
        <f>IF(O289="","",ROUND(IF(Comparateur!E$12=Paramètres!$B$36,Comparateur!E$9,R288)*Comparateur!E$13/12,2))</f>
        <v>30</v>
      </c>
      <c r="R289" s="31">
        <f t="shared" si="42"/>
        <v>15856.25</v>
      </c>
      <c r="S289" s="18">
        <f t="shared" si="43"/>
        <v>935.96</v>
      </c>
      <c r="T289" s="18">
        <f t="shared" si="44"/>
        <v>905.96</v>
      </c>
    </row>
    <row r="290" spans="2:20" x14ac:dyDescent="0.35">
      <c r="B290" s="29">
        <f>IF(B289="","",IF(B289+1&gt;Comparateur!$C$47,"",B289+1))</f>
        <v>283</v>
      </c>
      <c r="C290" s="18">
        <f>IF(OR($B290="",Comparateur!C$17&lt;&gt;"OK",$B290&gt;Comparateur!C$11),"",ROUND(F289*Comparateur!C$10/12,2))</f>
        <v>41.68</v>
      </c>
      <c r="D290" s="18">
        <f>IF(C290="","",IF($B290=Comparateur!C$11,F289,Comparateur!C$20-C290))</f>
        <v>835.49</v>
      </c>
      <c r="E290" s="18">
        <f>IF(C290="","",ROUND(IF(Comparateur!C$12=Paramètres!$B$36,Comparateur!C$9,F289)*Comparateur!C$13/12,2))</f>
        <v>63</v>
      </c>
      <c r="F290" s="31">
        <f t="shared" si="36"/>
        <v>14554.23</v>
      </c>
      <c r="G290" s="18">
        <f t="shared" si="37"/>
        <v>940.17</v>
      </c>
      <c r="H290" s="18">
        <f t="shared" si="38"/>
        <v>877.17</v>
      </c>
      <c r="I290" s="18">
        <f>IF(OR($B290="",Comparateur!D$17&lt;&gt;"OK",$B290&gt;Comparateur!D$11),"",ROUND(L289*Comparateur!D$10/12,2))</f>
        <v>44.26</v>
      </c>
      <c r="J290" s="18">
        <f>IF(I290="","",IF($B290=Comparateur!D$11,L289,Comparateur!D$20-I290))</f>
        <v>847.24</v>
      </c>
      <c r="K290" s="18">
        <f>IF(I290="","",ROUND(IF(Comparateur!D$12=Paramètres!$B$36,Comparateur!D$9,L289)*Comparateur!D$13/12,2))</f>
        <v>2.34</v>
      </c>
      <c r="L290" s="31">
        <f t="shared" si="39"/>
        <v>14774.81</v>
      </c>
      <c r="M290" s="18">
        <f t="shared" si="40"/>
        <v>893.84</v>
      </c>
      <c r="N290" s="18">
        <f t="shared" si="41"/>
        <v>891.5</v>
      </c>
      <c r="O290" s="18">
        <f>IF(OR($B290="",Comparateur!E$17&lt;&gt;"OK",$B290&gt;Comparateur!E$11),"",ROUND(R289*Comparateur!E$10/12,2))</f>
        <v>46.91</v>
      </c>
      <c r="P290" s="18">
        <f>IF(O290="","",IF($B290=Comparateur!E$11,R289,Comparateur!E$20-O290))</f>
        <v>859.05000000000007</v>
      </c>
      <c r="Q290" s="18">
        <f>IF(O290="","",ROUND(IF(Comparateur!E$12=Paramètres!$B$36,Comparateur!E$9,R289)*Comparateur!E$13/12,2))</f>
        <v>30</v>
      </c>
      <c r="R290" s="31">
        <f t="shared" si="42"/>
        <v>14997.2</v>
      </c>
      <c r="S290" s="18">
        <f t="shared" si="43"/>
        <v>935.96</v>
      </c>
      <c r="T290" s="18">
        <f t="shared" si="44"/>
        <v>905.96</v>
      </c>
    </row>
    <row r="291" spans="2:20" x14ac:dyDescent="0.35">
      <c r="B291" s="29">
        <f>IF(B290="","",IF(B290+1&gt;Comparateur!$C$47,"",B290+1))</f>
        <v>284</v>
      </c>
      <c r="C291" s="18">
        <f>IF(OR($B291="",Comparateur!C$17&lt;&gt;"OK",$B291&gt;Comparateur!C$11),"",ROUND(F290*Comparateur!C$10/12,2))</f>
        <v>39.42</v>
      </c>
      <c r="D291" s="18">
        <f>IF(C291="","",IF($B291=Comparateur!C$11,F290,Comparateur!C$20-C291))</f>
        <v>837.75</v>
      </c>
      <c r="E291" s="18">
        <f>IF(C291="","",ROUND(IF(Comparateur!C$12=Paramètres!$B$36,Comparateur!C$9,F290)*Comparateur!C$13/12,2))</f>
        <v>63</v>
      </c>
      <c r="F291" s="31">
        <f t="shared" si="36"/>
        <v>13716.48</v>
      </c>
      <c r="G291" s="18">
        <f t="shared" si="37"/>
        <v>940.17</v>
      </c>
      <c r="H291" s="18">
        <f t="shared" si="38"/>
        <v>877.17</v>
      </c>
      <c r="I291" s="18">
        <f>IF(OR($B291="",Comparateur!D$17&lt;&gt;"OK",$B291&gt;Comparateur!D$11),"",ROUND(L290*Comparateur!D$10/12,2))</f>
        <v>41.86</v>
      </c>
      <c r="J291" s="18">
        <f>IF(I291="","",IF($B291=Comparateur!D$11,L290,Comparateur!D$20-I291))</f>
        <v>849.64</v>
      </c>
      <c r="K291" s="18">
        <f>IF(I291="","",ROUND(IF(Comparateur!D$12=Paramètres!$B$36,Comparateur!D$9,L290)*Comparateur!D$13/12,2))</f>
        <v>2.2200000000000002</v>
      </c>
      <c r="L291" s="31">
        <f t="shared" si="39"/>
        <v>13925.17</v>
      </c>
      <c r="M291" s="18">
        <f t="shared" si="40"/>
        <v>893.72</v>
      </c>
      <c r="N291" s="18">
        <f t="shared" si="41"/>
        <v>891.5</v>
      </c>
      <c r="O291" s="18">
        <f>IF(OR($B291="",Comparateur!E$17&lt;&gt;"OK",$B291&gt;Comparateur!E$11),"",ROUND(R290*Comparateur!E$10/12,2))</f>
        <v>44.37</v>
      </c>
      <c r="P291" s="18">
        <f>IF(O291="","",IF($B291=Comparateur!E$11,R290,Comparateur!E$20-O291))</f>
        <v>861.59</v>
      </c>
      <c r="Q291" s="18">
        <f>IF(O291="","",ROUND(IF(Comparateur!E$12=Paramètres!$B$36,Comparateur!E$9,R290)*Comparateur!E$13/12,2))</f>
        <v>30</v>
      </c>
      <c r="R291" s="31">
        <f t="shared" si="42"/>
        <v>14135.61</v>
      </c>
      <c r="S291" s="18">
        <f t="shared" si="43"/>
        <v>935.96</v>
      </c>
      <c r="T291" s="18">
        <f t="shared" si="44"/>
        <v>905.96</v>
      </c>
    </row>
    <row r="292" spans="2:20" x14ac:dyDescent="0.35">
      <c r="B292" s="29">
        <f>IF(B291="","",IF(B291+1&gt;Comparateur!$C$47,"",B291+1))</f>
        <v>285</v>
      </c>
      <c r="C292" s="18">
        <f>IF(OR($B292="",Comparateur!C$17&lt;&gt;"OK",$B292&gt;Comparateur!C$11),"",ROUND(F291*Comparateur!C$10/12,2))</f>
        <v>37.15</v>
      </c>
      <c r="D292" s="18">
        <f>IF(C292="","",IF($B292=Comparateur!C$11,F291,Comparateur!C$20-C292))</f>
        <v>840.02</v>
      </c>
      <c r="E292" s="18">
        <f>IF(C292="","",ROUND(IF(Comparateur!C$12=Paramètres!$B$36,Comparateur!C$9,F291)*Comparateur!C$13/12,2))</f>
        <v>63</v>
      </c>
      <c r="F292" s="31">
        <f t="shared" si="36"/>
        <v>12876.46</v>
      </c>
      <c r="G292" s="18">
        <f t="shared" si="37"/>
        <v>940.17</v>
      </c>
      <c r="H292" s="18">
        <f t="shared" si="38"/>
        <v>877.17</v>
      </c>
      <c r="I292" s="18">
        <f>IF(OR($B292="",Comparateur!D$17&lt;&gt;"OK",$B292&gt;Comparateur!D$11),"",ROUND(L291*Comparateur!D$10/12,2))</f>
        <v>39.450000000000003</v>
      </c>
      <c r="J292" s="18">
        <f>IF(I292="","",IF($B292=Comparateur!D$11,L291,Comparateur!D$20-I292))</f>
        <v>852.05</v>
      </c>
      <c r="K292" s="18">
        <f>IF(I292="","",ROUND(IF(Comparateur!D$12=Paramètres!$B$36,Comparateur!D$9,L291)*Comparateur!D$13/12,2))</f>
        <v>2.09</v>
      </c>
      <c r="L292" s="31">
        <f t="shared" si="39"/>
        <v>13073.12</v>
      </c>
      <c r="M292" s="18">
        <f t="shared" si="40"/>
        <v>893.59</v>
      </c>
      <c r="N292" s="18">
        <f t="shared" si="41"/>
        <v>891.5</v>
      </c>
      <c r="O292" s="18">
        <f>IF(OR($B292="",Comparateur!E$17&lt;&gt;"OK",$B292&gt;Comparateur!E$11),"",ROUND(R291*Comparateur!E$10/12,2))</f>
        <v>41.82</v>
      </c>
      <c r="P292" s="18">
        <f>IF(O292="","",IF($B292=Comparateur!E$11,R291,Comparateur!E$20-O292))</f>
        <v>864.14</v>
      </c>
      <c r="Q292" s="18">
        <f>IF(O292="","",ROUND(IF(Comparateur!E$12=Paramètres!$B$36,Comparateur!E$9,R291)*Comparateur!E$13/12,2))</f>
        <v>30</v>
      </c>
      <c r="R292" s="31">
        <f t="shared" si="42"/>
        <v>13271.47</v>
      </c>
      <c r="S292" s="18">
        <f t="shared" si="43"/>
        <v>935.96</v>
      </c>
      <c r="T292" s="18">
        <f t="shared" si="44"/>
        <v>905.96</v>
      </c>
    </row>
    <row r="293" spans="2:20" x14ac:dyDescent="0.35">
      <c r="B293" s="29">
        <f>IF(B292="","",IF(B292+1&gt;Comparateur!$C$47,"",B292+1))</f>
        <v>286</v>
      </c>
      <c r="C293" s="18">
        <f>IF(OR($B293="",Comparateur!C$17&lt;&gt;"OK",$B293&gt;Comparateur!C$11),"",ROUND(F292*Comparateur!C$10/12,2))</f>
        <v>34.869999999999997</v>
      </c>
      <c r="D293" s="18">
        <f>IF(C293="","",IF($B293=Comparateur!C$11,F292,Comparateur!C$20-C293))</f>
        <v>842.3</v>
      </c>
      <c r="E293" s="18">
        <f>IF(C293="","",ROUND(IF(Comparateur!C$12=Paramètres!$B$36,Comparateur!C$9,F292)*Comparateur!C$13/12,2))</f>
        <v>63</v>
      </c>
      <c r="F293" s="31">
        <f t="shared" si="36"/>
        <v>12034.16</v>
      </c>
      <c r="G293" s="18">
        <f t="shared" si="37"/>
        <v>940.17</v>
      </c>
      <c r="H293" s="18">
        <f t="shared" si="38"/>
        <v>877.17</v>
      </c>
      <c r="I293" s="18">
        <f>IF(OR($B293="",Comparateur!D$17&lt;&gt;"OK",$B293&gt;Comparateur!D$11),"",ROUND(L292*Comparateur!D$10/12,2))</f>
        <v>37.04</v>
      </c>
      <c r="J293" s="18">
        <f>IF(I293="","",IF($B293=Comparateur!D$11,L292,Comparateur!D$20-I293))</f>
        <v>854.46</v>
      </c>
      <c r="K293" s="18">
        <f>IF(I293="","",ROUND(IF(Comparateur!D$12=Paramètres!$B$36,Comparateur!D$9,L292)*Comparateur!D$13/12,2))</f>
        <v>1.96</v>
      </c>
      <c r="L293" s="31">
        <f t="shared" si="39"/>
        <v>12218.66</v>
      </c>
      <c r="M293" s="18">
        <f t="shared" si="40"/>
        <v>893.46</v>
      </c>
      <c r="N293" s="18">
        <f t="shared" si="41"/>
        <v>891.5</v>
      </c>
      <c r="O293" s="18">
        <f>IF(OR($B293="",Comparateur!E$17&lt;&gt;"OK",$B293&gt;Comparateur!E$11),"",ROUND(R292*Comparateur!E$10/12,2))</f>
        <v>39.26</v>
      </c>
      <c r="P293" s="18">
        <f>IF(O293="","",IF($B293=Comparateur!E$11,R292,Comparateur!E$20-O293))</f>
        <v>866.7</v>
      </c>
      <c r="Q293" s="18">
        <f>IF(O293="","",ROUND(IF(Comparateur!E$12=Paramètres!$B$36,Comparateur!E$9,R292)*Comparateur!E$13/12,2))</f>
        <v>30</v>
      </c>
      <c r="R293" s="31">
        <f t="shared" si="42"/>
        <v>12404.77</v>
      </c>
      <c r="S293" s="18">
        <f t="shared" si="43"/>
        <v>935.96</v>
      </c>
      <c r="T293" s="18">
        <f t="shared" si="44"/>
        <v>905.96</v>
      </c>
    </row>
    <row r="294" spans="2:20" x14ac:dyDescent="0.35">
      <c r="B294" s="29">
        <f>IF(B293="","",IF(B293+1&gt;Comparateur!$C$47,"",B293+1))</f>
        <v>287</v>
      </c>
      <c r="C294" s="18">
        <f>IF(OR($B294="",Comparateur!C$17&lt;&gt;"OK",$B294&gt;Comparateur!C$11),"",ROUND(F293*Comparateur!C$10/12,2))</f>
        <v>32.590000000000003</v>
      </c>
      <c r="D294" s="18">
        <f>IF(C294="","",IF($B294=Comparateur!C$11,F293,Comparateur!C$20-C294))</f>
        <v>844.57999999999993</v>
      </c>
      <c r="E294" s="18">
        <f>IF(C294="","",ROUND(IF(Comparateur!C$12=Paramètres!$B$36,Comparateur!C$9,F293)*Comparateur!C$13/12,2))</f>
        <v>63</v>
      </c>
      <c r="F294" s="31">
        <f t="shared" si="36"/>
        <v>11189.58</v>
      </c>
      <c r="G294" s="18">
        <f t="shared" si="37"/>
        <v>940.17</v>
      </c>
      <c r="H294" s="18">
        <f t="shared" si="38"/>
        <v>877.17</v>
      </c>
      <c r="I294" s="18">
        <f>IF(OR($B294="",Comparateur!D$17&lt;&gt;"OK",$B294&gt;Comparateur!D$11),"",ROUND(L293*Comparateur!D$10/12,2))</f>
        <v>34.619999999999997</v>
      </c>
      <c r="J294" s="18">
        <f>IF(I294="","",IF($B294=Comparateur!D$11,L293,Comparateur!D$20-I294))</f>
        <v>856.88</v>
      </c>
      <c r="K294" s="18">
        <f>IF(I294="","",ROUND(IF(Comparateur!D$12=Paramètres!$B$36,Comparateur!D$9,L293)*Comparateur!D$13/12,2))</f>
        <v>1.83</v>
      </c>
      <c r="L294" s="31">
        <f t="shared" si="39"/>
        <v>11361.78</v>
      </c>
      <c r="M294" s="18">
        <f t="shared" si="40"/>
        <v>893.33</v>
      </c>
      <c r="N294" s="18">
        <f t="shared" si="41"/>
        <v>891.5</v>
      </c>
      <c r="O294" s="18">
        <f>IF(OR($B294="",Comparateur!E$17&lt;&gt;"OK",$B294&gt;Comparateur!E$11),"",ROUND(R293*Comparateur!E$10/12,2))</f>
        <v>36.700000000000003</v>
      </c>
      <c r="P294" s="18">
        <f>IF(O294="","",IF($B294=Comparateur!E$11,R293,Comparateur!E$20-O294))</f>
        <v>869.26</v>
      </c>
      <c r="Q294" s="18">
        <f>IF(O294="","",ROUND(IF(Comparateur!E$12=Paramètres!$B$36,Comparateur!E$9,R293)*Comparateur!E$13/12,2))</f>
        <v>30</v>
      </c>
      <c r="R294" s="31">
        <f t="shared" si="42"/>
        <v>11535.51</v>
      </c>
      <c r="S294" s="18">
        <f t="shared" si="43"/>
        <v>935.96</v>
      </c>
      <c r="T294" s="18">
        <f t="shared" si="44"/>
        <v>905.96</v>
      </c>
    </row>
    <row r="295" spans="2:20" x14ac:dyDescent="0.35">
      <c r="B295" s="29">
        <f>IF(B294="","",IF(B294+1&gt;Comparateur!$C$47,"",B294+1))</f>
        <v>288</v>
      </c>
      <c r="C295" s="18">
        <f>IF(OR($B295="",Comparateur!C$17&lt;&gt;"OK",$B295&gt;Comparateur!C$11),"",ROUND(F294*Comparateur!C$10/12,2))</f>
        <v>30.31</v>
      </c>
      <c r="D295" s="18">
        <f>IF(C295="","",IF($B295=Comparateur!C$11,F294,Comparateur!C$20-C295))</f>
        <v>846.86</v>
      </c>
      <c r="E295" s="18">
        <f>IF(C295="","",ROUND(IF(Comparateur!C$12=Paramètres!$B$36,Comparateur!C$9,F294)*Comparateur!C$13/12,2))</f>
        <v>63</v>
      </c>
      <c r="F295" s="31">
        <f t="shared" si="36"/>
        <v>10342.719999999999</v>
      </c>
      <c r="G295" s="18">
        <f t="shared" si="37"/>
        <v>940.17</v>
      </c>
      <c r="H295" s="18">
        <f t="shared" si="38"/>
        <v>877.17</v>
      </c>
      <c r="I295" s="18">
        <f>IF(OR($B295="",Comparateur!D$17&lt;&gt;"OK",$B295&gt;Comparateur!D$11),"",ROUND(L294*Comparateur!D$10/12,2))</f>
        <v>32.19</v>
      </c>
      <c r="J295" s="18">
        <f>IF(I295="","",IF($B295=Comparateur!D$11,L294,Comparateur!D$20-I295))</f>
        <v>859.31</v>
      </c>
      <c r="K295" s="18">
        <f>IF(I295="","",ROUND(IF(Comparateur!D$12=Paramètres!$B$36,Comparateur!D$9,L294)*Comparateur!D$13/12,2))</f>
        <v>1.7</v>
      </c>
      <c r="L295" s="31">
        <f t="shared" si="39"/>
        <v>10502.47</v>
      </c>
      <c r="M295" s="18">
        <f t="shared" si="40"/>
        <v>893.2</v>
      </c>
      <c r="N295" s="18">
        <f t="shared" si="41"/>
        <v>891.5</v>
      </c>
      <c r="O295" s="18">
        <f>IF(OR($B295="",Comparateur!E$17&lt;&gt;"OK",$B295&gt;Comparateur!E$11),"",ROUND(R294*Comparateur!E$10/12,2))</f>
        <v>34.130000000000003</v>
      </c>
      <c r="P295" s="18">
        <f>IF(O295="","",IF($B295=Comparateur!E$11,R294,Comparateur!E$20-O295))</f>
        <v>871.83</v>
      </c>
      <c r="Q295" s="18">
        <f>IF(O295="","",ROUND(IF(Comparateur!E$12=Paramètres!$B$36,Comparateur!E$9,R294)*Comparateur!E$13/12,2))</f>
        <v>30</v>
      </c>
      <c r="R295" s="31">
        <f t="shared" si="42"/>
        <v>10663.68</v>
      </c>
      <c r="S295" s="18">
        <f t="shared" si="43"/>
        <v>935.96</v>
      </c>
      <c r="T295" s="18">
        <f t="shared" si="44"/>
        <v>905.96</v>
      </c>
    </row>
    <row r="296" spans="2:20" x14ac:dyDescent="0.35">
      <c r="B296" s="29">
        <f>IF(B295="","",IF(B295+1&gt;Comparateur!$C$47,"",B295+1))</f>
        <v>289</v>
      </c>
      <c r="C296" s="18">
        <f>IF(OR($B296="",Comparateur!C$17&lt;&gt;"OK",$B296&gt;Comparateur!C$11),"",ROUND(F295*Comparateur!C$10/12,2))</f>
        <v>28.01</v>
      </c>
      <c r="D296" s="18">
        <f>IF(C296="","",IF($B296=Comparateur!C$11,F295,Comparateur!C$20-C296))</f>
        <v>849.16</v>
      </c>
      <c r="E296" s="18">
        <f>IF(C296="","",ROUND(IF(Comparateur!C$12=Paramètres!$B$36,Comparateur!C$9,F295)*Comparateur!C$13/12,2))</f>
        <v>63</v>
      </c>
      <c r="F296" s="31">
        <f t="shared" si="36"/>
        <v>9493.56</v>
      </c>
      <c r="G296" s="18">
        <f t="shared" si="37"/>
        <v>940.17</v>
      </c>
      <c r="H296" s="18">
        <f t="shared" si="38"/>
        <v>877.17</v>
      </c>
      <c r="I296" s="18">
        <f>IF(OR($B296="",Comparateur!D$17&lt;&gt;"OK",$B296&gt;Comparateur!D$11),"",ROUND(L295*Comparateur!D$10/12,2))</f>
        <v>29.76</v>
      </c>
      <c r="J296" s="18">
        <f>IF(I296="","",IF($B296=Comparateur!D$11,L295,Comparateur!D$20-I296))</f>
        <v>861.74</v>
      </c>
      <c r="K296" s="18">
        <f>IF(I296="","",ROUND(IF(Comparateur!D$12=Paramètres!$B$36,Comparateur!D$9,L295)*Comparateur!D$13/12,2))</f>
        <v>1.58</v>
      </c>
      <c r="L296" s="31">
        <f t="shared" si="39"/>
        <v>9640.73</v>
      </c>
      <c r="M296" s="18">
        <f t="shared" si="40"/>
        <v>893.08</v>
      </c>
      <c r="N296" s="18">
        <f t="shared" si="41"/>
        <v>891.5</v>
      </c>
      <c r="O296" s="18">
        <f>IF(OR($B296="",Comparateur!E$17&lt;&gt;"OK",$B296&gt;Comparateur!E$11),"",ROUND(R295*Comparateur!E$10/12,2))</f>
        <v>31.55</v>
      </c>
      <c r="P296" s="18">
        <f>IF(O296="","",IF($B296=Comparateur!E$11,R295,Comparateur!E$20-O296))</f>
        <v>874.41000000000008</v>
      </c>
      <c r="Q296" s="18">
        <f>IF(O296="","",ROUND(IF(Comparateur!E$12=Paramètres!$B$36,Comparateur!E$9,R295)*Comparateur!E$13/12,2))</f>
        <v>30</v>
      </c>
      <c r="R296" s="31">
        <f t="shared" si="42"/>
        <v>9789.27</v>
      </c>
      <c r="S296" s="18">
        <f t="shared" si="43"/>
        <v>935.96</v>
      </c>
      <c r="T296" s="18">
        <f t="shared" si="44"/>
        <v>905.96</v>
      </c>
    </row>
    <row r="297" spans="2:20" x14ac:dyDescent="0.35">
      <c r="B297" s="29">
        <f>IF(B296="","",IF(B296+1&gt;Comparateur!$C$47,"",B296+1))</f>
        <v>290</v>
      </c>
      <c r="C297" s="18">
        <f>IF(OR($B297="",Comparateur!C$17&lt;&gt;"OK",$B297&gt;Comparateur!C$11),"",ROUND(F296*Comparateur!C$10/12,2))</f>
        <v>25.71</v>
      </c>
      <c r="D297" s="18">
        <f>IF(C297="","",IF($B297=Comparateur!C$11,F296,Comparateur!C$20-C297))</f>
        <v>851.45999999999992</v>
      </c>
      <c r="E297" s="18">
        <f>IF(C297="","",ROUND(IF(Comparateur!C$12=Paramètres!$B$36,Comparateur!C$9,F296)*Comparateur!C$13/12,2))</f>
        <v>63</v>
      </c>
      <c r="F297" s="31">
        <f t="shared" si="36"/>
        <v>8642.1</v>
      </c>
      <c r="G297" s="18">
        <f t="shared" si="37"/>
        <v>940.17</v>
      </c>
      <c r="H297" s="18">
        <f t="shared" si="38"/>
        <v>877.17</v>
      </c>
      <c r="I297" s="18">
        <f>IF(OR($B297="",Comparateur!D$17&lt;&gt;"OK",$B297&gt;Comparateur!D$11),"",ROUND(L296*Comparateur!D$10/12,2))</f>
        <v>27.32</v>
      </c>
      <c r="J297" s="18">
        <f>IF(I297="","",IF($B297=Comparateur!D$11,L296,Comparateur!D$20-I297))</f>
        <v>864.18</v>
      </c>
      <c r="K297" s="18">
        <f>IF(I297="","",ROUND(IF(Comparateur!D$12=Paramètres!$B$36,Comparateur!D$9,L296)*Comparateur!D$13/12,2))</f>
        <v>1.45</v>
      </c>
      <c r="L297" s="31">
        <f t="shared" si="39"/>
        <v>8776.5499999999993</v>
      </c>
      <c r="M297" s="18">
        <f t="shared" si="40"/>
        <v>892.95</v>
      </c>
      <c r="N297" s="18">
        <f t="shared" si="41"/>
        <v>891.5</v>
      </c>
      <c r="O297" s="18">
        <f>IF(OR($B297="",Comparateur!E$17&lt;&gt;"OK",$B297&gt;Comparateur!E$11),"",ROUND(R296*Comparateur!E$10/12,2))</f>
        <v>28.96</v>
      </c>
      <c r="P297" s="18">
        <f>IF(O297="","",IF($B297=Comparateur!E$11,R296,Comparateur!E$20-O297))</f>
        <v>877</v>
      </c>
      <c r="Q297" s="18">
        <f>IF(O297="","",ROUND(IF(Comparateur!E$12=Paramètres!$B$36,Comparateur!E$9,R296)*Comparateur!E$13/12,2))</f>
        <v>30</v>
      </c>
      <c r="R297" s="31">
        <f t="shared" si="42"/>
        <v>8912.27</v>
      </c>
      <c r="S297" s="18">
        <f t="shared" si="43"/>
        <v>935.96</v>
      </c>
      <c r="T297" s="18">
        <f t="shared" si="44"/>
        <v>905.96</v>
      </c>
    </row>
    <row r="298" spans="2:20" x14ac:dyDescent="0.35">
      <c r="B298" s="29">
        <f>IF(B297="","",IF(B297+1&gt;Comparateur!$C$47,"",B297+1))</f>
        <v>291</v>
      </c>
      <c r="C298" s="18">
        <f>IF(OR($B298="",Comparateur!C$17&lt;&gt;"OK",$B298&gt;Comparateur!C$11),"",ROUND(F297*Comparateur!C$10/12,2))</f>
        <v>23.41</v>
      </c>
      <c r="D298" s="18">
        <f>IF(C298="","",IF($B298=Comparateur!C$11,F297,Comparateur!C$20-C298))</f>
        <v>853.76</v>
      </c>
      <c r="E298" s="18">
        <f>IF(C298="","",ROUND(IF(Comparateur!C$12=Paramètres!$B$36,Comparateur!C$9,F297)*Comparateur!C$13/12,2))</f>
        <v>63</v>
      </c>
      <c r="F298" s="31">
        <f t="shared" si="36"/>
        <v>7788.34</v>
      </c>
      <c r="G298" s="18">
        <f t="shared" si="37"/>
        <v>940.17</v>
      </c>
      <c r="H298" s="18">
        <f t="shared" si="38"/>
        <v>877.17</v>
      </c>
      <c r="I298" s="18">
        <f>IF(OR($B298="",Comparateur!D$17&lt;&gt;"OK",$B298&gt;Comparateur!D$11),"",ROUND(L297*Comparateur!D$10/12,2))</f>
        <v>24.87</v>
      </c>
      <c r="J298" s="18">
        <f>IF(I298="","",IF($B298=Comparateur!D$11,L297,Comparateur!D$20-I298))</f>
        <v>866.63</v>
      </c>
      <c r="K298" s="18">
        <f>IF(I298="","",ROUND(IF(Comparateur!D$12=Paramètres!$B$36,Comparateur!D$9,L297)*Comparateur!D$13/12,2))</f>
        <v>1.32</v>
      </c>
      <c r="L298" s="31">
        <f t="shared" si="39"/>
        <v>7909.92</v>
      </c>
      <c r="M298" s="18">
        <f t="shared" si="40"/>
        <v>892.82</v>
      </c>
      <c r="N298" s="18">
        <f t="shared" si="41"/>
        <v>891.5</v>
      </c>
      <c r="O298" s="18">
        <f>IF(OR($B298="",Comparateur!E$17&lt;&gt;"OK",$B298&gt;Comparateur!E$11),"",ROUND(R297*Comparateur!E$10/12,2))</f>
        <v>26.37</v>
      </c>
      <c r="P298" s="18">
        <f>IF(O298="","",IF($B298=Comparateur!E$11,R297,Comparateur!E$20-O298))</f>
        <v>879.59</v>
      </c>
      <c r="Q298" s="18">
        <f>IF(O298="","",ROUND(IF(Comparateur!E$12=Paramètres!$B$36,Comparateur!E$9,R297)*Comparateur!E$13/12,2))</f>
        <v>30</v>
      </c>
      <c r="R298" s="31">
        <f t="shared" si="42"/>
        <v>8032.68</v>
      </c>
      <c r="S298" s="18">
        <f t="shared" si="43"/>
        <v>935.96</v>
      </c>
      <c r="T298" s="18">
        <f t="shared" si="44"/>
        <v>905.96</v>
      </c>
    </row>
    <row r="299" spans="2:20" x14ac:dyDescent="0.35">
      <c r="B299" s="29">
        <f>IF(B298="","",IF(B298+1&gt;Comparateur!$C$47,"",B298+1))</f>
        <v>292</v>
      </c>
      <c r="C299" s="18">
        <f>IF(OR($B299="",Comparateur!C$17&lt;&gt;"OK",$B299&gt;Comparateur!C$11),"",ROUND(F298*Comparateur!C$10/12,2))</f>
        <v>21.09</v>
      </c>
      <c r="D299" s="18">
        <f>IF(C299="","",IF($B299=Comparateur!C$11,F298,Comparateur!C$20-C299))</f>
        <v>856.07999999999993</v>
      </c>
      <c r="E299" s="18">
        <f>IF(C299="","",ROUND(IF(Comparateur!C$12=Paramètres!$B$36,Comparateur!C$9,F298)*Comparateur!C$13/12,2))</f>
        <v>63</v>
      </c>
      <c r="F299" s="31">
        <f t="shared" si="36"/>
        <v>6932.26</v>
      </c>
      <c r="G299" s="18">
        <f t="shared" si="37"/>
        <v>940.17</v>
      </c>
      <c r="H299" s="18">
        <f t="shared" si="38"/>
        <v>877.17</v>
      </c>
      <c r="I299" s="18">
        <f>IF(OR($B299="",Comparateur!D$17&lt;&gt;"OK",$B299&gt;Comparateur!D$11),"",ROUND(L298*Comparateur!D$10/12,2))</f>
        <v>22.41</v>
      </c>
      <c r="J299" s="18">
        <f>IF(I299="","",IF($B299=Comparateur!D$11,L298,Comparateur!D$20-I299))</f>
        <v>869.09</v>
      </c>
      <c r="K299" s="18">
        <f>IF(I299="","",ROUND(IF(Comparateur!D$12=Paramètres!$B$36,Comparateur!D$9,L298)*Comparateur!D$13/12,2))</f>
        <v>1.19</v>
      </c>
      <c r="L299" s="31">
        <f t="shared" si="39"/>
        <v>7040.83</v>
      </c>
      <c r="M299" s="18">
        <f t="shared" si="40"/>
        <v>892.69</v>
      </c>
      <c r="N299" s="18">
        <f t="shared" si="41"/>
        <v>891.5</v>
      </c>
      <c r="O299" s="18">
        <f>IF(OR($B299="",Comparateur!E$17&lt;&gt;"OK",$B299&gt;Comparateur!E$11),"",ROUND(R298*Comparateur!E$10/12,2))</f>
        <v>23.76</v>
      </c>
      <c r="P299" s="18">
        <f>IF(O299="","",IF($B299=Comparateur!E$11,R298,Comparateur!E$20-O299))</f>
        <v>882.2</v>
      </c>
      <c r="Q299" s="18">
        <f>IF(O299="","",ROUND(IF(Comparateur!E$12=Paramètres!$B$36,Comparateur!E$9,R298)*Comparateur!E$13/12,2))</f>
        <v>30</v>
      </c>
      <c r="R299" s="31">
        <f t="shared" si="42"/>
        <v>7150.48</v>
      </c>
      <c r="S299" s="18">
        <f t="shared" si="43"/>
        <v>935.96</v>
      </c>
      <c r="T299" s="18">
        <f t="shared" si="44"/>
        <v>905.96</v>
      </c>
    </row>
    <row r="300" spans="2:20" x14ac:dyDescent="0.35">
      <c r="B300" s="29">
        <f>IF(B299="","",IF(B299+1&gt;Comparateur!$C$47,"",B299+1))</f>
        <v>293</v>
      </c>
      <c r="C300" s="18">
        <f>IF(OR($B300="",Comparateur!C$17&lt;&gt;"OK",$B300&gt;Comparateur!C$11),"",ROUND(F299*Comparateur!C$10/12,2))</f>
        <v>18.77</v>
      </c>
      <c r="D300" s="18">
        <f>IF(C300="","",IF($B300=Comparateur!C$11,F299,Comparateur!C$20-C300))</f>
        <v>858.4</v>
      </c>
      <c r="E300" s="18">
        <f>IF(C300="","",ROUND(IF(Comparateur!C$12=Paramètres!$B$36,Comparateur!C$9,F299)*Comparateur!C$13/12,2))</f>
        <v>63</v>
      </c>
      <c r="F300" s="31">
        <f t="shared" si="36"/>
        <v>6073.86</v>
      </c>
      <c r="G300" s="18">
        <f t="shared" si="37"/>
        <v>940.17</v>
      </c>
      <c r="H300" s="18">
        <f t="shared" si="38"/>
        <v>877.17</v>
      </c>
      <c r="I300" s="18">
        <f>IF(OR($B300="",Comparateur!D$17&lt;&gt;"OK",$B300&gt;Comparateur!D$11),"",ROUND(L299*Comparateur!D$10/12,2))</f>
        <v>19.95</v>
      </c>
      <c r="J300" s="18">
        <f>IF(I300="","",IF($B300=Comparateur!D$11,L299,Comparateur!D$20-I300))</f>
        <v>871.55</v>
      </c>
      <c r="K300" s="18">
        <f>IF(I300="","",ROUND(IF(Comparateur!D$12=Paramètres!$B$36,Comparateur!D$9,L299)*Comparateur!D$13/12,2))</f>
        <v>1.06</v>
      </c>
      <c r="L300" s="31">
        <f t="shared" si="39"/>
        <v>6169.28</v>
      </c>
      <c r="M300" s="18">
        <f t="shared" si="40"/>
        <v>892.56</v>
      </c>
      <c r="N300" s="18">
        <f t="shared" si="41"/>
        <v>891.5</v>
      </c>
      <c r="O300" s="18">
        <f>IF(OR($B300="",Comparateur!E$17&lt;&gt;"OK",$B300&gt;Comparateur!E$11),"",ROUND(R299*Comparateur!E$10/12,2))</f>
        <v>21.15</v>
      </c>
      <c r="P300" s="18">
        <f>IF(O300="","",IF($B300=Comparateur!E$11,R299,Comparateur!E$20-O300))</f>
        <v>884.81000000000006</v>
      </c>
      <c r="Q300" s="18">
        <f>IF(O300="","",ROUND(IF(Comparateur!E$12=Paramètres!$B$36,Comparateur!E$9,R299)*Comparateur!E$13/12,2))</f>
        <v>30</v>
      </c>
      <c r="R300" s="31">
        <f t="shared" si="42"/>
        <v>6265.67</v>
      </c>
      <c r="S300" s="18">
        <f t="shared" si="43"/>
        <v>935.96</v>
      </c>
      <c r="T300" s="18">
        <f t="shared" si="44"/>
        <v>905.96</v>
      </c>
    </row>
    <row r="301" spans="2:20" x14ac:dyDescent="0.35">
      <c r="B301" s="29">
        <f>IF(B300="","",IF(B300+1&gt;Comparateur!$C$47,"",B300+1))</f>
        <v>294</v>
      </c>
      <c r="C301" s="18">
        <f>IF(OR($B301="",Comparateur!C$17&lt;&gt;"OK",$B301&gt;Comparateur!C$11),"",ROUND(F300*Comparateur!C$10/12,2))</f>
        <v>16.45</v>
      </c>
      <c r="D301" s="18">
        <f>IF(C301="","",IF($B301=Comparateur!C$11,F300,Comparateur!C$20-C301))</f>
        <v>860.71999999999991</v>
      </c>
      <c r="E301" s="18">
        <f>IF(C301="","",ROUND(IF(Comparateur!C$12=Paramètres!$B$36,Comparateur!C$9,F300)*Comparateur!C$13/12,2))</f>
        <v>63</v>
      </c>
      <c r="F301" s="31">
        <f t="shared" si="36"/>
        <v>5213.1400000000003</v>
      </c>
      <c r="G301" s="18">
        <f t="shared" si="37"/>
        <v>940.17</v>
      </c>
      <c r="H301" s="18">
        <f t="shared" si="38"/>
        <v>877.17</v>
      </c>
      <c r="I301" s="18">
        <f>IF(OR($B301="",Comparateur!D$17&lt;&gt;"OK",$B301&gt;Comparateur!D$11),"",ROUND(L300*Comparateur!D$10/12,2))</f>
        <v>17.48</v>
      </c>
      <c r="J301" s="18">
        <f>IF(I301="","",IF($B301=Comparateur!D$11,L300,Comparateur!D$20-I301))</f>
        <v>874.02</v>
      </c>
      <c r="K301" s="18">
        <f>IF(I301="","",ROUND(IF(Comparateur!D$12=Paramètres!$B$36,Comparateur!D$9,L300)*Comparateur!D$13/12,2))</f>
        <v>0.93</v>
      </c>
      <c r="L301" s="31">
        <f t="shared" si="39"/>
        <v>5295.26</v>
      </c>
      <c r="M301" s="18">
        <f t="shared" si="40"/>
        <v>892.43</v>
      </c>
      <c r="N301" s="18">
        <f t="shared" si="41"/>
        <v>891.5</v>
      </c>
      <c r="O301" s="18">
        <f>IF(OR($B301="",Comparateur!E$17&lt;&gt;"OK",$B301&gt;Comparateur!E$11),"",ROUND(R300*Comparateur!E$10/12,2))</f>
        <v>18.54</v>
      </c>
      <c r="P301" s="18">
        <f>IF(O301="","",IF($B301=Comparateur!E$11,R300,Comparateur!E$20-O301))</f>
        <v>887.42000000000007</v>
      </c>
      <c r="Q301" s="18">
        <f>IF(O301="","",ROUND(IF(Comparateur!E$12=Paramètres!$B$36,Comparateur!E$9,R300)*Comparateur!E$13/12,2))</f>
        <v>30</v>
      </c>
      <c r="R301" s="31">
        <f t="shared" si="42"/>
        <v>5378.25</v>
      </c>
      <c r="S301" s="18">
        <f t="shared" si="43"/>
        <v>935.96</v>
      </c>
      <c r="T301" s="18">
        <f t="shared" si="44"/>
        <v>905.96</v>
      </c>
    </row>
    <row r="302" spans="2:20" x14ac:dyDescent="0.35">
      <c r="B302" s="29">
        <f>IF(B301="","",IF(B301+1&gt;Comparateur!$C$47,"",B301+1))</f>
        <v>295</v>
      </c>
      <c r="C302" s="18">
        <f>IF(OR($B302="",Comparateur!C$17&lt;&gt;"OK",$B302&gt;Comparateur!C$11),"",ROUND(F301*Comparateur!C$10/12,2))</f>
        <v>14.12</v>
      </c>
      <c r="D302" s="18">
        <f>IF(C302="","",IF($B302=Comparateur!C$11,F301,Comparateur!C$20-C302))</f>
        <v>863.05</v>
      </c>
      <c r="E302" s="18">
        <f>IF(C302="","",ROUND(IF(Comparateur!C$12=Paramètres!$B$36,Comparateur!C$9,F301)*Comparateur!C$13/12,2))</f>
        <v>63</v>
      </c>
      <c r="F302" s="31">
        <f t="shared" si="36"/>
        <v>4350.09</v>
      </c>
      <c r="G302" s="18">
        <f t="shared" si="37"/>
        <v>940.17</v>
      </c>
      <c r="H302" s="18">
        <f t="shared" si="38"/>
        <v>877.17</v>
      </c>
      <c r="I302" s="18">
        <f>IF(OR($B302="",Comparateur!D$17&lt;&gt;"OK",$B302&gt;Comparateur!D$11),"",ROUND(L301*Comparateur!D$10/12,2))</f>
        <v>15</v>
      </c>
      <c r="J302" s="18">
        <f>IF(I302="","",IF($B302=Comparateur!D$11,L301,Comparateur!D$20-I302))</f>
        <v>876.5</v>
      </c>
      <c r="K302" s="18">
        <f>IF(I302="","",ROUND(IF(Comparateur!D$12=Paramètres!$B$36,Comparateur!D$9,L301)*Comparateur!D$13/12,2))</f>
        <v>0.79</v>
      </c>
      <c r="L302" s="31">
        <f t="shared" si="39"/>
        <v>4418.76</v>
      </c>
      <c r="M302" s="18">
        <f t="shared" si="40"/>
        <v>892.29</v>
      </c>
      <c r="N302" s="18">
        <f t="shared" si="41"/>
        <v>891.5</v>
      </c>
      <c r="O302" s="18">
        <f>IF(OR($B302="",Comparateur!E$17&lt;&gt;"OK",$B302&gt;Comparateur!E$11),"",ROUND(R301*Comparateur!E$10/12,2))</f>
        <v>15.91</v>
      </c>
      <c r="P302" s="18">
        <f>IF(O302="","",IF($B302=Comparateur!E$11,R301,Comparateur!E$20-O302))</f>
        <v>890.05000000000007</v>
      </c>
      <c r="Q302" s="18">
        <f>IF(O302="","",ROUND(IF(Comparateur!E$12=Paramètres!$B$36,Comparateur!E$9,R301)*Comparateur!E$13/12,2))</f>
        <v>30</v>
      </c>
      <c r="R302" s="31">
        <f t="shared" si="42"/>
        <v>4488.2</v>
      </c>
      <c r="S302" s="18">
        <f t="shared" si="43"/>
        <v>935.96</v>
      </c>
      <c r="T302" s="18">
        <f t="shared" si="44"/>
        <v>905.96</v>
      </c>
    </row>
    <row r="303" spans="2:20" x14ac:dyDescent="0.35">
      <c r="B303" s="29">
        <f>IF(B302="","",IF(B302+1&gt;Comparateur!$C$47,"",B302+1))</f>
        <v>296</v>
      </c>
      <c r="C303" s="18">
        <f>IF(OR($B303="",Comparateur!C$17&lt;&gt;"OK",$B303&gt;Comparateur!C$11),"",ROUND(F302*Comparateur!C$10/12,2))</f>
        <v>11.78</v>
      </c>
      <c r="D303" s="18">
        <f>IF(C303="","",IF($B303=Comparateur!C$11,F302,Comparateur!C$20-C303))</f>
        <v>865.39</v>
      </c>
      <c r="E303" s="18">
        <f>IF(C303="","",ROUND(IF(Comparateur!C$12=Paramètres!$B$36,Comparateur!C$9,F302)*Comparateur!C$13/12,2))</f>
        <v>63</v>
      </c>
      <c r="F303" s="31">
        <f t="shared" si="36"/>
        <v>3484.7</v>
      </c>
      <c r="G303" s="18">
        <f t="shared" si="37"/>
        <v>940.17</v>
      </c>
      <c r="H303" s="18">
        <f t="shared" si="38"/>
        <v>877.17</v>
      </c>
      <c r="I303" s="18">
        <f>IF(OR($B303="",Comparateur!D$17&lt;&gt;"OK",$B303&gt;Comparateur!D$11),"",ROUND(L302*Comparateur!D$10/12,2))</f>
        <v>12.52</v>
      </c>
      <c r="J303" s="18">
        <f>IF(I303="","",IF($B303=Comparateur!D$11,L302,Comparateur!D$20-I303))</f>
        <v>878.98</v>
      </c>
      <c r="K303" s="18">
        <f>IF(I303="","",ROUND(IF(Comparateur!D$12=Paramètres!$B$36,Comparateur!D$9,L302)*Comparateur!D$13/12,2))</f>
        <v>0.66</v>
      </c>
      <c r="L303" s="31">
        <f t="shared" si="39"/>
        <v>3539.78</v>
      </c>
      <c r="M303" s="18">
        <f t="shared" si="40"/>
        <v>892.16</v>
      </c>
      <c r="N303" s="18">
        <f t="shared" si="41"/>
        <v>891.5</v>
      </c>
      <c r="O303" s="18">
        <f>IF(OR($B303="",Comparateur!E$17&lt;&gt;"OK",$B303&gt;Comparateur!E$11),"",ROUND(R302*Comparateur!E$10/12,2))</f>
        <v>13.28</v>
      </c>
      <c r="P303" s="18">
        <f>IF(O303="","",IF($B303=Comparateur!E$11,R302,Comparateur!E$20-O303))</f>
        <v>892.68000000000006</v>
      </c>
      <c r="Q303" s="18">
        <f>IF(O303="","",ROUND(IF(Comparateur!E$12=Paramètres!$B$36,Comparateur!E$9,R302)*Comparateur!E$13/12,2))</f>
        <v>30</v>
      </c>
      <c r="R303" s="31">
        <f t="shared" si="42"/>
        <v>3595.52</v>
      </c>
      <c r="S303" s="18">
        <f t="shared" si="43"/>
        <v>935.96</v>
      </c>
      <c r="T303" s="18">
        <f t="shared" si="44"/>
        <v>905.96</v>
      </c>
    </row>
    <row r="304" spans="2:20" x14ac:dyDescent="0.35">
      <c r="B304" s="29">
        <f>IF(B303="","",IF(B303+1&gt;Comparateur!$C$47,"",B303+1))</f>
        <v>297</v>
      </c>
      <c r="C304" s="18">
        <f>IF(OR($B304="",Comparateur!C$17&lt;&gt;"OK",$B304&gt;Comparateur!C$11),"",ROUND(F303*Comparateur!C$10/12,2))</f>
        <v>9.44</v>
      </c>
      <c r="D304" s="18">
        <f>IF(C304="","",IF($B304=Comparateur!C$11,F303,Comparateur!C$20-C304))</f>
        <v>867.7299999999999</v>
      </c>
      <c r="E304" s="18">
        <f>IF(C304="","",ROUND(IF(Comparateur!C$12=Paramètres!$B$36,Comparateur!C$9,F303)*Comparateur!C$13/12,2))</f>
        <v>63</v>
      </c>
      <c r="F304" s="31">
        <f t="shared" si="36"/>
        <v>2616.9699999999998</v>
      </c>
      <c r="G304" s="18">
        <f t="shared" si="37"/>
        <v>940.17</v>
      </c>
      <c r="H304" s="18">
        <f t="shared" si="38"/>
        <v>877.17</v>
      </c>
      <c r="I304" s="18">
        <f>IF(OR($B304="",Comparateur!D$17&lt;&gt;"OK",$B304&gt;Comparateur!D$11),"",ROUND(L303*Comparateur!D$10/12,2))</f>
        <v>10.029999999999999</v>
      </c>
      <c r="J304" s="18">
        <f>IF(I304="","",IF($B304=Comparateur!D$11,L303,Comparateur!D$20-I304))</f>
        <v>881.47</v>
      </c>
      <c r="K304" s="18">
        <f>IF(I304="","",ROUND(IF(Comparateur!D$12=Paramètres!$B$36,Comparateur!D$9,L303)*Comparateur!D$13/12,2))</f>
        <v>0.53</v>
      </c>
      <c r="L304" s="31">
        <f t="shared" si="39"/>
        <v>2658.31</v>
      </c>
      <c r="M304" s="18">
        <f t="shared" si="40"/>
        <v>892.03</v>
      </c>
      <c r="N304" s="18">
        <f t="shared" si="41"/>
        <v>891.5</v>
      </c>
      <c r="O304" s="18">
        <f>IF(OR($B304="",Comparateur!E$17&lt;&gt;"OK",$B304&gt;Comparateur!E$11),"",ROUND(R303*Comparateur!E$10/12,2))</f>
        <v>10.64</v>
      </c>
      <c r="P304" s="18">
        <f>IF(O304="","",IF($B304=Comparateur!E$11,R303,Comparateur!E$20-O304))</f>
        <v>895.32</v>
      </c>
      <c r="Q304" s="18">
        <f>IF(O304="","",ROUND(IF(Comparateur!E$12=Paramètres!$B$36,Comparateur!E$9,R303)*Comparateur!E$13/12,2))</f>
        <v>30</v>
      </c>
      <c r="R304" s="31">
        <f t="shared" si="42"/>
        <v>2700.2</v>
      </c>
      <c r="S304" s="18">
        <f t="shared" si="43"/>
        <v>935.96</v>
      </c>
      <c r="T304" s="18">
        <f t="shared" si="44"/>
        <v>905.96</v>
      </c>
    </row>
    <row r="305" spans="2:20" x14ac:dyDescent="0.35">
      <c r="B305" s="29">
        <f>IF(B304="","",IF(B304+1&gt;Comparateur!$C$47,"",B304+1))</f>
        <v>298</v>
      </c>
      <c r="C305" s="18">
        <f>IF(OR($B305="",Comparateur!C$17&lt;&gt;"OK",$B305&gt;Comparateur!C$11),"",ROUND(F304*Comparateur!C$10/12,2))</f>
        <v>7.09</v>
      </c>
      <c r="D305" s="18">
        <f>IF(C305="","",IF($B305=Comparateur!C$11,F304,Comparateur!C$20-C305))</f>
        <v>870.07999999999993</v>
      </c>
      <c r="E305" s="18">
        <f>IF(C305="","",ROUND(IF(Comparateur!C$12=Paramètres!$B$36,Comparateur!C$9,F304)*Comparateur!C$13/12,2))</f>
        <v>63</v>
      </c>
      <c r="F305" s="31">
        <f t="shared" si="36"/>
        <v>1746.89</v>
      </c>
      <c r="G305" s="18">
        <f t="shared" si="37"/>
        <v>940.17</v>
      </c>
      <c r="H305" s="18">
        <f t="shared" si="38"/>
        <v>877.17</v>
      </c>
      <c r="I305" s="18">
        <f>IF(OR($B305="",Comparateur!D$17&lt;&gt;"OK",$B305&gt;Comparateur!D$11),"",ROUND(L304*Comparateur!D$10/12,2))</f>
        <v>7.53</v>
      </c>
      <c r="J305" s="18">
        <f>IF(I305="","",IF($B305=Comparateur!D$11,L304,Comparateur!D$20-I305))</f>
        <v>883.97</v>
      </c>
      <c r="K305" s="18">
        <f>IF(I305="","",ROUND(IF(Comparateur!D$12=Paramètres!$B$36,Comparateur!D$9,L304)*Comparateur!D$13/12,2))</f>
        <v>0.4</v>
      </c>
      <c r="L305" s="31">
        <f t="shared" si="39"/>
        <v>1774.34</v>
      </c>
      <c r="M305" s="18">
        <f t="shared" si="40"/>
        <v>891.9</v>
      </c>
      <c r="N305" s="18">
        <f t="shared" si="41"/>
        <v>891.5</v>
      </c>
      <c r="O305" s="18">
        <f>IF(OR($B305="",Comparateur!E$17&lt;&gt;"OK",$B305&gt;Comparateur!E$11),"",ROUND(R304*Comparateur!E$10/12,2))</f>
        <v>7.99</v>
      </c>
      <c r="P305" s="18">
        <f>IF(O305="","",IF($B305=Comparateur!E$11,R304,Comparateur!E$20-O305))</f>
        <v>897.97</v>
      </c>
      <c r="Q305" s="18">
        <f>IF(O305="","",ROUND(IF(Comparateur!E$12=Paramètres!$B$36,Comparateur!E$9,R304)*Comparateur!E$13/12,2))</f>
        <v>30</v>
      </c>
      <c r="R305" s="31">
        <f t="shared" si="42"/>
        <v>1802.23</v>
      </c>
      <c r="S305" s="18">
        <f t="shared" si="43"/>
        <v>935.96</v>
      </c>
      <c r="T305" s="18">
        <f t="shared" si="44"/>
        <v>905.96</v>
      </c>
    </row>
    <row r="306" spans="2:20" x14ac:dyDescent="0.35">
      <c r="B306" s="29">
        <f>IF(B305="","",IF(B305+1&gt;Comparateur!$C$47,"",B305+1))</f>
        <v>299</v>
      </c>
      <c r="C306" s="18">
        <f>IF(OR($B306="",Comparateur!C$17&lt;&gt;"OK",$B306&gt;Comparateur!C$11),"",ROUND(F305*Comparateur!C$10/12,2))</f>
        <v>4.7300000000000004</v>
      </c>
      <c r="D306" s="18">
        <f>IF(C306="","",IF($B306=Comparateur!C$11,F305,Comparateur!C$20-C306))</f>
        <v>872.43999999999994</v>
      </c>
      <c r="E306" s="18">
        <f>IF(C306="","",ROUND(IF(Comparateur!C$12=Paramètres!$B$36,Comparateur!C$9,F305)*Comparateur!C$13/12,2))</f>
        <v>63</v>
      </c>
      <c r="F306" s="31">
        <f t="shared" si="36"/>
        <v>874.45</v>
      </c>
      <c r="G306" s="18">
        <f t="shared" si="37"/>
        <v>940.17</v>
      </c>
      <c r="H306" s="18">
        <f t="shared" si="38"/>
        <v>877.17</v>
      </c>
      <c r="I306" s="18">
        <f>IF(OR($B306="",Comparateur!D$17&lt;&gt;"OK",$B306&gt;Comparateur!D$11),"",ROUND(L305*Comparateur!D$10/12,2))</f>
        <v>5.03</v>
      </c>
      <c r="J306" s="18">
        <f>IF(I306="","",IF($B306=Comparateur!D$11,L305,Comparateur!D$20-I306))</f>
        <v>886.47</v>
      </c>
      <c r="K306" s="18">
        <f>IF(I306="","",ROUND(IF(Comparateur!D$12=Paramètres!$B$36,Comparateur!D$9,L305)*Comparateur!D$13/12,2))</f>
        <v>0.27</v>
      </c>
      <c r="L306" s="31">
        <f t="shared" si="39"/>
        <v>887.87</v>
      </c>
      <c r="M306" s="18">
        <f t="shared" si="40"/>
        <v>891.77</v>
      </c>
      <c r="N306" s="18">
        <f t="shared" si="41"/>
        <v>891.5</v>
      </c>
      <c r="O306" s="18">
        <f>IF(OR($B306="",Comparateur!E$17&lt;&gt;"OK",$B306&gt;Comparateur!E$11),"",ROUND(R305*Comparateur!E$10/12,2))</f>
        <v>5.33</v>
      </c>
      <c r="P306" s="18">
        <f>IF(O306="","",IF($B306=Comparateur!E$11,R305,Comparateur!E$20-O306))</f>
        <v>900.63</v>
      </c>
      <c r="Q306" s="18">
        <f>IF(O306="","",ROUND(IF(Comparateur!E$12=Paramètres!$B$36,Comparateur!E$9,R305)*Comparateur!E$13/12,2))</f>
        <v>30</v>
      </c>
      <c r="R306" s="31">
        <f t="shared" si="42"/>
        <v>901.6</v>
      </c>
      <c r="S306" s="18">
        <f t="shared" si="43"/>
        <v>935.96</v>
      </c>
      <c r="T306" s="18">
        <f t="shared" si="44"/>
        <v>905.96</v>
      </c>
    </row>
    <row r="307" spans="2:20" x14ac:dyDescent="0.35">
      <c r="B307" s="29">
        <f>IF(B306="","",IF(B306+1&gt;Comparateur!$C$47,"",B306+1))</f>
        <v>300</v>
      </c>
      <c r="C307" s="18">
        <f>IF(OR($B307="",Comparateur!C$17&lt;&gt;"OK",$B307&gt;Comparateur!C$11),"",ROUND(F306*Comparateur!C$10/12,2))</f>
        <v>2.37</v>
      </c>
      <c r="D307" s="18">
        <f>IF(C307="","",IF($B307=Comparateur!C$11,F306,Comparateur!C$20-C307))</f>
        <v>874.45</v>
      </c>
      <c r="E307" s="18">
        <f>IF(C307="","",ROUND(IF(Comparateur!C$12=Paramètres!$B$36,Comparateur!C$9,F306)*Comparateur!C$13/12,2))</f>
        <v>63</v>
      </c>
      <c r="F307" s="31">
        <f t="shared" si="36"/>
        <v>0</v>
      </c>
      <c r="G307" s="18">
        <f t="shared" si="37"/>
        <v>939.82</v>
      </c>
      <c r="H307" s="18">
        <f t="shared" si="38"/>
        <v>876.82</v>
      </c>
      <c r="I307" s="18">
        <f>IF(OR($B307="",Comparateur!D$17&lt;&gt;"OK",$B307&gt;Comparateur!D$11),"",ROUND(L306*Comparateur!D$10/12,2))</f>
        <v>2.52</v>
      </c>
      <c r="J307" s="18">
        <f>IF(I307="","",IF($B307=Comparateur!D$11,L306,Comparateur!D$20-I307))</f>
        <v>887.87</v>
      </c>
      <c r="K307" s="18">
        <f>IF(I307="","",ROUND(IF(Comparateur!D$12=Paramètres!$B$36,Comparateur!D$9,L306)*Comparateur!D$13/12,2))</f>
        <v>0.13</v>
      </c>
      <c r="L307" s="31">
        <f t="shared" si="39"/>
        <v>0</v>
      </c>
      <c r="M307" s="18">
        <f t="shared" si="40"/>
        <v>890.52</v>
      </c>
      <c r="N307" s="18">
        <f t="shared" si="41"/>
        <v>890.39</v>
      </c>
      <c r="O307" s="18">
        <f>IF(OR($B307="",Comparateur!E$17&lt;&gt;"OK",$B307&gt;Comparateur!E$11),"",ROUND(R306*Comparateur!E$10/12,2))</f>
        <v>2.67</v>
      </c>
      <c r="P307" s="18">
        <f>IF(O307="","",IF($B307=Comparateur!E$11,R306,Comparateur!E$20-O307))</f>
        <v>901.6</v>
      </c>
      <c r="Q307" s="18">
        <f>IF(O307="","",ROUND(IF(Comparateur!E$12=Paramètres!$B$36,Comparateur!E$9,R306)*Comparateur!E$13/12,2))</f>
        <v>30</v>
      </c>
      <c r="R307" s="31">
        <f t="shared" si="42"/>
        <v>0</v>
      </c>
      <c r="S307" s="18">
        <f t="shared" si="43"/>
        <v>934.27</v>
      </c>
      <c r="T307" s="18">
        <f t="shared" si="44"/>
        <v>904.27</v>
      </c>
    </row>
    <row r="308" spans="2:20" x14ac:dyDescent="0.35">
      <c r="B308" s="29" t="str">
        <f>IF(B307="","",IF(B307+1&gt;Comparateur!$C$47,"",B307+1))</f>
        <v/>
      </c>
      <c r="C308" s="18" t="str">
        <f>IF(OR($B308="",Comparateur!C$17&lt;&gt;"OK",$B308&gt;Comparateur!C$11),"",ROUND(F307*Comparateur!C$10/12,2))</f>
        <v/>
      </c>
      <c r="D308" s="18" t="str">
        <f>IF(C308="","",IF($B308=Comparateur!C$11,F307,Comparateur!C$20-C308))</f>
        <v/>
      </c>
      <c r="E308" s="18" t="str">
        <f>IF(C308="","",ROUND(IF(Comparateur!C$12=Paramètres!$B$36,Comparateur!C$9,F307)*Comparateur!C$13/12,2))</f>
        <v/>
      </c>
      <c r="F308" s="31" t="str">
        <f t="shared" si="36"/>
        <v/>
      </c>
      <c r="G308" s="18" t="str">
        <f t="shared" si="37"/>
        <v/>
      </c>
      <c r="H308" s="18" t="str">
        <f t="shared" si="38"/>
        <v/>
      </c>
      <c r="I308" s="18" t="str">
        <f>IF(OR($B308="",Comparateur!D$17&lt;&gt;"OK",$B308&gt;Comparateur!D$11),"",ROUND(L307*Comparateur!D$10/12,2))</f>
        <v/>
      </c>
      <c r="J308" s="18" t="str">
        <f>IF(I308="","",IF($B308=Comparateur!D$11,L307,Comparateur!D$20-I308))</f>
        <v/>
      </c>
      <c r="K308" s="18" t="str">
        <f>IF(I308="","",ROUND(IF(Comparateur!D$12=Paramètres!$B$36,Comparateur!D$9,L307)*Comparateur!D$13/12,2))</f>
        <v/>
      </c>
      <c r="L308" s="31" t="str">
        <f t="shared" si="39"/>
        <v/>
      </c>
      <c r="M308" s="18" t="str">
        <f t="shared" si="40"/>
        <v/>
      </c>
      <c r="N308" s="18" t="str">
        <f t="shared" si="41"/>
        <v/>
      </c>
      <c r="O308" s="18" t="str">
        <f>IF(OR($B308="",Comparateur!E$17&lt;&gt;"OK",$B308&gt;Comparateur!E$11),"",ROUND(R307*Comparateur!E$10/12,2))</f>
        <v/>
      </c>
      <c r="P308" s="18" t="str">
        <f>IF(O308="","",IF($B308=Comparateur!E$11,R307,Comparateur!E$20-O308))</f>
        <v/>
      </c>
      <c r="Q308" s="18" t="str">
        <f>IF(O308="","",ROUND(IF(Comparateur!E$12=Paramètres!$B$36,Comparateur!E$9,R307)*Comparateur!E$13/12,2))</f>
        <v/>
      </c>
      <c r="R308" s="31" t="str">
        <f t="shared" si="42"/>
        <v/>
      </c>
      <c r="S308" s="18" t="str">
        <f t="shared" si="43"/>
        <v/>
      </c>
      <c r="T308" s="18" t="str">
        <f t="shared" si="44"/>
        <v/>
      </c>
    </row>
    <row r="309" spans="2:20" x14ac:dyDescent="0.35">
      <c r="B309" s="29" t="str">
        <f>IF(B308="","",IF(B308+1&gt;Comparateur!$C$47,"",B308+1))</f>
        <v/>
      </c>
      <c r="C309" s="18" t="str">
        <f>IF(OR($B309="",Comparateur!C$17&lt;&gt;"OK",$B309&gt;Comparateur!C$11),"",ROUND(F308*Comparateur!C$10/12,2))</f>
        <v/>
      </c>
      <c r="D309" s="18" t="str">
        <f>IF(C309="","",IF($B309=Comparateur!C$11,F308,Comparateur!C$20-C309))</f>
        <v/>
      </c>
      <c r="E309" s="18" t="str">
        <f>IF(C309="","",ROUND(IF(Comparateur!C$12=Paramètres!$B$36,Comparateur!C$9,F308)*Comparateur!C$13/12,2))</f>
        <v/>
      </c>
      <c r="F309" s="31" t="str">
        <f t="shared" si="36"/>
        <v/>
      </c>
      <c r="G309" s="18" t="str">
        <f t="shared" si="37"/>
        <v/>
      </c>
      <c r="H309" s="18" t="str">
        <f t="shared" si="38"/>
        <v/>
      </c>
      <c r="I309" s="18" t="str">
        <f>IF(OR($B309="",Comparateur!D$17&lt;&gt;"OK",$B309&gt;Comparateur!D$11),"",ROUND(L308*Comparateur!D$10/12,2))</f>
        <v/>
      </c>
      <c r="J309" s="18" t="str">
        <f>IF(I309="","",IF($B309=Comparateur!D$11,L308,Comparateur!D$20-I309))</f>
        <v/>
      </c>
      <c r="K309" s="18" t="str">
        <f>IF(I309="","",ROUND(IF(Comparateur!D$12=Paramètres!$B$36,Comparateur!D$9,L308)*Comparateur!D$13/12,2))</f>
        <v/>
      </c>
      <c r="L309" s="31" t="str">
        <f t="shared" si="39"/>
        <v/>
      </c>
      <c r="M309" s="18" t="str">
        <f t="shared" si="40"/>
        <v/>
      </c>
      <c r="N309" s="18" t="str">
        <f t="shared" si="41"/>
        <v/>
      </c>
      <c r="O309" s="18" t="str">
        <f>IF(OR($B309="",Comparateur!E$17&lt;&gt;"OK",$B309&gt;Comparateur!E$11),"",ROUND(R308*Comparateur!E$10/12,2))</f>
        <v/>
      </c>
      <c r="P309" s="18" t="str">
        <f>IF(O309="","",IF($B309=Comparateur!E$11,R308,Comparateur!E$20-O309))</f>
        <v/>
      </c>
      <c r="Q309" s="18" t="str">
        <f>IF(O309="","",ROUND(IF(Comparateur!E$12=Paramètres!$B$36,Comparateur!E$9,R308)*Comparateur!E$13/12,2))</f>
        <v/>
      </c>
      <c r="R309" s="31" t="str">
        <f t="shared" si="42"/>
        <v/>
      </c>
      <c r="S309" s="18" t="str">
        <f t="shared" si="43"/>
        <v/>
      </c>
      <c r="T309" s="18" t="str">
        <f t="shared" si="44"/>
        <v/>
      </c>
    </row>
    <row r="310" spans="2:20" x14ac:dyDescent="0.35">
      <c r="B310" s="29" t="str">
        <f>IF(B309="","",IF(B309+1&gt;Comparateur!$C$47,"",B309+1))</f>
        <v/>
      </c>
      <c r="C310" s="18" t="str">
        <f>IF(OR($B310="",Comparateur!C$17&lt;&gt;"OK",$B310&gt;Comparateur!C$11),"",ROUND(F309*Comparateur!C$10/12,2))</f>
        <v/>
      </c>
      <c r="D310" s="18" t="str">
        <f>IF(C310="","",IF($B310=Comparateur!C$11,F309,Comparateur!C$20-C310))</f>
        <v/>
      </c>
      <c r="E310" s="18" t="str">
        <f>IF(C310="","",ROUND(IF(Comparateur!C$12=Paramètres!$B$36,Comparateur!C$9,F309)*Comparateur!C$13/12,2))</f>
        <v/>
      </c>
      <c r="F310" s="31" t="str">
        <f t="shared" si="36"/>
        <v/>
      </c>
      <c r="G310" s="18" t="str">
        <f t="shared" si="37"/>
        <v/>
      </c>
      <c r="H310" s="18" t="str">
        <f t="shared" si="38"/>
        <v/>
      </c>
      <c r="I310" s="18" t="str">
        <f>IF(OR($B310="",Comparateur!D$17&lt;&gt;"OK",$B310&gt;Comparateur!D$11),"",ROUND(L309*Comparateur!D$10/12,2))</f>
        <v/>
      </c>
      <c r="J310" s="18" t="str">
        <f>IF(I310="","",IF($B310=Comparateur!D$11,L309,Comparateur!D$20-I310))</f>
        <v/>
      </c>
      <c r="K310" s="18" t="str">
        <f>IF(I310="","",ROUND(IF(Comparateur!D$12=Paramètres!$B$36,Comparateur!D$9,L309)*Comparateur!D$13/12,2))</f>
        <v/>
      </c>
      <c r="L310" s="31" t="str">
        <f t="shared" si="39"/>
        <v/>
      </c>
      <c r="M310" s="18" t="str">
        <f t="shared" si="40"/>
        <v/>
      </c>
      <c r="N310" s="18" t="str">
        <f t="shared" si="41"/>
        <v/>
      </c>
      <c r="O310" s="18" t="str">
        <f>IF(OR($B310="",Comparateur!E$17&lt;&gt;"OK",$B310&gt;Comparateur!E$11),"",ROUND(R309*Comparateur!E$10/12,2))</f>
        <v/>
      </c>
      <c r="P310" s="18" t="str">
        <f>IF(O310="","",IF($B310=Comparateur!E$11,R309,Comparateur!E$20-O310))</f>
        <v/>
      </c>
      <c r="Q310" s="18" t="str">
        <f>IF(O310="","",ROUND(IF(Comparateur!E$12=Paramètres!$B$36,Comparateur!E$9,R309)*Comparateur!E$13/12,2))</f>
        <v/>
      </c>
      <c r="R310" s="31" t="str">
        <f t="shared" si="42"/>
        <v/>
      </c>
      <c r="S310" s="18" t="str">
        <f t="shared" si="43"/>
        <v/>
      </c>
      <c r="T310" s="18" t="str">
        <f t="shared" si="44"/>
        <v/>
      </c>
    </row>
    <row r="311" spans="2:20" x14ac:dyDescent="0.35">
      <c r="B311" s="29" t="str">
        <f>IF(B310="","",IF(B310+1&gt;Comparateur!$C$47,"",B310+1))</f>
        <v/>
      </c>
      <c r="C311" s="18" t="str">
        <f>IF(OR($B311="",Comparateur!C$17&lt;&gt;"OK",$B311&gt;Comparateur!C$11),"",ROUND(F310*Comparateur!C$10/12,2))</f>
        <v/>
      </c>
      <c r="D311" s="18" t="str">
        <f>IF(C311="","",IF($B311=Comparateur!C$11,F310,Comparateur!C$20-C311))</f>
        <v/>
      </c>
      <c r="E311" s="18" t="str">
        <f>IF(C311="","",ROUND(IF(Comparateur!C$12=Paramètres!$B$36,Comparateur!C$9,F310)*Comparateur!C$13/12,2))</f>
        <v/>
      </c>
      <c r="F311" s="31" t="str">
        <f t="shared" si="36"/>
        <v/>
      </c>
      <c r="G311" s="18" t="str">
        <f t="shared" si="37"/>
        <v/>
      </c>
      <c r="H311" s="18" t="str">
        <f t="shared" si="38"/>
        <v/>
      </c>
      <c r="I311" s="18" t="str">
        <f>IF(OR($B311="",Comparateur!D$17&lt;&gt;"OK",$B311&gt;Comparateur!D$11),"",ROUND(L310*Comparateur!D$10/12,2))</f>
        <v/>
      </c>
      <c r="J311" s="18" t="str">
        <f>IF(I311="","",IF($B311=Comparateur!D$11,L310,Comparateur!D$20-I311))</f>
        <v/>
      </c>
      <c r="K311" s="18" t="str">
        <f>IF(I311="","",ROUND(IF(Comparateur!D$12=Paramètres!$B$36,Comparateur!D$9,L310)*Comparateur!D$13/12,2))</f>
        <v/>
      </c>
      <c r="L311" s="31" t="str">
        <f t="shared" si="39"/>
        <v/>
      </c>
      <c r="M311" s="18" t="str">
        <f t="shared" si="40"/>
        <v/>
      </c>
      <c r="N311" s="18" t="str">
        <f t="shared" si="41"/>
        <v/>
      </c>
      <c r="O311" s="18" t="str">
        <f>IF(OR($B311="",Comparateur!E$17&lt;&gt;"OK",$B311&gt;Comparateur!E$11),"",ROUND(R310*Comparateur!E$10/12,2))</f>
        <v/>
      </c>
      <c r="P311" s="18" t="str">
        <f>IF(O311="","",IF($B311=Comparateur!E$11,R310,Comparateur!E$20-O311))</f>
        <v/>
      </c>
      <c r="Q311" s="18" t="str">
        <f>IF(O311="","",ROUND(IF(Comparateur!E$12=Paramètres!$B$36,Comparateur!E$9,R310)*Comparateur!E$13/12,2))</f>
        <v/>
      </c>
      <c r="R311" s="31" t="str">
        <f t="shared" si="42"/>
        <v/>
      </c>
      <c r="S311" s="18" t="str">
        <f t="shared" si="43"/>
        <v/>
      </c>
      <c r="T311" s="18" t="str">
        <f t="shared" si="44"/>
        <v/>
      </c>
    </row>
    <row r="312" spans="2:20" x14ac:dyDescent="0.35">
      <c r="B312" s="29" t="str">
        <f>IF(B311="","",IF(B311+1&gt;Comparateur!$C$47,"",B311+1))</f>
        <v/>
      </c>
      <c r="C312" s="18" t="str">
        <f>IF(OR($B312="",Comparateur!C$17&lt;&gt;"OK",$B312&gt;Comparateur!C$11),"",ROUND(F311*Comparateur!C$10/12,2))</f>
        <v/>
      </c>
      <c r="D312" s="18" t="str">
        <f>IF(C312="","",IF($B312=Comparateur!C$11,F311,Comparateur!C$20-C312))</f>
        <v/>
      </c>
      <c r="E312" s="18" t="str">
        <f>IF(C312="","",ROUND(IF(Comparateur!C$12=Paramètres!$B$36,Comparateur!C$9,F311)*Comparateur!C$13/12,2))</f>
        <v/>
      </c>
      <c r="F312" s="31" t="str">
        <f t="shared" si="36"/>
        <v/>
      </c>
      <c r="G312" s="18" t="str">
        <f t="shared" si="37"/>
        <v/>
      </c>
      <c r="H312" s="18" t="str">
        <f t="shared" si="38"/>
        <v/>
      </c>
      <c r="I312" s="18" t="str">
        <f>IF(OR($B312="",Comparateur!D$17&lt;&gt;"OK",$B312&gt;Comparateur!D$11),"",ROUND(L311*Comparateur!D$10/12,2))</f>
        <v/>
      </c>
      <c r="J312" s="18" t="str">
        <f>IF(I312="","",IF($B312=Comparateur!D$11,L311,Comparateur!D$20-I312))</f>
        <v/>
      </c>
      <c r="K312" s="18" t="str">
        <f>IF(I312="","",ROUND(IF(Comparateur!D$12=Paramètres!$B$36,Comparateur!D$9,L311)*Comparateur!D$13/12,2))</f>
        <v/>
      </c>
      <c r="L312" s="31" t="str">
        <f t="shared" si="39"/>
        <v/>
      </c>
      <c r="M312" s="18" t="str">
        <f t="shared" si="40"/>
        <v/>
      </c>
      <c r="N312" s="18" t="str">
        <f t="shared" si="41"/>
        <v/>
      </c>
      <c r="O312" s="18" t="str">
        <f>IF(OR($B312="",Comparateur!E$17&lt;&gt;"OK",$B312&gt;Comparateur!E$11),"",ROUND(R311*Comparateur!E$10/12,2))</f>
        <v/>
      </c>
      <c r="P312" s="18" t="str">
        <f>IF(O312="","",IF($B312=Comparateur!E$11,R311,Comparateur!E$20-O312))</f>
        <v/>
      </c>
      <c r="Q312" s="18" t="str">
        <f>IF(O312="","",ROUND(IF(Comparateur!E$12=Paramètres!$B$36,Comparateur!E$9,R311)*Comparateur!E$13/12,2))</f>
        <v/>
      </c>
      <c r="R312" s="31" t="str">
        <f t="shared" si="42"/>
        <v/>
      </c>
      <c r="S312" s="18" t="str">
        <f t="shared" si="43"/>
        <v/>
      </c>
      <c r="T312" s="18" t="str">
        <f t="shared" si="44"/>
        <v/>
      </c>
    </row>
    <row r="313" spans="2:20" x14ac:dyDescent="0.35">
      <c r="B313" s="29" t="str">
        <f>IF(B312="","",IF(B312+1&gt;Comparateur!$C$47,"",B312+1))</f>
        <v/>
      </c>
      <c r="C313" s="18" t="str">
        <f>IF(OR($B313="",Comparateur!C$17&lt;&gt;"OK",$B313&gt;Comparateur!C$11),"",ROUND(F312*Comparateur!C$10/12,2))</f>
        <v/>
      </c>
      <c r="D313" s="18" t="str">
        <f>IF(C313="","",IF($B313=Comparateur!C$11,F312,Comparateur!C$20-C313))</f>
        <v/>
      </c>
      <c r="E313" s="18" t="str">
        <f>IF(C313="","",ROUND(IF(Comparateur!C$12=Paramètres!$B$36,Comparateur!C$9,F312)*Comparateur!C$13/12,2))</f>
        <v/>
      </c>
      <c r="F313" s="31" t="str">
        <f t="shared" si="36"/>
        <v/>
      </c>
      <c r="G313" s="18" t="str">
        <f t="shared" si="37"/>
        <v/>
      </c>
      <c r="H313" s="18" t="str">
        <f t="shared" si="38"/>
        <v/>
      </c>
      <c r="I313" s="18" t="str">
        <f>IF(OR($B313="",Comparateur!D$17&lt;&gt;"OK",$B313&gt;Comparateur!D$11),"",ROUND(L312*Comparateur!D$10/12,2))</f>
        <v/>
      </c>
      <c r="J313" s="18" t="str">
        <f>IF(I313="","",IF($B313=Comparateur!D$11,L312,Comparateur!D$20-I313))</f>
        <v/>
      </c>
      <c r="K313" s="18" t="str">
        <f>IF(I313="","",ROUND(IF(Comparateur!D$12=Paramètres!$B$36,Comparateur!D$9,L312)*Comparateur!D$13/12,2))</f>
        <v/>
      </c>
      <c r="L313" s="31" t="str">
        <f t="shared" si="39"/>
        <v/>
      </c>
      <c r="M313" s="18" t="str">
        <f t="shared" si="40"/>
        <v/>
      </c>
      <c r="N313" s="18" t="str">
        <f t="shared" si="41"/>
        <v/>
      </c>
      <c r="O313" s="18" t="str">
        <f>IF(OR($B313="",Comparateur!E$17&lt;&gt;"OK",$B313&gt;Comparateur!E$11),"",ROUND(R312*Comparateur!E$10/12,2))</f>
        <v/>
      </c>
      <c r="P313" s="18" t="str">
        <f>IF(O313="","",IF($B313=Comparateur!E$11,R312,Comparateur!E$20-O313))</f>
        <v/>
      </c>
      <c r="Q313" s="18" t="str">
        <f>IF(O313="","",ROUND(IF(Comparateur!E$12=Paramètres!$B$36,Comparateur!E$9,R312)*Comparateur!E$13/12,2))</f>
        <v/>
      </c>
      <c r="R313" s="31" t="str">
        <f t="shared" si="42"/>
        <v/>
      </c>
      <c r="S313" s="18" t="str">
        <f t="shared" si="43"/>
        <v/>
      </c>
      <c r="T313" s="18" t="str">
        <f t="shared" si="44"/>
        <v/>
      </c>
    </row>
    <row r="314" spans="2:20" x14ac:dyDescent="0.35">
      <c r="B314" s="29" t="str">
        <f>IF(B313="","",IF(B313+1&gt;Comparateur!$C$47,"",B313+1))</f>
        <v/>
      </c>
      <c r="C314" s="18" t="str">
        <f>IF(OR($B314="",Comparateur!C$17&lt;&gt;"OK",$B314&gt;Comparateur!C$11),"",ROUND(F313*Comparateur!C$10/12,2))</f>
        <v/>
      </c>
      <c r="D314" s="18" t="str">
        <f>IF(C314="","",IF($B314=Comparateur!C$11,F313,Comparateur!C$20-C314))</f>
        <v/>
      </c>
      <c r="E314" s="18" t="str">
        <f>IF(C314="","",ROUND(IF(Comparateur!C$12=Paramètres!$B$36,Comparateur!C$9,F313)*Comparateur!C$13/12,2))</f>
        <v/>
      </c>
      <c r="F314" s="31" t="str">
        <f t="shared" si="36"/>
        <v/>
      </c>
      <c r="G314" s="18" t="str">
        <f t="shared" si="37"/>
        <v/>
      </c>
      <c r="H314" s="18" t="str">
        <f t="shared" si="38"/>
        <v/>
      </c>
      <c r="I314" s="18" t="str">
        <f>IF(OR($B314="",Comparateur!D$17&lt;&gt;"OK",$B314&gt;Comparateur!D$11),"",ROUND(L313*Comparateur!D$10/12,2))</f>
        <v/>
      </c>
      <c r="J314" s="18" t="str">
        <f>IF(I314="","",IF($B314=Comparateur!D$11,L313,Comparateur!D$20-I314))</f>
        <v/>
      </c>
      <c r="K314" s="18" t="str">
        <f>IF(I314="","",ROUND(IF(Comparateur!D$12=Paramètres!$B$36,Comparateur!D$9,L313)*Comparateur!D$13/12,2))</f>
        <v/>
      </c>
      <c r="L314" s="31" t="str">
        <f t="shared" si="39"/>
        <v/>
      </c>
      <c r="M314" s="18" t="str">
        <f t="shared" si="40"/>
        <v/>
      </c>
      <c r="N314" s="18" t="str">
        <f t="shared" si="41"/>
        <v/>
      </c>
      <c r="O314" s="18" t="str">
        <f>IF(OR($B314="",Comparateur!E$17&lt;&gt;"OK",$B314&gt;Comparateur!E$11),"",ROUND(R313*Comparateur!E$10/12,2))</f>
        <v/>
      </c>
      <c r="P314" s="18" t="str">
        <f>IF(O314="","",IF($B314=Comparateur!E$11,R313,Comparateur!E$20-O314))</f>
        <v/>
      </c>
      <c r="Q314" s="18" t="str">
        <f>IF(O314="","",ROUND(IF(Comparateur!E$12=Paramètres!$B$36,Comparateur!E$9,R313)*Comparateur!E$13/12,2))</f>
        <v/>
      </c>
      <c r="R314" s="31" t="str">
        <f t="shared" si="42"/>
        <v/>
      </c>
      <c r="S314" s="18" t="str">
        <f t="shared" si="43"/>
        <v/>
      </c>
      <c r="T314" s="18" t="str">
        <f t="shared" si="44"/>
        <v/>
      </c>
    </row>
    <row r="315" spans="2:20" x14ac:dyDescent="0.35">
      <c r="B315" s="29" t="str">
        <f>IF(B314="","",IF(B314+1&gt;Comparateur!$C$47,"",B314+1))</f>
        <v/>
      </c>
      <c r="C315" s="18" t="str">
        <f>IF(OR($B315="",Comparateur!C$17&lt;&gt;"OK",$B315&gt;Comparateur!C$11),"",ROUND(F314*Comparateur!C$10/12,2))</f>
        <v/>
      </c>
      <c r="D315" s="18" t="str">
        <f>IF(C315="","",IF($B315=Comparateur!C$11,F314,Comparateur!C$20-C315))</f>
        <v/>
      </c>
      <c r="E315" s="18" t="str">
        <f>IF(C315="","",ROUND(IF(Comparateur!C$12=Paramètres!$B$36,Comparateur!C$9,F314)*Comparateur!C$13/12,2))</f>
        <v/>
      </c>
      <c r="F315" s="31" t="str">
        <f t="shared" si="36"/>
        <v/>
      </c>
      <c r="G315" s="18" t="str">
        <f t="shared" si="37"/>
        <v/>
      </c>
      <c r="H315" s="18" t="str">
        <f t="shared" si="38"/>
        <v/>
      </c>
      <c r="I315" s="18" t="str">
        <f>IF(OR($B315="",Comparateur!D$17&lt;&gt;"OK",$B315&gt;Comparateur!D$11),"",ROUND(L314*Comparateur!D$10/12,2))</f>
        <v/>
      </c>
      <c r="J315" s="18" t="str">
        <f>IF(I315="","",IF($B315=Comparateur!D$11,L314,Comparateur!D$20-I315))</f>
        <v/>
      </c>
      <c r="K315" s="18" t="str">
        <f>IF(I315="","",ROUND(IF(Comparateur!D$12=Paramètres!$B$36,Comparateur!D$9,L314)*Comparateur!D$13/12,2))</f>
        <v/>
      </c>
      <c r="L315" s="31" t="str">
        <f t="shared" si="39"/>
        <v/>
      </c>
      <c r="M315" s="18" t="str">
        <f t="shared" si="40"/>
        <v/>
      </c>
      <c r="N315" s="18" t="str">
        <f t="shared" si="41"/>
        <v/>
      </c>
      <c r="O315" s="18" t="str">
        <f>IF(OR($B315="",Comparateur!E$17&lt;&gt;"OK",$B315&gt;Comparateur!E$11),"",ROUND(R314*Comparateur!E$10/12,2))</f>
        <v/>
      </c>
      <c r="P315" s="18" t="str">
        <f>IF(O315="","",IF($B315=Comparateur!E$11,R314,Comparateur!E$20-O315))</f>
        <v/>
      </c>
      <c r="Q315" s="18" t="str">
        <f>IF(O315="","",ROUND(IF(Comparateur!E$12=Paramètres!$B$36,Comparateur!E$9,R314)*Comparateur!E$13/12,2))</f>
        <v/>
      </c>
      <c r="R315" s="31" t="str">
        <f t="shared" si="42"/>
        <v/>
      </c>
      <c r="S315" s="18" t="str">
        <f t="shared" si="43"/>
        <v/>
      </c>
      <c r="T315" s="18" t="str">
        <f t="shared" si="44"/>
        <v/>
      </c>
    </row>
    <row r="316" spans="2:20" x14ac:dyDescent="0.35">
      <c r="B316" s="29" t="str">
        <f>IF(B315="","",IF(B315+1&gt;Comparateur!$C$47,"",B315+1))</f>
        <v/>
      </c>
      <c r="C316" s="18" t="str">
        <f>IF(OR($B316="",Comparateur!C$17&lt;&gt;"OK",$B316&gt;Comparateur!C$11),"",ROUND(F315*Comparateur!C$10/12,2))</f>
        <v/>
      </c>
      <c r="D316" s="18" t="str">
        <f>IF(C316="","",IF($B316=Comparateur!C$11,F315,Comparateur!C$20-C316))</f>
        <v/>
      </c>
      <c r="E316" s="18" t="str">
        <f>IF(C316="","",ROUND(IF(Comparateur!C$12=Paramètres!$B$36,Comparateur!C$9,F315)*Comparateur!C$13/12,2))</f>
        <v/>
      </c>
      <c r="F316" s="31" t="str">
        <f t="shared" si="36"/>
        <v/>
      </c>
      <c r="G316" s="18" t="str">
        <f t="shared" si="37"/>
        <v/>
      </c>
      <c r="H316" s="18" t="str">
        <f t="shared" si="38"/>
        <v/>
      </c>
      <c r="I316" s="18" t="str">
        <f>IF(OR($B316="",Comparateur!D$17&lt;&gt;"OK",$B316&gt;Comparateur!D$11),"",ROUND(L315*Comparateur!D$10/12,2))</f>
        <v/>
      </c>
      <c r="J316" s="18" t="str">
        <f>IF(I316="","",IF($B316=Comparateur!D$11,L315,Comparateur!D$20-I316))</f>
        <v/>
      </c>
      <c r="K316" s="18" t="str">
        <f>IF(I316="","",ROUND(IF(Comparateur!D$12=Paramètres!$B$36,Comparateur!D$9,L315)*Comparateur!D$13/12,2))</f>
        <v/>
      </c>
      <c r="L316" s="31" t="str">
        <f t="shared" si="39"/>
        <v/>
      </c>
      <c r="M316" s="18" t="str">
        <f t="shared" si="40"/>
        <v/>
      </c>
      <c r="N316" s="18" t="str">
        <f t="shared" si="41"/>
        <v/>
      </c>
      <c r="O316" s="18" t="str">
        <f>IF(OR($B316="",Comparateur!E$17&lt;&gt;"OK",$B316&gt;Comparateur!E$11),"",ROUND(R315*Comparateur!E$10/12,2))</f>
        <v/>
      </c>
      <c r="P316" s="18" t="str">
        <f>IF(O316="","",IF($B316=Comparateur!E$11,R315,Comparateur!E$20-O316))</f>
        <v/>
      </c>
      <c r="Q316" s="18" t="str">
        <f>IF(O316="","",ROUND(IF(Comparateur!E$12=Paramètres!$B$36,Comparateur!E$9,R315)*Comparateur!E$13/12,2))</f>
        <v/>
      </c>
      <c r="R316" s="31" t="str">
        <f t="shared" si="42"/>
        <v/>
      </c>
      <c r="S316" s="18" t="str">
        <f t="shared" si="43"/>
        <v/>
      </c>
      <c r="T316" s="18" t="str">
        <f t="shared" si="44"/>
        <v/>
      </c>
    </row>
    <row r="317" spans="2:20" x14ac:dyDescent="0.35">
      <c r="B317" s="29" t="str">
        <f>IF(B316="","",IF(B316+1&gt;Comparateur!$C$47,"",B316+1))</f>
        <v/>
      </c>
      <c r="C317" s="18" t="str">
        <f>IF(OR($B317="",Comparateur!C$17&lt;&gt;"OK",$B317&gt;Comparateur!C$11),"",ROUND(F316*Comparateur!C$10/12,2))</f>
        <v/>
      </c>
      <c r="D317" s="18" t="str">
        <f>IF(C317="","",IF($B317=Comparateur!C$11,F316,Comparateur!C$20-C317))</f>
        <v/>
      </c>
      <c r="E317" s="18" t="str">
        <f>IF(C317="","",ROUND(IF(Comparateur!C$12=Paramètres!$B$36,Comparateur!C$9,F316)*Comparateur!C$13/12,2))</f>
        <v/>
      </c>
      <c r="F317" s="31" t="str">
        <f t="shared" si="36"/>
        <v/>
      </c>
      <c r="G317" s="18" t="str">
        <f t="shared" si="37"/>
        <v/>
      </c>
      <c r="H317" s="18" t="str">
        <f t="shared" si="38"/>
        <v/>
      </c>
      <c r="I317" s="18" t="str">
        <f>IF(OR($B317="",Comparateur!D$17&lt;&gt;"OK",$B317&gt;Comparateur!D$11),"",ROUND(L316*Comparateur!D$10/12,2))</f>
        <v/>
      </c>
      <c r="J317" s="18" t="str">
        <f>IF(I317="","",IF($B317=Comparateur!D$11,L316,Comparateur!D$20-I317))</f>
        <v/>
      </c>
      <c r="K317" s="18" t="str">
        <f>IF(I317="","",ROUND(IF(Comparateur!D$12=Paramètres!$B$36,Comparateur!D$9,L316)*Comparateur!D$13/12,2))</f>
        <v/>
      </c>
      <c r="L317" s="31" t="str">
        <f t="shared" si="39"/>
        <v/>
      </c>
      <c r="M317" s="18" t="str">
        <f t="shared" si="40"/>
        <v/>
      </c>
      <c r="N317" s="18" t="str">
        <f t="shared" si="41"/>
        <v/>
      </c>
      <c r="O317" s="18" t="str">
        <f>IF(OR($B317="",Comparateur!E$17&lt;&gt;"OK",$B317&gt;Comparateur!E$11),"",ROUND(R316*Comparateur!E$10/12,2))</f>
        <v/>
      </c>
      <c r="P317" s="18" t="str">
        <f>IF(O317="","",IF($B317=Comparateur!E$11,R316,Comparateur!E$20-O317))</f>
        <v/>
      </c>
      <c r="Q317" s="18" t="str">
        <f>IF(O317="","",ROUND(IF(Comparateur!E$12=Paramètres!$B$36,Comparateur!E$9,R316)*Comparateur!E$13/12,2))</f>
        <v/>
      </c>
      <c r="R317" s="31" t="str">
        <f t="shared" si="42"/>
        <v/>
      </c>
      <c r="S317" s="18" t="str">
        <f t="shared" si="43"/>
        <v/>
      </c>
      <c r="T317" s="18" t="str">
        <f t="shared" si="44"/>
        <v/>
      </c>
    </row>
    <row r="318" spans="2:20" x14ac:dyDescent="0.35">
      <c r="B318" s="29" t="str">
        <f>IF(B317="","",IF(B317+1&gt;Comparateur!$C$47,"",B317+1))</f>
        <v/>
      </c>
      <c r="C318" s="18" t="str">
        <f>IF(OR($B318="",Comparateur!C$17&lt;&gt;"OK",$B318&gt;Comparateur!C$11),"",ROUND(F317*Comparateur!C$10/12,2))</f>
        <v/>
      </c>
      <c r="D318" s="18" t="str">
        <f>IF(C318="","",IF($B318=Comparateur!C$11,F317,Comparateur!C$20-C318))</f>
        <v/>
      </c>
      <c r="E318" s="18" t="str">
        <f>IF(C318="","",ROUND(IF(Comparateur!C$12=Paramètres!$B$36,Comparateur!C$9,F317)*Comparateur!C$13/12,2))</f>
        <v/>
      </c>
      <c r="F318" s="31" t="str">
        <f t="shared" si="36"/>
        <v/>
      </c>
      <c r="G318" s="18" t="str">
        <f t="shared" si="37"/>
        <v/>
      </c>
      <c r="H318" s="18" t="str">
        <f t="shared" si="38"/>
        <v/>
      </c>
      <c r="I318" s="18" t="str">
        <f>IF(OR($B318="",Comparateur!D$17&lt;&gt;"OK",$B318&gt;Comparateur!D$11),"",ROUND(L317*Comparateur!D$10/12,2))</f>
        <v/>
      </c>
      <c r="J318" s="18" t="str">
        <f>IF(I318="","",IF($B318=Comparateur!D$11,L317,Comparateur!D$20-I318))</f>
        <v/>
      </c>
      <c r="K318" s="18" t="str">
        <f>IF(I318="","",ROUND(IF(Comparateur!D$12=Paramètres!$B$36,Comparateur!D$9,L317)*Comparateur!D$13/12,2))</f>
        <v/>
      </c>
      <c r="L318" s="31" t="str">
        <f t="shared" si="39"/>
        <v/>
      </c>
      <c r="M318" s="18" t="str">
        <f t="shared" si="40"/>
        <v/>
      </c>
      <c r="N318" s="18" t="str">
        <f t="shared" si="41"/>
        <v/>
      </c>
      <c r="O318" s="18" t="str">
        <f>IF(OR($B318="",Comparateur!E$17&lt;&gt;"OK",$B318&gt;Comparateur!E$11),"",ROUND(R317*Comparateur!E$10/12,2))</f>
        <v/>
      </c>
      <c r="P318" s="18" t="str">
        <f>IF(O318="","",IF($B318=Comparateur!E$11,R317,Comparateur!E$20-O318))</f>
        <v/>
      </c>
      <c r="Q318" s="18" t="str">
        <f>IF(O318="","",ROUND(IF(Comparateur!E$12=Paramètres!$B$36,Comparateur!E$9,R317)*Comparateur!E$13/12,2))</f>
        <v/>
      </c>
      <c r="R318" s="31" t="str">
        <f t="shared" si="42"/>
        <v/>
      </c>
      <c r="S318" s="18" t="str">
        <f t="shared" si="43"/>
        <v/>
      </c>
      <c r="T318" s="18" t="str">
        <f t="shared" si="44"/>
        <v/>
      </c>
    </row>
    <row r="319" spans="2:20" x14ac:dyDescent="0.35">
      <c r="B319" s="29" t="str">
        <f>IF(B318="","",IF(B318+1&gt;Comparateur!$C$47,"",B318+1))</f>
        <v/>
      </c>
      <c r="C319" s="18" t="str">
        <f>IF(OR($B319="",Comparateur!C$17&lt;&gt;"OK",$B319&gt;Comparateur!C$11),"",ROUND(F318*Comparateur!C$10/12,2))</f>
        <v/>
      </c>
      <c r="D319" s="18" t="str">
        <f>IF(C319="","",IF($B319=Comparateur!C$11,F318,Comparateur!C$20-C319))</f>
        <v/>
      </c>
      <c r="E319" s="18" t="str">
        <f>IF(C319="","",ROUND(IF(Comparateur!C$12=Paramètres!$B$36,Comparateur!C$9,F318)*Comparateur!C$13/12,2))</f>
        <v/>
      </c>
      <c r="F319" s="31" t="str">
        <f t="shared" si="36"/>
        <v/>
      </c>
      <c r="G319" s="18" t="str">
        <f t="shared" si="37"/>
        <v/>
      </c>
      <c r="H319" s="18" t="str">
        <f t="shared" si="38"/>
        <v/>
      </c>
      <c r="I319" s="18" t="str">
        <f>IF(OR($B319="",Comparateur!D$17&lt;&gt;"OK",$B319&gt;Comparateur!D$11),"",ROUND(L318*Comparateur!D$10/12,2))</f>
        <v/>
      </c>
      <c r="J319" s="18" t="str">
        <f>IF(I319="","",IF($B319=Comparateur!D$11,L318,Comparateur!D$20-I319))</f>
        <v/>
      </c>
      <c r="K319" s="18" t="str">
        <f>IF(I319="","",ROUND(IF(Comparateur!D$12=Paramètres!$B$36,Comparateur!D$9,L318)*Comparateur!D$13/12,2))</f>
        <v/>
      </c>
      <c r="L319" s="31" t="str">
        <f t="shared" si="39"/>
        <v/>
      </c>
      <c r="M319" s="18" t="str">
        <f t="shared" si="40"/>
        <v/>
      </c>
      <c r="N319" s="18" t="str">
        <f t="shared" si="41"/>
        <v/>
      </c>
      <c r="O319" s="18" t="str">
        <f>IF(OR($B319="",Comparateur!E$17&lt;&gt;"OK",$B319&gt;Comparateur!E$11),"",ROUND(R318*Comparateur!E$10/12,2))</f>
        <v/>
      </c>
      <c r="P319" s="18" t="str">
        <f>IF(O319="","",IF($B319=Comparateur!E$11,R318,Comparateur!E$20-O319))</f>
        <v/>
      </c>
      <c r="Q319" s="18" t="str">
        <f>IF(O319="","",ROUND(IF(Comparateur!E$12=Paramètres!$B$36,Comparateur!E$9,R318)*Comparateur!E$13/12,2))</f>
        <v/>
      </c>
      <c r="R319" s="31" t="str">
        <f t="shared" si="42"/>
        <v/>
      </c>
      <c r="S319" s="18" t="str">
        <f t="shared" si="43"/>
        <v/>
      </c>
      <c r="T319" s="18" t="str">
        <f t="shared" si="44"/>
        <v/>
      </c>
    </row>
    <row r="320" spans="2:20" x14ac:dyDescent="0.35">
      <c r="B320" s="29" t="str">
        <f>IF(B319="","",IF(B319+1&gt;Comparateur!$C$47,"",B319+1))</f>
        <v/>
      </c>
      <c r="C320" s="18" t="str">
        <f>IF(OR($B320="",Comparateur!C$17&lt;&gt;"OK",$B320&gt;Comparateur!C$11),"",ROUND(F319*Comparateur!C$10/12,2))</f>
        <v/>
      </c>
      <c r="D320" s="18" t="str">
        <f>IF(C320="","",IF($B320=Comparateur!C$11,F319,Comparateur!C$20-C320))</f>
        <v/>
      </c>
      <c r="E320" s="18" t="str">
        <f>IF(C320="","",ROUND(IF(Comparateur!C$12=Paramètres!$B$36,Comparateur!C$9,F319)*Comparateur!C$13/12,2))</f>
        <v/>
      </c>
      <c r="F320" s="31" t="str">
        <f t="shared" si="36"/>
        <v/>
      </c>
      <c r="G320" s="18" t="str">
        <f t="shared" si="37"/>
        <v/>
      </c>
      <c r="H320" s="18" t="str">
        <f t="shared" si="38"/>
        <v/>
      </c>
      <c r="I320" s="18" t="str">
        <f>IF(OR($B320="",Comparateur!D$17&lt;&gt;"OK",$B320&gt;Comparateur!D$11),"",ROUND(L319*Comparateur!D$10/12,2))</f>
        <v/>
      </c>
      <c r="J320" s="18" t="str">
        <f>IF(I320="","",IF($B320=Comparateur!D$11,L319,Comparateur!D$20-I320))</f>
        <v/>
      </c>
      <c r="K320" s="18" t="str">
        <f>IF(I320="","",ROUND(IF(Comparateur!D$12=Paramètres!$B$36,Comparateur!D$9,L319)*Comparateur!D$13/12,2))</f>
        <v/>
      </c>
      <c r="L320" s="31" t="str">
        <f t="shared" si="39"/>
        <v/>
      </c>
      <c r="M320" s="18" t="str">
        <f t="shared" si="40"/>
        <v/>
      </c>
      <c r="N320" s="18" t="str">
        <f t="shared" si="41"/>
        <v/>
      </c>
      <c r="O320" s="18" t="str">
        <f>IF(OR($B320="",Comparateur!E$17&lt;&gt;"OK",$B320&gt;Comparateur!E$11),"",ROUND(R319*Comparateur!E$10/12,2))</f>
        <v/>
      </c>
      <c r="P320" s="18" t="str">
        <f>IF(O320="","",IF($B320=Comparateur!E$11,R319,Comparateur!E$20-O320))</f>
        <v/>
      </c>
      <c r="Q320" s="18" t="str">
        <f>IF(O320="","",ROUND(IF(Comparateur!E$12=Paramètres!$B$36,Comparateur!E$9,R319)*Comparateur!E$13/12,2))</f>
        <v/>
      </c>
      <c r="R320" s="31" t="str">
        <f t="shared" si="42"/>
        <v/>
      </c>
      <c r="S320" s="18" t="str">
        <f t="shared" si="43"/>
        <v/>
      </c>
      <c r="T320" s="18" t="str">
        <f t="shared" si="44"/>
        <v/>
      </c>
    </row>
    <row r="321" spans="2:20" x14ac:dyDescent="0.35">
      <c r="B321" s="29" t="str">
        <f>IF(B320="","",IF(B320+1&gt;Comparateur!$C$47,"",B320+1))</f>
        <v/>
      </c>
      <c r="C321" s="18" t="str">
        <f>IF(OR($B321="",Comparateur!C$17&lt;&gt;"OK",$B321&gt;Comparateur!C$11),"",ROUND(F320*Comparateur!C$10/12,2))</f>
        <v/>
      </c>
      <c r="D321" s="18" t="str">
        <f>IF(C321="","",IF($B321=Comparateur!C$11,F320,Comparateur!C$20-C321))</f>
        <v/>
      </c>
      <c r="E321" s="18" t="str">
        <f>IF(C321="","",ROUND(IF(Comparateur!C$12=Paramètres!$B$36,Comparateur!C$9,F320)*Comparateur!C$13/12,2))</f>
        <v/>
      </c>
      <c r="F321" s="31" t="str">
        <f t="shared" si="36"/>
        <v/>
      </c>
      <c r="G321" s="18" t="str">
        <f t="shared" si="37"/>
        <v/>
      </c>
      <c r="H321" s="18" t="str">
        <f t="shared" si="38"/>
        <v/>
      </c>
      <c r="I321" s="18" t="str">
        <f>IF(OR($B321="",Comparateur!D$17&lt;&gt;"OK",$B321&gt;Comparateur!D$11),"",ROUND(L320*Comparateur!D$10/12,2))</f>
        <v/>
      </c>
      <c r="J321" s="18" t="str">
        <f>IF(I321="","",IF($B321=Comparateur!D$11,L320,Comparateur!D$20-I321))</f>
        <v/>
      </c>
      <c r="K321" s="18" t="str">
        <f>IF(I321="","",ROUND(IF(Comparateur!D$12=Paramètres!$B$36,Comparateur!D$9,L320)*Comparateur!D$13/12,2))</f>
        <v/>
      </c>
      <c r="L321" s="31" t="str">
        <f t="shared" si="39"/>
        <v/>
      </c>
      <c r="M321" s="18" t="str">
        <f t="shared" si="40"/>
        <v/>
      </c>
      <c r="N321" s="18" t="str">
        <f t="shared" si="41"/>
        <v/>
      </c>
      <c r="O321" s="18" t="str">
        <f>IF(OR($B321="",Comparateur!E$17&lt;&gt;"OK",$B321&gt;Comparateur!E$11),"",ROUND(R320*Comparateur!E$10/12,2))</f>
        <v/>
      </c>
      <c r="P321" s="18" t="str">
        <f>IF(O321="","",IF($B321=Comparateur!E$11,R320,Comparateur!E$20-O321))</f>
        <v/>
      </c>
      <c r="Q321" s="18" t="str">
        <f>IF(O321="","",ROUND(IF(Comparateur!E$12=Paramètres!$B$36,Comparateur!E$9,R320)*Comparateur!E$13/12,2))</f>
        <v/>
      </c>
      <c r="R321" s="31" t="str">
        <f t="shared" si="42"/>
        <v/>
      </c>
      <c r="S321" s="18" t="str">
        <f t="shared" si="43"/>
        <v/>
      </c>
      <c r="T321" s="18" t="str">
        <f t="shared" si="44"/>
        <v/>
      </c>
    </row>
    <row r="322" spans="2:20" x14ac:dyDescent="0.35">
      <c r="B322" s="29" t="str">
        <f>IF(B321="","",IF(B321+1&gt;Comparateur!$C$47,"",B321+1))</f>
        <v/>
      </c>
      <c r="C322" s="18" t="str">
        <f>IF(OR($B322="",Comparateur!C$17&lt;&gt;"OK",$B322&gt;Comparateur!C$11),"",ROUND(F321*Comparateur!C$10/12,2))</f>
        <v/>
      </c>
      <c r="D322" s="18" t="str">
        <f>IF(C322="","",IF($B322=Comparateur!C$11,F321,Comparateur!C$20-C322))</f>
        <v/>
      </c>
      <c r="E322" s="18" t="str">
        <f>IF(C322="","",ROUND(IF(Comparateur!C$12=Paramètres!$B$36,Comparateur!C$9,F321)*Comparateur!C$13/12,2))</f>
        <v/>
      </c>
      <c r="F322" s="31" t="str">
        <f t="shared" si="36"/>
        <v/>
      </c>
      <c r="G322" s="18" t="str">
        <f t="shared" si="37"/>
        <v/>
      </c>
      <c r="H322" s="18" t="str">
        <f t="shared" si="38"/>
        <v/>
      </c>
      <c r="I322" s="18" t="str">
        <f>IF(OR($B322="",Comparateur!D$17&lt;&gt;"OK",$B322&gt;Comparateur!D$11),"",ROUND(L321*Comparateur!D$10/12,2))</f>
        <v/>
      </c>
      <c r="J322" s="18" t="str">
        <f>IF(I322="","",IF($B322=Comparateur!D$11,L321,Comparateur!D$20-I322))</f>
        <v/>
      </c>
      <c r="K322" s="18" t="str">
        <f>IF(I322="","",ROUND(IF(Comparateur!D$12=Paramètres!$B$36,Comparateur!D$9,L321)*Comparateur!D$13/12,2))</f>
        <v/>
      </c>
      <c r="L322" s="31" t="str">
        <f t="shared" si="39"/>
        <v/>
      </c>
      <c r="M322" s="18" t="str">
        <f t="shared" si="40"/>
        <v/>
      </c>
      <c r="N322" s="18" t="str">
        <f t="shared" si="41"/>
        <v/>
      </c>
      <c r="O322" s="18" t="str">
        <f>IF(OR($B322="",Comparateur!E$17&lt;&gt;"OK",$B322&gt;Comparateur!E$11),"",ROUND(R321*Comparateur!E$10/12,2))</f>
        <v/>
      </c>
      <c r="P322" s="18" t="str">
        <f>IF(O322="","",IF($B322=Comparateur!E$11,R321,Comparateur!E$20-O322))</f>
        <v/>
      </c>
      <c r="Q322" s="18" t="str">
        <f>IF(O322="","",ROUND(IF(Comparateur!E$12=Paramètres!$B$36,Comparateur!E$9,R321)*Comparateur!E$13/12,2))</f>
        <v/>
      </c>
      <c r="R322" s="31" t="str">
        <f t="shared" si="42"/>
        <v/>
      </c>
      <c r="S322" s="18" t="str">
        <f t="shared" si="43"/>
        <v/>
      </c>
      <c r="T322" s="18" t="str">
        <f t="shared" si="44"/>
        <v/>
      </c>
    </row>
    <row r="323" spans="2:20" x14ac:dyDescent="0.35">
      <c r="B323" s="29" t="str">
        <f>IF(B322="","",IF(B322+1&gt;Comparateur!$C$47,"",B322+1))</f>
        <v/>
      </c>
      <c r="C323" s="18" t="str">
        <f>IF(OR($B323="",Comparateur!C$17&lt;&gt;"OK",$B323&gt;Comparateur!C$11),"",ROUND(F322*Comparateur!C$10/12,2))</f>
        <v/>
      </c>
      <c r="D323" s="18" t="str">
        <f>IF(C323="","",IF($B323=Comparateur!C$11,F322,Comparateur!C$20-C323))</f>
        <v/>
      </c>
      <c r="E323" s="18" t="str">
        <f>IF(C323="","",ROUND(IF(Comparateur!C$12=Paramètres!$B$36,Comparateur!C$9,F322)*Comparateur!C$13/12,2))</f>
        <v/>
      </c>
      <c r="F323" s="31" t="str">
        <f t="shared" si="36"/>
        <v/>
      </c>
      <c r="G323" s="18" t="str">
        <f t="shared" si="37"/>
        <v/>
      </c>
      <c r="H323" s="18" t="str">
        <f t="shared" si="38"/>
        <v/>
      </c>
      <c r="I323" s="18" t="str">
        <f>IF(OR($B323="",Comparateur!D$17&lt;&gt;"OK",$B323&gt;Comparateur!D$11),"",ROUND(L322*Comparateur!D$10/12,2))</f>
        <v/>
      </c>
      <c r="J323" s="18" t="str">
        <f>IF(I323="","",IF($B323=Comparateur!D$11,L322,Comparateur!D$20-I323))</f>
        <v/>
      </c>
      <c r="K323" s="18" t="str">
        <f>IF(I323="","",ROUND(IF(Comparateur!D$12=Paramètres!$B$36,Comparateur!D$9,L322)*Comparateur!D$13/12,2))</f>
        <v/>
      </c>
      <c r="L323" s="31" t="str">
        <f t="shared" si="39"/>
        <v/>
      </c>
      <c r="M323" s="18" t="str">
        <f t="shared" si="40"/>
        <v/>
      </c>
      <c r="N323" s="18" t="str">
        <f t="shared" si="41"/>
        <v/>
      </c>
      <c r="O323" s="18" t="str">
        <f>IF(OR($B323="",Comparateur!E$17&lt;&gt;"OK",$B323&gt;Comparateur!E$11),"",ROUND(R322*Comparateur!E$10/12,2))</f>
        <v/>
      </c>
      <c r="P323" s="18" t="str">
        <f>IF(O323="","",IF($B323=Comparateur!E$11,R322,Comparateur!E$20-O323))</f>
        <v/>
      </c>
      <c r="Q323" s="18" t="str">
        <f>IF(O323="","",ROUND(IF(Comparateur!E$12=Paramètres!$B$36,Comparateur!E$9,R322)*Comparateur!E$13/12,2))</f>
        <v/>
      </c>
      <c r="R323" s="31" t="str">
        <f t="shared" si="42"/>
        <v/>
      </c>
      <c r="S323" s="18" t="str">
        <f t="shared" si="43"/>
        <v/>
      </c>
      <c r="T323" s="18" t="str">
        <f t="shared" si="44"/>
        <v/>
      </c>
    </row>
    <row r="324" spans="2:20" x14ac:dyDescent="0.35">
      <c r="B324" s="29" t="str">
        <f>IF(B323="","",IF(B323+1&gt;Comparateur!$C$47,"",B323+1))</f>
        <v/>
      </c>
      <c r="C324" s="18" t="str">
        <f>IF(OR($B324="",Comparateur!C$17&lt;&gt;"OK",$B324&gt;Comparateur!C$11),"",ROUND(F323*Comparateur!C$10/12,2))</f>
        <v/>
      </c>
      <c r="D324" s="18" t="str">
        <f>IF(C324="","",IF($B324=Comparateur!C$11,F323,Comparateur!C$20-C324))</f>
        <v/>
      </c>
      <c r="E324" s="18" t="str">
        <f>IF(C324="","",ROUND(IF(Comparateur!C$12=Paramètres!$B$36,Comparateur!C$9,F323)*Comparateur!C$13/12,2))</f>
        <v/>
      </c>
      <c r="F324" s="31" t="str">
        <f t="shared" si="36"/>
        <v/>
      </c>
      <c r="G324" s="18" t="str">
        <f t="shared" si="37"/>
        <v/>
      </c>
      <c r="H324" s="18" t="str">
        <f t="shared" si="38"/>
        <v/>
      </c>
      <c r="I324" s="18" t="str">
        <f>IF(OR($B324="",Comparateur!D$17&lt;&gt;"OK",$B324&gt;Comparateur!D$11),"",ROUND(L323*Comparateur!D$10/12,2))</f>
        <v/>
      </c>
      <c r="J324" s="18" t="str">
        <f>IF(I324="","",IF($B324=Comparateur!D$11,L323,Comparateur!D$20-I324))</f>
        <v/>
      </c>
      <c r="K324" s="18" t="str">
        <f>IF(I324="","",ROUND(IF(Comparateur!D$12=Paramètres!$B$36,Comparateur!D$9,L323)*Comparateur!D$13/12,2))</f>
        <v/>
      </c>
      <c r="L324" s="31" t="str">
        <f t="shared" si="39"/>
        <v/>
      </c>
      <c r="M324" s="18" t="str">
        <f t="shared" si="40"/>
        <v/>
      </c>
      <c r="N324" s="18" t="str">
        <f t="shared" si="41"/>
        <v/>
      </c>
      <c r="O324" s="18" t="str">
        <f>IF(OR($B324="",Comparateur!E$17&lt;&gt;"OK",$B324&gt;Comparateur!E$11),"",ROUND(R323*Comparateur!E$10/12,2))</f>
        <v/>
      </c>
      <c r="P324" s="18" t="str">
        <f>IF(O324="","",IF($B324=Comparateur!E$11,R323,Comparateur!E$20-O324))</f>
        <v/>
      </c>
      <c r="Q324" s="18" t="str">
        <f>IF(O324="","",ROUND(IF(Comparateur!E$12=Paramètres!$B$36,Comparateur!E$9,R323)*Comparateur!E$13/12,2))</f>
        <v/>
      </c>
      <c r="R324" s="31" t="str">
        <f t="shared" si="42"/>
        <v/>
      </c>
      <c r="S324" s="18" t="str">
        <f t="shared" si="43"/>
        <v/>
      </c>
      <c r="T324" s="18" t="str">
        <f t="shared" si="44"/>
        <v/>
      </c>
    </row>
    <row r="325" spans="2:20" x14ac:dyDescent="0.35">
      <c r="B325" s="29" t="str">
        <f>IF(B324="","",IF(B324+1&gt;Comparateur!$C$47,"",B324+1))</f>
        <v/>
      </c>
      <c r="C325" s="18" t="str">
        <f>IF(OR($B325="",Comparateur!C$17&lt;&gt;"OK",$B325&gt;Comparateur!C$11),"",ROUND(F324*Comparateur!C$10/12,2))</f>
        <v/>
      </c>
      <c r="D325" s="18" t="str">
        <f>IF(C325="","",IF($B325=Comparateur!C$11,F324,Comparateur!C$20-C325))</f>
        <v/>
      </c>
      <c r="E325" s="18" t="str">
        <f>IF(C325="","",ROUND(IF(Comparateur!C$12=Paramètres!$B$36,Comparateur!C$9,F324)*Comparateur!C$13/12,2))</f>
        <v/>
      </c>
      <c r="F325" s="31" t="str">
        <f t="shared" si="36"/>
        <v/>
      </c>
      <c r="G325" s="18" t="str">
        <f t="shared" si="37"/>
        <v/>
      </c>
      <c r="H325" s="18" t="str">
        <f t="shared" si="38"/>
        <v/>
      </c>
      <c r="I325" s="18" t="str">
        <f>IF(OR($B325="",Comparateur!D$17&lt;&gt;"OK",$B325&gt;Comparateur!D$11),"",ROUND(L324*Comparateur!D$10/12,2))</f>
        <v/>
      </c>
      <c r="J325" s="18" t="str">
        <f>IF(I325="","",IF($B325=Comparateur!D$11,L324,Comparateur!D$20-I325))</f>
        <v/>
      </c>
      <c r="K325" s="18" t="str">
        <f>IF(I325="","",ROUND(IF(Comparateur!D$12=Paramètres!$B$36,Comparateur!D$9,L324)*Comparateur!D$13/12,2))</f>
        <v/>
      </c>
      <c r="L325" s="31" t="str">
        <f t="shared" si="39"/>
        <v/>
      </c>
      <c r="M325" s="18" t="str">
        <f t="shared" si="40"/>
        <v/>
      </c>
      <c r="N325" s="18" t="str">
        <f t="shared" si="41"/>
        <v/>
      </c>
      <c r="O325" s="18" t="str">
        <f>IF(OR($B325="",Comparateur!E$17&lt;&gt;"OK",$B325&gt;Comparateur!E$11),"",ROUND(R324*Comparateur!E$10/12,2))</f>
        <v/>
      </c>
      <c r="P325" s="18" t="str">
        <f>IF(O325="","",IF($B325=Comparateur!E$11,R324,Comparateur!E$20-O325))</f>
        <v/>
      </c>
      <c r="Q325" s="18" t="str">
        <f>IF(O325="","",ROUND(IF(Comparateur!E$12=Paramètres!$B$36,Comparateur!E$9,R324)*Comparateur!E$13/12,2))</f>
        <v/>
      </c>
      <c r="R325" s="31" t="str">
        <f t="shared" si="42"/>
        <v/>
      </c>
      <c r="S325" s="18" t="str">
        <f t="shared" si="43"/>
        <v/>
      </c>
      <c r="T325" s="18" t="str">
        <f t="shared" si="44"/>
        <v/>
      </c>
    </row>
    <row r="326" spans="2:20" x14ac:dyDescent="0.35">
      <c r="B326" s="29" t="str">
        <f>IF(B325="","",IF(B325+1&gt;Comparateur!$C$47,"",B325+1))</f>
        <v/>
      </c>
      <c r="C326" s="18" t="str">
        <f>IF(OR($B326="",Comparateur!C$17&lt;&gt;"OK",$B326&gt;Comparateur!C$11),"",ROUND(F325*Comparateur!C$10/12,2))</f>
        <v/>
      </c>
      <c r="D326" s="18" t="str">
        <f>IF(C326="","",IF($B326=Comparateur!C$11,F325,Comparateur!C$20-C326))</f>
        <v/>
      </c>
      <c r="E326" s="18" t="str">
        <f>IF(C326="","",ROUND(IF(Comparateur!C$12=Paramètres!$B$36,Comparateur!C$9,F325)*Comparateur!C$13/12,2))</f>
        <v/>
      </c>
      <c r="F326" s="31" t="str">
        <f t="shared" si="36"/>
        <v/>
      </c>
      <c r="G326" s="18" t="str">
        <f t="shared" si="37"/>
        <v/>
      </c>
      <c r="H326" s="18" t="str">
        <f t="shared" si="38"/>
        <v/>
      </c>
      <c r="I326" s="18" t="str">
        <f>IF(OR($B326="",Comparateur!D$17&lt;&gt;"OK",$B326&gt;Comparateur!D$11),"",ROUND(L325*Comparateur!D$10/12,2))</f>
        <v/>
      </c>
      <c r="J326" s="18" t="str">
        <f>IF(I326="","",IF($B326=Comparateur!D$11,L325,Comparateur!D$20-I326))</f>
        <v/>
      </c>
      <c r="K326" s="18" t="str">
        <f>IF(I326="","",ROUND(IF(Comparateur!D$12=Paramètres!$B$36,Comparateur!D$9,L325)*Comparateur!D$13/12,2))</f>
        <v/>
      </c>
      <c r="L326" s="31" t="str">
        <f t="shared" si="39"/>
        <v/>
      </c>
      <c r="M326" s="18" t="str">
        <f t="shared" si="40"/>
        <v/>
      </c>
      <c r="N326" s="18" t="str">
        <f t="shared" si="41"/>
        <v/>
      </c>
      <c r="O326" s="18" t="str">
        <f>IF(OR($B326="",Comparateur!E$17&lt;&gt;"OK",$B326&gt;Comparateur!E$11),"",ROUND(R325*Comparateur!E$10/12,2))</f>
        <v/>
      </c>
      <c r="P326" s="18" t="str">
        <f>IF(O326="","",IF($B326=Comparateur!E$11,R325,Comparateur!E$20-O326))</f>
        <v/>
      </c>
      <c r="Q326" s="18" t="str">
        <f>IF(O326="","",ROUND(IF(Comparateur!E$12=Paramètres!$B$36,Comparateur!E$9,R325)*Comparateur!E$13/12,2))</f>
        <v/>
      </c>
      <c r="R326" s="31" t="str">
        <f t="shared" si="42"/>
        <v/>
      </c>
      <c r="S326" s="18" t="str">
        <f t="shared" si="43"/>
        <v/>
      </c>
      <c r="T326" s="18" t="str">
        <f t="shared" si="44"/>
        <v/>
      </c>
    </row>
    <row r="327" spans="2:20" x14ac:dyDescent="0.35">
      <c r="B327" s="29" t="str">
        <f>IF(B326="","",IF(B326+1&gt;Comparateur!$C$47,"",B326+1))</f>
        <v/>
      </c>
      <c r="C327" s="18" t="str">
        <f>IF(OR($B327="",Comparateur!C$17&lt;&gt;"OK",$B327&gt;Comparateur!C$11),"",ROUND(F326*Comparateur!C$10/12,2))</f>
        <v/>
      </c>
      <c r="D327" s="18" t="str">
        <f>IF(C327="","",IF($B327=Comparateur!C$11,F326,Comparateur!C$20-C327))</f>
        <v/>
      </c>
      <c r="E327" s="18" t="str">
        <f>IF(C327="","",ROUND(IF(Comparateur!C$12=Paramètres!$B$36,Comparateur!C$9,F326)*Comparateur!C$13/12,2))</f>
        <v/>
      </c>
      <c r="F327" s="31" t="str">
        <f t="shared" si="36"/>
        <v/>
      </c>
      <c r="G327" s="18" t="str">
        <f t="shared" si="37"/>
        <v/>
      </c>
      <c r="H327" s="18" t="str">
        <f t="shared" si="38"/>
        <v/>
      </c>
      <c r="I327" s="18" t="str">
        <f>IF(OR($B327="",Comparateur!D$17&lt;&gt;"OK",$B327&gt;Comparateur!D$11),"",ROUND(L326*Comparateur!D$10/12,2))</f>
        <v/>
      </c>
      <c r="J327" s="18" t="str">
        <f>IF(I327="","",IF($B327=Comparateur!D$11,L326,Comparateur!D$20-I327))</f>
        <v/>
      </c>
      <c r="K327" s="18" t="str">
        <f>IF(I327="","",ROUND(IF(Comparateur!D$12=Paramètres!$B$36,Comparateur!D$9,L326)*Comparateur!D$13/12,2))</f>
        <v/>
      </c>
      <c r="L327" s="31" t="str">
        <f t="shared" si="39"/>
        <v/>
      </c>
      <c r="M327" s="18" t="str">
        <f t="shared" si="40"/>
        <v/>
      </c>
      <c r="N327" s="18" t="str">
        <f t="shared" si="41"/>
        <v/>
      </c>
      <c r="O327" s="18" t="str">
        <f>IF(OR($B327="",Comparateur!E$17&lt;&gt;"OK",$B327&gt;Comparateur!E$11),"",ROUND(R326*Comparateur!E$10/12,2))</f>
        <v/>
      </c>
      <c r="P327" s="18" t="str">
        <f>IF(O327="","",IF($B327=Comparateur!E$11,R326,Comparateur!E$20-O327))</f>
        <v/>
      </c>
      <c r="Q327" s="18" t="str">
        <f>IF(O327="","",ROUND(IF(Comparateur!E$12=Paramètres!$B$36,Comparateur!E$9,R326)*Comparateur!E$13/12,2))</f>
        <v/>
      </c>
      <c r="R327" s="31" t="str">
        <f t="shared" si="42"/>
        <v/>
      </c>
      <c r="S327" s="18" t="str">
        <f t="shared" si="43"/>
        <v/>
      </c>
      <c r="T327" s="18" t="str">
        <f t="shared" si="44"/>
        <v/>
      </c>
    </row>
    <row r="328" spans="2:20" x14ac:dyDescent="0.35">
      <c r="B328" s="29" t="str">
        <f>IF(B327="","",IF(B327+1&gt;Comparateur!$C$47,"",B327+1))</f>
        <v/>
      </c>
      <c r="C328" s="18" t="str">
        <f>IF(OR($B328="",Comparateur!C$17&lt;&gt;"OK",$B328&gt;Comparateur!C$11),"",ROUND(F327*Comparateur!C$10/12,2))</f>
        <v/>
      </c>
      <c r="D328" s="18" t="str">
        <f>IF(C328="","",IF($B328=Comparateur!C$11,F327,Comparateur!C$20-C328))</f>
        <v/>
      </c>
      <c r="E328" s="18" t="str">
        <f>IF(C328="","",ROUND(IF(Comparateur!C$12=Paramètres!$B$36,Comparateur!C$9,F327)*Comparateur!C$13/12,2))</f>
        <v/>
      </c>
      <c r="F328" s="31" t="str">
        <f t="shared" ref="F328:F367" si="45">IF(C328="","",ROUND(F327-D328,2))</f>
        <v/>
      </c>
      <c r="G328" s="18" t="str">
        <f t="shared" ref="G328:G367" si="46">IF(C328="","",C328+D328+E328)</f>
        <v/>
      </c>
      <c r="H328" s="18" t="str">
        <f t="shared" ref="H328:H367" si="47">IF(C328="","",C328+D328)</f>
        <v/>
      </c>
      <c r="I328" s="18" t="str">
        <f>IF(OR($B328="",Comparateur!D$17&lt;&gt;"OK",$B328&gt;Comparateur!D$11),"",ROUND(L327*Comparateur!D$10/12,2))</f>
        <v/>
      </c>
      <c r="J328" s="18" t="str">
        <f>IF(I328="","",IF($B328=Comparateur!D$11,L327,Comparateur!D$20-I328))</f>
        <v/>
      </c>
      <c r="K328" s="18" t="str">
        <f>IF(I328="","",ROUND(IF(Comparateur!D$12=Paramètres!$B$36,Comparateur!D$9,L327)*Comparateur!D$13/12,2))</f>
        <v/>
      </c>
      <c r="L328" s="31" t="str">
        <f t="shared" ref="L328:L367" si="48">IF(I328="","",ROUND(L327-J328,2))</f>
        <v/>
      </c>
      <c r="M328" s="18" t="str">
        <f t="shared" ref="M328:M367" si="49">IF(I328="","",I328+J328+K328)</f>
        <v/>
      </c>
      <c r="N328" s="18" t="str">
        <f t="shared" ref="N328:N367" si="50">IF(I328="","",I328+J328)</f>
        <v/>
      </c>
      <c r="O328" s="18" t="str">
        <f>IF(OR($B328="",Comparateur!E$17&lt;&gt;"OK",$B328&gt;Comparateur!E$11),"",ROUND(R327*Comparateur!E$10/12,2))</f>
        <v/>
      </c>
      <c r="P328" s="18" t="str">
        <f>IF(O328="","",IF($B328=Comparateur!E$11,R327,Comparateur!E$20-O328))</f>
        <v/>
      </c>
      <c r="Q328" s="18" t="str">
        <f>IF(O328="","",ROUND(IF(Comparateur!E$12=Paramètres!$B$36,Comparateur!E$9,R327)*Comparateur!E$13/12,2))</f>
        <v/>
      </c>
      <c r="R328" s="31" t="str">
        <f t="shared" ref="R328:R367" si="51">IF(O328="","",ROUND(R327-P328,2))</f>
        <v/>
      </c>
      <c r="S328" s="18" t="str">
        <f t="shared" ref="S328:S367" si="52">IF(O328="","",O328+P328+Q328)</f>
        <v/>
      </c>
      <c r="T328" s="18" t="str">
        <f t="shared" ref="T328:T367" si="53">IF(O328="","",O328+P328)</f>
        <v/>
      </c>
    </row>
    <row r="329" spans="2:20" x14ac:dyDescent="0.35">
      <c r="B329" s="29" t="str">
        <f>IF(B328="","",IF(B328+1&gt;Comparateur!$C$47,"",B328+1))</f>
        <v/>
      </c>
      <c r="C329" s="18" t="str">
        <f>IF(OR($B329="",Comparateur!C$17&lt;&gt;"OK",$B329&gt;Comparateur!C$11),"",ROUND(F328*Comparateur!C$10/12,2))</f>
        <v/>
      </c>
      <c r="D329" s="18" t="str">
        <f>IF(C329="","",IF($B329=Comparateur!C$11,F328,Comparateur!C$20-C329))</f>
        <v/>
      </c>
      <c r="E329" s="18" t="str">
        <f>IF(C329="","",ROUND(IF(Comparateur!C$12=Paramètres!$B$36,Comparateur!C$9,F328)*Comparateur!C$13/12,2))</f>
        <v/>
      </c>
      <c r="F329" s="31" t="str">
        <f t="shared" si="45"/>
        <v/>
      </c>
      <c r="G329" s="18" t="str">
        <f t="shared" si="46"/>
        <v/>
      </c>
      <c r="H329" s="18" t="str">
        <f t="shared" si="47"/>
        <v/>
      </c>
      <c r="I329" s="18" t="str">
        <f>IF(OR($B329="",Comparateur!D$17&lt;&gt;"OK",$B329&gt;Comparateur!D$11),"",ROUND(L328*Comparateur!D$10/12,2))</f>
        <v/>
      </c>
      <c r="J329" s="18" t="str">
        <f>IF(I329="","",IF($B329=Comparateur!D$11,L328,Comparateur!D$20-I329))</f>
        <v/>
      </c>
      <c r="K329" s="18" t="str">
        <f>IF(I329="","",ROUND(IF(Comparateur!D$12=Paramètres!$B$36,Comparateur!D$9,L328)*Comparateur!D$13/12,2))</f>
        <v/>
      </c>
      <c r="L329" s="31" t="str">
        <f t="shared" si="48"/>
        <v/>
      </c>
      <c r="M329" s="18" t="str">
        <f t="shared" si="49"/>
        <v/>
      </c>
      <c r="N329" s="18" t="str">
        <f t="shared" si="50"/>
        <v/>
      </c>
      <c r="O329" s="18" t="str">
        <f>IF(OR($B329="",Comparateur!E$17&lt;&gt;"OK",$B329&gt;Comparateur!E$11),"",ROUND(R328*Comparateur!E$10/12,2))</f>
        <v/>
      </c>
      <c r="P329" s="18" t="str">
        <f>IF(O329="","",IF($B329=Comparateur!E$11,R328,Comparateur!E$20-O329))</f>
        <v/>
      </c>
      <c r="Q329" s="18" t="str">
        <f>IF(O329="","",ROUND(IF(Comparateur!E$12=Paramètres!$B$36,Comparateur!E$9,R328)*Comparateur!E$13/12,2))</f>
        <v/>
      </c>
      <c r="R329" s="31" t="str">
        <f t="shared" si="51"/>
        <v/>
      </c>
      <c r="S329" s="18" t="str">
        <f t="shared" si="52"/>
        <v/>
      </c>
      <c r="T329" s="18" t="str">
        <f t="shared" si="53"/>
        <v/>
      </c>
    </row>
    <row r="330" spans="2:20" x14ac:dyDescent="0.35">
      <c r="B330" s="29" t="str">
        <f>IF(B329="","",IF(B329+1&gt;Comparateur!$C$47,"",B329+1))</f>
        <v/>
      </c>
      <c r="C330" s="18" t="str">
        <f>IF(OR($B330="",Comparateur!C$17&lt;&gt;"OK",$B330&gt;Comparateur!C$11),"",ROUND(F329*Comparateur!C$10/12,2))</f>
        <v/>
      </c>
      <c r="D330" s="18" t="str">
        <f>IF(C330="","",IF($B330=Comparateur!C$11,F329,Comparateur!C$20-C330))</f>
        <v/>
      </c>
      <c r="E330" s="18" t="str">
        <f>IF(C330="","",ROUND(IF(Comparateur!C$12=Paramètres!$B$36,Comparateur!C$9,F329)*Comparateur!C$13/12,2))</f>
        <v/>
      </c>
      <c r="F330" s="31" t="str">
        <f t="shared" si="45"/>
        <v/>
      </c>
      <c r="G330" s="18" t="str">
        <f t="shared" si="46"/>
        <v/>
      </c>
      <c r="H330" s="18" t="str">
        <f t="shared" si="47"/>
        <v/>
      </c>
      <c r="I330" s="18" t="str">
        <f>IF(OR($B330="",Comparateur!D$17&lt;&gt;"OK",$B330&gt;Comparateur!D$11),"",ROUND(L329*Comparateur!D$10/12,2))</f>
        <v/>
      </c>
      <c r="J330" s="18" t="str">
        <f>IF(I330="","",IF($B330=Comparateur!D$11,L329,Comparateur!D$20-I330))</f>
        <v/>
      </c>
      <c r="K330" s="18" t="str">
        <f>IF(I330="","",ROUND(IF(Comparateur!D$12=Paramètres!$B$36,Comparateur!D$9,L329)*Comparateur!D$13/12,2))</f>
        <v/>
      </c>
      <c r="L330" s="31" t="str">
        <f t="shared" si="48"/>
        <v/>
      </c>
      <c r="M330" s="18" t="str">
        <f t="shared" si="49"/>
        <v/>
      </c>
      <c r="N330" s="18" t="str">
        <f t="shared" si="50"/>
        <v/>
      </c>
      <c r="O330" s="18" t="str">
        <f>IF(OR($B330="",Comparateur!E$17&lt;&gt;"OK",$B330&gt;Comparateur!E$11),"",ROUND(R329*Comparateur!E$10/12,2))</f>
        <v/>
      </c>
      <c r="P330" s="18" t="str">
        <f>IF(O330="","",IF($B330=Comparateur!E$11,R329,Comparateur!E$20-O330))</f>
        <v/>
      </c>
      <c r="Q330" s="18" t="str">
        <f>IF(O330="","",ROUND(IF(Comparateur!E$12=Paramètres!$B$36,Comparateur!E$9,R329)*Comparateur!E$13/12,2))</f>
        <v/>
      </c>
      <c r="R330" s="31" t="str">
        <f t="shared" si="51"/>
        <v/>
      </c>
      <c r="S330" s="18" t="str">
        <f t="shared" si="52"/>
        <v/>
      </c>
      <c r="T330" s="18" t="str">
        <f t="shared" si="53"/>
        <v/>
      </c>
    </row>
    <row r="331" spans="2:20" x14ac:dyDescent="0.35">
      <c r="B331" s="29" t="str">
        <f>IF(B330="","",IF(B330+1&gt;Comparateur!$C$47,"",B330+1))</f>
        <v/>
      </c>
      <c r="C331" s="18" t="str">
        <f>IF(OR($B331="",Comparateur!C$17&lt;&gt;"OK",$B331&gt;Comparateur!C$11),"",ROUND(F330*Comparateur!C$10/12,2))</f>
        <v/>
      </c>
      <c r="D331" s="18" t="str">
        <f>IF(C331="","",IF($B331=Comparateur!C$11,F330,Comparateur!C$20-C331))</f>
        <v/>
      </c>
      <c r="E331" s="18" t="str">
        <f>IF(C331="","",ROUND(IF(Comparateur!C$12=Paramètres!$B$36,Comparateur!C$9,F330)*Comparateur!C$13/12,2))</f>
        <v/>
      </c>
      <c r="F331" s="31" t="str">
        <f t="shared" si="45"/>
        <v/>
      </c>
      <c r="G331" s="18" t="str">
        <f t="shared" si="46"/>
        <v/>
      </c>
      <c r="H331" s="18" t="str">
        <f t="shared" si="47"/>
        <v/>
      </c>
      <c r="I331" s="18" t="str">
        <f>IF(OR($B331="",Comparateur!D$17&lt;&gt;"OK",$B331&gt;Comparateur!D$11),"",ROUND(L330*Comparateur!D$10/12,2))</f>
        <v/>
      </c>
      <c r="J331" s="18" t="str">
        <f>IF(I331="","",IF($B331=Comparateur!D$11,L330,Comparateur!D$20-I331))</f>
        <v/>
      </c>
      <c r="K331" s="18" t="str">
        <f>IF(I331="","",ROUND(IF(Comparateur!D$12=Paramètres!$B$36,Comparateur!D$9,L330)*Comparateur!D$13/12,2))</f>
        <v/>
      </c>
      <c r="L331" s="31" t="str">
        <f t="shared" si="48"/>
        <v/>
      </c>
      <c r="M331" s="18" t="str">
        <f t="shared" si="49"/>
        <v/>
      </c>
      <c r="N331" s="18" t="str">
        <f t="shared" si="50"/>
        <v/>
      </c>
      <c r="O331" s="18" t="str">
        <f>IF(OR($B331="",Comparateur!E$17&lt;&gt;"OK",$B331&gt;Comparateur!E$11),"",ROUND(R330*Comparateur!E$10/12,2))</f>
        <v/>
      </c>
      <c r="P331" s="18" t="str">
        <f>IF(O331="","",IF($B331=Comparateur!E$11,R330,Comparateur!E$20-O331))</f>
        <v/>
      </c>
      <c r="Q331" s="18" t="str">
        <f>IF(O331="","",ROUND(IF(Comparateur!E$12=Paramètres!$B$36,Comparateur!E$9,R330)*Comparateur!E$13/12,2))</f>
        <v/>
      </c>
      <c r="R331" s="31" t="str">
        <f t="shared" si="51"/>
        <v/>
      </c>
      <c r="S331" s="18" t="str">
        <f t="shared" si="52"/>
        <v/>
      </c>
      <c r="T331" s="18" t="str">
        <f t="shared" si="53"/>
        <v/>
      </c>
    </row>
    <row r="332" spans="2:20" x14ac:dyDescent="0.35">
      <c r="B332" s="29" t="str">
        <f>IF(B331="","",IF(B331+1&gt;Comparateur!$C$47,"",B331+1))</f>
        <v/>
      </c>
      <c r="C332" s="18" t="str">
        <f>IF(OR($B332="",Comparateur!C$17&lt;&gt;"OK",$B332&gt;Comparateur!C$11),"",ROUND(F331*Comparateur!C$10/12,2))</f>
        <v/>
      </c>
      <c r="D332" s="18" t="str">
        <f>IF(C332="","",IF($B332=Comparateur!C$11,F331,Comparateur!C$20-C332))</f>
        <v/>
      </c>
      <c r="E332" s="18" t="str">
        <f>IF(C332="","",ROUND(IF(Comparateur!C$12=Paramètres!$B$36,Comparateur!C$9,F331)*Comparateur!C$13/12,2))</f>
        <v/>
      </c>
      <c r="F332" s="31" t="str">
        <f t="shared" si="45"/>
        <v/>
      </c>
      <c r="G332" s="18" t="str">
        <f t="shared" si="46"/>
        <v/>
      </c>
      <c r="H332" s="18" t="str">
        <f t="shared" si="47"/>
        <v/>
      </c>
      <c r="I332" s="18" t="str">
        <f>IF(OR($B332="",Comparateur!D$17&lt;&gt;"OK",$B332&gt;Comparateur!D$11),"",ROUND(L331*Comparateur!D$10/12,2))</f>
        <v/>
      </c>
      <c r="J332" s="18" t="str">
        <f>IF(I332="","",IF($B332=Comparateur!D$11,L331,Comparateur!D$20-I332))</f>
        <v/>
      </c>
      <c r="K332" s="18" t="str">
        <f>IF(I332="","",ROUND(IF(Comparateur!D$12=Paramètres!$B$36,Comparateur!D$9,L331)*Comparateur!D$13/12,2))</f>
        <v/>
      </c>
      <c r="L332" s="31" t="str">
        <f t="shared" si="48"/>
        <v/>
      </c>
      <c r="M332" s="18" t="str">
        <f t="shared" si="49"/>
        <v/>
      </c>
      <c r="N332" s="18" t="str">
        <f t="shared" si="50"/>
        <v/>
      </c>
      <c r="O332" s="18" t="str">
        <f>IF(OR($B332="",Comparateur!E$17&lt;&gt;"OK",$B332&gt;Comparateur!E$11),"",ROUND(R331*Comparateur!E$10/12,2))</f>
        <v/>
      </c>
      <c r="P332" s="18" t="str">
        <f>IF(O332="","",IF($B332=Comparateur!E$11,R331,Comparateur!E$20-O332))</f>
        <v/>
      </c>
      <c r="Q332" s="18" t="str">
        <f>IF(O332="","",ROUND(IF(Comparateur!E$12=Paramètres!$B$36,Comparateur!E$9,R331)*Comparateur!E$13/12,2))</f>
        <v/>
      </c>
      <c r="R332" s="31" t="str">
        <f t="shared" si="51"/>
        <v/>
      </c>
      <c r="S332" s="18" t="str">
        <f t="shared" si="52"/>
        <v/>
      </c>
      <c r="T332" s="18" t="str">
        <f t="shared" si="53"/>
        <v/>
      </c>
    </row>
    <row r="333" spans="2:20" x14ac:dyDescent="0.35">
      <c r="B333" s="29" t="str">
        <f>IF(B332="","",IF(B332+1&gt;Comparateur!$C$47,"",B332+1))</f>
        <v/>
      </c>
      <c r="C333" s="18" t="str">
        <f>IF(OR($B333="",Comparateur!C$17&lt;&gt;"OK",$B333&gt;Comparateur!C$11),"",ROUND(F332*Comparateur!C$10/12,2))</f>
        <v/>
      </c>
      <c r="D333" s="18" t="str">
        <f>IF(C333="","",IF($B333=Comparateur!C$11,F332,Comparateur!C$20-C333))</f>
        <v/>
      </c>
      <c r="E333" s="18" t="str">
        <f>IF(C333="","",ROUND(IF(Comparateur!C$12=Paramètres!$B$36,Comparateur!C$9,F332)*Comparateur!C$13/12,2))</f>
        <v/>
      </c>
      <c r="F333" s="31" t="str">
        <f t="shared" si="45"/>
        <v/>
      </c>
      <c r="G333" s="18" t="str">
        <f t="shared" si="46"/>
        <v/>
      </c>
      <c r="H333" s="18" t="str">
        <f t="shared" si="47"/>
        <v/>
      </c>
      <c r="I333" s="18" t="str">
        <f>IF(OR($B333="",Comparateur!D$17&lt;&gt;"OK",$B333&gt;Comparateur!D$11),"",ROUND(L332*Comparateur!D$10/12,2))</f>
        <v/>
      </c>
      <c r="J333" s="18" t="str">
        <f>IF(I333="","",IF($B333=Comparateur!D$11,L332,Comparateur!D$20-I333))</f>
        <v/>
      </c>
      <c r="K333" s="18" t="str">
        <f>IF(I333="","",ROUND(IF(Comparateur!D$12=Paramètres!$B$36,Comparateur!D$9,L332)*Comparateur!D$13/12,2))</f>
        <v/>
      </c>
      <c r="L333" s="31" t="str">
        <f t="shared" si="48"/>
        <v/>
      </c>
      <c r="M333" s="18" t="str">
        <f t="shared" si="49"/>
        <v/>
      </c>
      <c r="N333" s="18" t="str">
        <f t="shared" si="50"/>
        <v/>
      </c>
      <c r="O333" s="18" t="str">
        <f>IF(OR($B333="",Comparateur!E$17&lt;&gt;"OK",$B333&gt;Comparateur!E$11),"",ROUND(R332*Comparateur!E$10/12,2))</f>
        <v/>
      </c>
      <c r="P333" s="18" t="str">
        <f>IF(O333="","",IF($B333=Comparateur!E$11,R332,Comparateur!E$20-O333))</f>
        <v/>
      </c>
      <c r="Q333" s="18" t="str">
        <f>IF(O333="","",ROUND(IF(Comparateur!E$12=Paramètres!$B$36,Comparateur!E$9,R332)*Comparateur!E$13/12,2))</f>
        <v/>
      </c>
      <c r="R333" s="31" t="str">
        <f t="shared" si="51"/>
        <v/>
      </c>
      <c r="S333" s="18" t="str">
        <f t="shared" si="52"/>
        <v/>
      </c>
      <c r="T333" s="18" t="str">
        <f t="shared" si="53"/>
        <v/>
      </c>
    </row>
    <row r="334" spans="2:20" x14ac:dyDescent="0.35">
      <c r="B334" s="29" t="str">
        <f>IF(B333="","",IF(B333+1&gt;Comparateur!$C$47,"",B333+1))</f>
        <v/>
      </c>
      <c r="C334" s="18" t="str">
        <f>IF(OR($B334="",Comparateur!C$17&lt;&gt;"OK",$B334&gt;Comparateur!C$11),"",ROUND(F333*Comparateur!C$10/12,2))</f>
        <v/>
      </c>
      <c r="D334" s="18" t="str">
        <f>IF(C334="","",IF($B334=Comparateur!C$11,F333,Comparateur!C$20-C334))</f>
        <v/>
      </c>
      <c r="E334" s="18" t="str">
        <f>IF(C334="","",ROUND(IF(Comparateur!C$12=Paramètres!$B$36,Comparateur!C$9,F333)*Comparateur!C$13/12,2))</f>
        <v/>
      </c>
      <c r="F334" s="31" t="str">
        <f t="shared" si="45"/>
        <v/>
      </c>
      <c r="G334" s="18" t="str">
        <f t="shared" si="46"/>
        <v/>
      </c>
      <c r="H334" s="18" t="str">
        <f t="shared" si="47"/>
        <v/>
      </c>
      <c r="I334" s="18" t="str">
        <f>IF(OR($B334="",Comparateur!D$17&lt;&gt;"OK",$B334&gt;Comparateur!D$11),"",ROUND(L333*Comparateur!D$10/12,2))</f>
        <v/>
      </c>
      <c r="J334" s="18" t="str">
        <f>IF(I334="","",IF($B334=Comparateur!D$11,L333,Comparateur!D$20-I334))</f>
        <v/>
      </c>
      <c r="K334" s="18" t="str">
        <f>IF(I334="","",ROUND(IF(Comparateur!D$12=Paramètres!$B$36,Comparateur!D$9,L333)*Comparateur!D$13/12,2))</f>
        <v/>
      </c>
      <c r="L334" s="31" t="str">
        <f t="shared" si="48"/>
        <v/>
      </c>
      <c r="M334" s="18" t="str">
        <f t="shared" si="49"/>
        <v/>
      </c>
      <c r="N334" s="18" t="str">
        <f t="shared" si="50"/>
        <v/>
      </c>
      <c r="O334" s="18" t="str">
        <f>IF(OR($B334="",Comparateur!E$17&lt;&gt;"OK",$B334&gt;Comparateur!E$11),"",ROUND(R333*Comparateur!E$10/12,2))</f>
        <v/>
      </c>
      <c r="P334" s="18" t="str">
        <f>IF(O334="","",IF($B334=Comparateur!E$11,R333,Comparateur!E$20-O334))</f>
        <v/>
      </c>
      <c r="Q334" s="18" t="str">
        <f>IF(O334="","",ROUND(IF(Comparateur!E$12=Paramètres!$B$36,Comparateur!E$9,R333)*Comparateur!E$13/12,2))</f>
        <v/>
      </c>
      <c r="R334" s="31" t="str">
        <f t="shared" si="51"/>
        <v/>
      </c>
      <c r="S334" s="18" t="str">
        <f t="shared" si="52"/>
        <v/>
      </c>
      <c r="T334" s="18" t="str">
        <f t="shared" si="53"/>
        <v/>
      </c>
    </row>
    <row r="335" spans="2:20" x14ac:dyDescent="0.35">
      <c r="B335" s="29" t="str">
        <f>IF(B334="","",IF(B334+1&gt;Comparateur!$C$47,"",B334+1))</f>
        <v/>
      </c>
      <c r="C335" s="18" t="str">
        <f>IF(OR($B335="",Comparateur!C$17&lt;&gt;"OK",$B335&gt;Comparateur!C$11),"",ROUND(F334*Comparateur!C$10/12,2))</f>
        <v/>
      </c>
      <c r="D335" s="18" t="str">
        <f>IF(C335="","",IF($B335=Comparateur!C$11,F334,Comparateur!C$20-C335))</f>
        <v/>
      </c>
      <c r="E335" s="18" t="str">
        <f>IF(C335="","",ROUND(IF(Comparateur!C$12=Paramètres!$B$36,Comparateur!C$9,F334)*Comparateur!C$13/12,2))</f>
        <v/>
      </c>
      <c r="F335" s="31" t="str">
        <f t="shared" si="45"/>
        <v/>
      </c>
      <c r="G335" s="18" t="str">
        <f t="shared" si="46"/>
        <v/>
      </c>
      <c r="H335" s="18" t="str">
        <f t="shared" si="47"/>
        <v/>
      </c>
      <c r="I335" s="18" t="str">
        <f>IF(OR($B335="",Comparateur!D$17&lt;&gt;"OK",$B335&gt;Comparateur!D$11),"",ROUND(L334*Comparateur!D$10/12,2))</f>
        <v/>
      </c>
      <c r="J335" s="18" t="str">
        <f>IF(I335="","",IF($B335=Comparateur!D$11,L334,Comparateur!D$20-I335))</f>
        <v/>
      </c>
      <c r="K335" s="18" t="str">
        <f>IF(I335="","",ROUND(IF(Comparateur!D$12=Paramètres!$B$36,Comparateur!D$9,L334)*Comparateur!D$13/12,2))</f>
        <v/>
      </c>
      <c r="L335" s="31" t="str">
        <f t="shared" si="48"/>
        <v/>
      </c>
      <c r="M335" s="18" t="str">
        <f t="shared" si="49"/>
        <v/>
      </c>
      <c r="N335" s="18" t="str">
        <f t="shared" si="50"/>
        <v/>
      </c>
      <c r="O335" s="18" t="str">
        <f>IF(OR($B335="",Comparateur!E$17&lt;&gt;"OK",$B335&gt;Comparateur!E$11),"",ROUND(R334*Comparateur!E$10/12,2))</f>
        <v/>
      </c>
      <c r="P335" s="18" t="str">
        <f>IF(O335="","",IF($B335=Comparateur!E$11,R334,Comparateur!E$20-O335))</f>
        <v/>
      </c>
      <c r="Q335" s="18" t="str">
        <f>IF(O335="","",ROUND(IF(Comparateur!E$12=Paramètres!$B$36,Comparateur!E$9,R334)*Comparateur!E$13/12,2))</f>
        <v/>
      </c>
      <c r="R335" s="31" t="str">
        <f t="shared" si="51"/>
        <v/>
      </c>
      <c r="S335" s="18" t="str">
        <f t="shared" si="52"/>
        <v/>
      </c>
      <c r="T335" s="18" t="str">
        <f t="shared" si="53"/>
        <v/>
      </c>
    </row>
    <row r="336" spans="2:20" x14ac:dyDescent="0.35">
      <c r="B336" s="29" t="str">
        <f>IF(B335="","",IF(B335+1&gt;Comparateur!$C$47,"",B335+1))</f>
        <v/>
      </c>
      <c r="C336" s="18" t="str">
        <f>IF(OR($B336="",Comparateur!C$17&lt;&gt;"OK",$B336&gt;Comparateur!C$11),"",ROUND(F335*Comparateur!C$10/12,2))</f>
        <v/>
      </c>
      <c r="D336" s="18" t="str">
        <f>IF(C336="","",IF($B336=Comparateur!C$11,F335,Comparateur!C$20-C336))</f>
        <v/>
      </c>
      <c r="E336" s="18" t="str">
        <f>IF(C336="","",ROUND(IF(Comparateur!C$12=Paramètres!$B$36,Comparateur!C$9,F335)*Comparateur!C$13/12,2))</f>
        <v/>
      </c>
      <c r="F336" s="31" t="str">
        <f t="shared" si="45"/>
        <v/>
      </c>
      <c r="G336" s="18" t="str">
        <f t="shared" si="46"/>
        <v/>
      </c>
      <c r="H336" s="18" t="str">
        <f t="shared" si="47"/>
        <v/>
      </c>
      <c r="I336" s="18" t="str">
        <f>IF(OR($B336="",Comparateur!D$17&lt;&gt;"OK",$B336&gt;Comparateur!D$11),"",ROUND(L335*Comparateur!D$10/12,2))</f>
        <v/>
      </c>
      <c r="J336" s="18" t="str">
        <f>IF(I336="","",IF($B336=Comparateur!D$11,L335,Comparateur!D$20-I336))</f>
        <v/>
      </c>
      <c r="K336" s="18" t="str">
        <f>IF(I336="","",ROUND(IF(Comparateur!D$12=Paramètres!$B$36,Comparateur!D$9,L335)*Comparateur!D$13/12,2))</f>
        <v/>
      </c>
      <c r="L336" s="31" t="str">
        <f t="shared" si="48"/>
        <v/>
      </c>
      <c r="M336" s="18" t="str">
        <f t="shared" si="49"/>
        <v/>
      </c>
      <c r="N336" s="18" t="str">
        <f t="shared" si="50"/>
        <v/>
      </c>
      <c r="O336" s="18" t="str">
        <f>IF(OR($B336="",Comparateur!E$17&lt;&gt;"OK",$B336&gt;Comparateur!E$11),"",ROUND(R335*Comparateur!E$10/12,2))</f>
        <v/>
      </c>
      <c r="P336" s="18" t="str">
        <f>IF(O336="","",IF($B336=Comparateur!E$11,R335,Comparateur!E$20-O336))</f>
        <v/>
      </c>
      <c r="Q336" s="18" t="str">
        <f>IF(O336="","",ROUND(IF(Comparateur!E$12=Paramètres!$B$36,Comparateur!E$9,R335)*Comparateur!E$13/12,2))</f>
        <v/>
      </c>
      <c r="R336" s="31" t="str">
        <f t="shared" si="51"/>
        <v/>
      </c>
      <c r="S336" s="18" t="str">
        <f t="shared" si="52"/>
        <v/>
      </c>
      <c r="T336" s="18" t="str">
        <f t="shared" si="53"/>
        <v/>
      </c>
    </row>
    <row r="337" spans="2:20" x14ac:dyDescent="0.35">
      <c r="B337" s="29" t="str">
        <f>IF(B336="","",IF(B336+1&gt;Comparateur!$C$47,"",B336+1))</f>
        <v/>
      </c>
      <c r="C337" s="18" t="str">
        <f>IF(OR($B337="",Comparateur!C$17&lt;&gt;"OK",$B337&gt;Comparateur!C$11),"",ROUND(F336*Comparateur!C$10/12,2))</f>
        <v/>
      </c>
      <c r="D337" s="18" t="str">
        <f>IF(C337="","",IF($B337=Comparateur!C$11,F336,Comparateur!C$20-C337))</f>
        <v/>
      </c>
      <c r="E337" s="18" t="str">
        <f>IF(C337="","",ROUND(IF(Comparateur!C$12=Paramètres!$B$36,Comparateur!C$9,F336)*Comparateur!C$13/12,2))</f>
        <v/>
      </c>
      <c r="F337" s="31" t="str">
        <f t="shared" si="45"/>
        <v/>
      </c>
      <c r="G337" s="18" t="str">
        <f t="shared" si="46"/>
        <v/>
      </c>
      <c r="H337" s="18" t="str">
        <f t="shared" si="47"/>
        <v/>
      </c>
      <c r="I337" s="18" t="str">
        <f>IF(OR($B337="",Comparateur!D$17&lt;&gt;"OK",$B337&gt;Comparateur!D$11),"",ROUND(L336*Comparateur!D$10/12,2))</f>
        <v/>
      </c>
      <c r="J337" s="18" t="str">
        <f>IF(I337="","",IF($B337=Comparateur!D$11,L336,Comparateur!D$20-I337))</f>
        <v/>
      </c>
      <c r="K337" s="18" t="str">
        <f>IF(I337="","",ROUND(IF(Comparateur!D$12=Paramètres!$B$36,Comparateur!D$9,L336)*Comparateur!D$13/12,2))</f>
        <v/>
      </c>
      <c r="L337" s="31" t="str">
        <f t="shared" si="48"/>
        <v/>
      </c>
      <c r="M337" s="18" t="str">
        <f t="shared" si="49"/>
        <v/>
      </c>
      <c r="N337" s="18" t="str">
        <f t="shared" si="50"/>
        <v/>
      </c>
      <c r="O337" s="18" t="str">
        <f>IF(OR($B337="",Comparateur!E$17&lt;&gt;"OK",$B337&gt;Comparateur!E$11),"",ROUND(R336*Comparateur!E$10/12,2))</f>
        <v/>
      </c>
      <c r="P337" s="18" t="str">
        <f>IF(O337="","",IF($B337=Comparateur!E$11,R336,Comparateur!E$20-O337))</f>
        <v/>
      </c>
      <c r="Q337" s="18" t="str">
        <f>IF(O337="","",ROUND(IF(Comparateur!E$12=Paramètres!$B$36,Comparateur!E$9,R336)*Comparateur!E$13/12,2))</f>
        <v/>
      </c>
      <c r="R337" s="31" t="str">
        <f t="shared" si="51"/>
        <v/>
      </c>
      <c r="S337" s="18" t="str">
        <f t="shared" si="52"/>
        <v/>
      </c>
      <c r="T337" s="18" t="str">
        <f t="shared" si="53"/>
        <v/>
      </c>
    </row>
    <row r="338" spans="2:20" x14ac:dyDescent="0.35">
      <c r="B338" s="29" t="str">
        <f>IF(B337="","",IF(B337+1&gt;Comparateur!$C$47,"",B337+1))</f>
        <v/>
      </c>
      <c r="C338" s="18" t="str">
        <f>IF(OR($B338="",Comparateur!C$17&lt;&gt;"OK",$B338&gt;Comparateur!C$11),"",ROUND(F337*Comparateur!C$10/12,2))</f>
        <v/>
      </c>
      <c r="D338" s="18" t="str">
        <f>IF(C338="","",IF($B338=Comparateur!C$11,F337,Comparateur!C$20-C338))</f>
        <v/>
      </c>
      <c r="E338" s="18" t="str">
        <f>IF(C338="","",ROUND(IF(Comparateur!C$12=Paramètres!$B$36,Comparateur!C$9,F337)*Comparateur!C$13/12,2))</f>
        <v/>
      </c>
      <c r="F338" s="31" t="str">
        <f t="shared" si="45"/>
        <v/>
      </c>
      <c r="G338" s="18" t="str">
        <f t="shared" si="46"/>
        <v/>
      </c>
      <c r="H338" s="18" t="str">
        <f t="shared" si="47"/>
        <v/>
      </c>
      <c r="I338" s="18" t="str">
        <f>IF(OR($B338="",Comparateur!D$17&lt;&gt;"OK",$B338&gt;Comparateur!D$11),"",ROUND(L337*Comparateur!D$10/12,2))</f>
        <v/>
      </c>
      <c r="J338" s="18" t="str">
        <f>IF(I338="","",IF($B338=Comparateur!D$11,L337,Comparateur!D$20-I338))</f>
        <v/>
      </c>
      <c r="K338" s="18" t="str">
        <f>IF(I338="","",ROUND(IF(Comparateur!D$12=Paramètres!$B$36,Comparateur!D$9,L337)*Comparateur!D$13/12,2))</f>
        <v/>
      </c>
      <c r="L338" s="31" t="str">
        <f t="shared" si="48"/>
        <v/>
      </c>
      <c r="M338" s="18" t="str">
        <f t="shared" si="49"/>
        <v/>
      </c>
      <c r="N338" s="18" t="str">
        <f t="shared" si="50"/>
        <v/>
      </c>
      <c r="O338" s="18" t="str">
        <f>IF(OR($B338="",Comparateur!E$17&lt;&gt;"OK",$B338&gt;Comparateur!E$11),"",ROUND(R337*Comparateur!E$10/12,2))</f>
        <v/>
      </c>
      <c r="P338" s="18" t="str">
        <f>IF(O338="","",IF($B338=Comparateur!E$11,R337,Comparateur!E$20-O338))</f>
        <v/>
      </c>
      <c r="Q338" s="18" t="str">
        <f>IF(O338="","",ROUND(IF(Comparateur!E$12=Paramètres!$B$36,Comparateur!E$9,R337)*Comparateur!E$13/12,2))</f>
        <v/>
      </c>
      <c r="R338" s="31" t="str">
        <f t="shared" si="51"/>
        <v/>
      </c>
      <c r="S338" s="18" t="str">
        <f t="shared" si="52"/>
        <v/>
      </c>
      <c r="T338" s="18" t="str">
        <f t="shared" si="53"/>
        <v/>
      </c>
    </row>
    <row r="339" spans="2:20" x14ac:dyDescent="0.35">
      <c r="B339" s="29" t="str">
        <f>IF(B338="","",IF(B338+1&gt;Comparateur!$C$47,"",B338+1))</f>
        <v/>
      </c>
      <c r="C339" s="18" t="str">
        <f>IF(OR($B339="",Comparateur!C$17&lt;&gt;"OK",$B339&gt;Comparateur!C$11),"",ROUND(F338*Comparateur!C$10/12,2))</f>
        <v/>
      </c>
      <c r="D339" s="18" t="str">
        <f>IF(C339="","",IF($B339=Comparateur!C$11,F338,Comparateur!C$20-C339))</f>
        <v/>
      </c>
      <c r="E339" s="18" t="str">
        <f>IF(C339="","",ROUND(IF(Comparateur!C$12=Paramètres!$B$36,Comparateur!C$9,F338)*Comparateur!C$13/12,2))</f>
        <v/>
      </c>
      <c r="F339" s="31" t="str">
        <f t="shared" si="45"/>
        <v/>
      </c>
      <c r="G339" s="18" t="str">
        <f t="shared" si="46"/>
        <v/>
      </c>
      <c r="H339" s="18" t="str">
        <f t="shared" si="47"/>
        <v/>
      </c>
      <c r="I339" s="18" t="str">
        <f>IF(OR($B339="",Comparateur!D$17&lt;&gt;"OK",$B339&gt;Comparateur!D$11),"",ROUND(L338*Comparateur!D$10/12,2))</f>
        <v/>
      </c>
      <c r="J339" s="18" t="str">
        <f>IF(I339="","",IF($B339=Comparateur!D$11,L338,Comparateur!D$20-I339))</f>
        <v/>
      </c>
      <c r="K339" s="18" t="str">
        <f>IF(I339="","",ROUND(IF(Comparateur!D$12=Paramètres!$B$36,Comparateur!D$9,L338)*Comparateur!D$13/12,2))</f>
        <v/>
      </c>
      <c r="L339" s="31" t="str">
        <f t="shared" si="48"/>
        <v/>
      </c>
      <c r="M339" s="18" t="str">
        <f t="shared" si="49"/>
        <v/>
      </c>
      <c r="N339" s="18" t="str">
        <f t="shared" si="50"/>
        <v/>
      </c>
      <c r="O339" s="18" t="str">
        <f>IF(OR($B339="",Comparateur!E$17&lt;&gt;"OK",$B339&gt;Comparateur!E$11),"",ROUND(R338*Comparateur!E$10/12,2))</f>
        <v/>
      </c>
      <c r="P339" s="18" t="str">
        <f>IF(O339="","",IF($B339=Comparateur!E$11,R338,Comparateur!E$20-O339))</f>
        <v/>
      </c>
      <c r="Q339" s="18" t="str">
        <f>IF(O339="","",ROUND(IF(Comparateur!E$12=Paramètres!$B$36,Comparateur!E$9,R338)*Comparateur!E$13/12,2))</f>
        <v/>
      </c>
      <c r="R339" s="31" t="str">
        <f t="shared" si="51"/>
        <v/>
      </c>
      <c r="S339" s="18" t="str">
        <f t="shared" si="52"/>
        <v/>
      </c>
      <c r="T339" s="18" t="str">
        <f t="shared" si="53"/>
        <v/>
      </c>
    </row>
    <row r="340" spans="2:20" x14ac:dyDescent="0.35">
      <c r="B340" s="29" t="str">
        <f>IF(B339="","",IF(B339+1&gt;Comparateur!$C$47,"",B339+1))</f>
        <v/>
      </c>
      <c r="C340" s="18" t="str">
        <f>IF(OR($B340="",Comparateur!C$17&lt;&gt;"OK",$B340&gt;Comparateur!C$11),"",ROUND(F339*Comparateur!C$10/12,2))</f>
        <v/>
      </c>
      <c r="D340" s="18" t="str">
        <f>IF(C340="","",IF($B340=Comparateur!C$11,F339,Comparateur!C$20-C340))</f>
        <v/>
      </c>
      <c r="E340" s="18" t="str">
        <f>IF(C340="","",ROUND(IF(Comparateur!C$12=Paramètres!$B$36,Comparateur!C$9,F339)*Comparateur!C$13/12,2))</f>
        <v/>
      </c>
      <c r="F340" s="31" t="str">
        <f t="shared" si="45"/>
        <v/>
      </c>
      <c r="G340" s="18" t="str">
        <f t="shared" si="46"/>
        <v/>
      </c>
      <c r="H340" s="18" t="str">
        <f t="shared" si="47"/>
        <v/>
      </c>
      <c r="I340" s="18" t="str">
        <f>IF(OR($B340="",Comparateur!D$17&lt;&gt;"OK",$B340&gt;Comparateur!D$11),"",ROUND(L339*Comparateur!D$10/12,2))</f>
        <v/>
      </c>
      <c r="J340" s="18" t="str">
        <f>IF(I340="","",IF($B340=Comparateur!D$11,L339,Comparateur!D$20-I340))</f>
        <v/>
      </c>
      <c r="K340" s="18" t="str">
        <f>IF(I340="","",ROUND(IF(Comparateur!D$12=Paramètres!$B$36,Comparateur!D$9,L339)*Comparateur!D$13/12,2))</f>
        <v/>
      </c>
      <c r="L340" s="31" t="str">
        <f t="shared" si="48"/>
        <v/>
      </c>
      <c r="M340" s="18" t="str">
        <f t="shared" si="49"/>
        <v/>
      </c>
      <c r="N340" s="18" t="str">
        <f t="shared" si="50"/>
        <v/>
      </c>
      <c r="O340" s="18" t="str">
        <f>IF(OR($B340="",Comparateur!E$17&lt;&gt;"OK",$B340&gt;Comparateur!E$11),"",ROUND(R339*Comparateur!E$10/12,2))</f>
        <v/>
      </c>
      <c r="P340" s="18" t="str">
        <f>IF(O340="","",IF($B340=Comparateur!E$11,R339,Comparateur!E$20-O340))</f>
        <v/>
      </c>
      <c r="Q340" s="18" t="str">
        <f>IF(O340="","",ROUND(IF(Comparateur!E$12=Paramètres!$B$36,Comparateur!E$9,R339)*Comparateur!E$13/12,2))</f>
        <v/>
      </c>
      <c r="R340" s="31" t="str">
        <f t="shared" si="51"/>
        <v/>
      </c>
      <c r="S340" s="18" t="str">
        <f t="shared" si="52"/>
        <v/>
      </c>
      <c r="T340" s="18" t="str">
        <f t="shared" si="53"/>
        <v/>
      </c>
    </row>
    <row r="341" spans="2:20" x14ac:dyDescent="0.35">
      <c r="B341" s="29" t="str">
        <f>IF(B340="","",IF(B340+1&gt;Comparateur!$C$47,"",B340+1))</f>
        <v/>
      </c>
      <c r="C341" s="18" t="str">
        <f>IF(OR($B341="",Comparateur!C$17&lt;&gt;"OK",$B341&gt;Comparateur!C$11),"",ROUND(F340*Comparateur!C$10/12,2))</f>
        <v/>
      </c>
      <c r="D341" s="18" t="str">
        <f>IF(C341="","",IF($B341=Comparateur!C$11,F340,Comparateur!C$20-C341))</f>
        <v/>
      </c>
      <c r="E341" s="18" t="str">
        <f>IF(C341="","",ROUND(IF(Comparateur!C$12=Paramètres!$B$36,Comparateur!C$9,F340)*Comparateur!C$13/12,2))</f>
        <v/>
      </c>
      <c r="F341" s="31" t="str">
        <f t="shared" si="45"/>
        <v/>
      </c>
      <c r="G341" s="18" t="str">
        <f t="shared" si="46"/>
        <v/>
      </c>
      <c r="H341" s="18" t="str">
        <f t="shared" si="47"/>
        <v/>
      </c>
      <c r="I341" s="18" t="str">
        <f>IF(OR($B341="",Comparateur!D$17&lt;&gt;"OK",$B341&gt;Comparateur!D$11),"",ROUND(L340*Comparateur!D$10/12,2))</f>
        <v/>
      </c>
      <c r="J341" s="18" t="str">
        <f>IF(I341="","",IF($B341=Comparateur!D$11,L340,Comparateur!D$20-I341))</f>
        <v/>
      </c>
      <c r="K341" s="18" t="str">
        <f>IF(I341="","",ROUND(IF(Comparateur!D$12=Paramètres!$B$36,Comparateur!D$9,L340)*Comparateur!D$13/12,2))</f>
        <v/>
      </c>
      <c r="L341" s="31" t="str">
        <f t="shared" si="48"/>
        <v/>
      </c>
      <c r="M341" s="18" t="str">
        <f t="shared" si="49"/>
        <v/>
      </c>
      <c r="N341" s="18" t="str">
        <f t="shared" si="50"/>
        <v/>
      </c>
      <c r="O341" s="18" t="str">
        <f>IF(OR($B341="",Comparateur!E$17&lt;&gt;"OK",$B341&gt;Comparateur!E$11),"",ROUND(R340*Comparateur!E$10/12,2))</f>
        <v/>
      </c>
      <c r="P341" s="18" t="str">
        <f>IF(O341="","",IF($B341=Comparateur!E$11,R340,Comparateur!E$20-O341))</f>
        <v/>
      </c>
      <c r="Q341" s="18" t="str">
        <f>IF(O341="","",ROUND(IF(Comparateur!E$12=Paramètres!$B$36,Comparateur!E$9,R340)*Comparateur!E$13/12,2))</f>
        <v/>
      </c>
      <c r="R341" s="31" t="str">
        <f t="shared" si="51"/>
        <v/>
      </c>
      <c r="S341" s="18" t="str">
        <f t="shared" si="52"/>
        <v/>
      </c>
      <c r="T341" s="18" t="str">
        <f t="shared" si="53"/>
        <v/>
      </c>
    </row>
    <row r="342" spans="2:20" x14ac:dyDescent="0.35">
      <c r="B342" s="29" t="str">
        <f>IF(B341="","",IF(B341+1&gt;Comparateur!$C$47,"",B341+1))</f>
        <v/>
      </c>
      <c r="C342" s="18" t="str">
        <f>IF(OR($B342="",Comparateur!C$17&lt;&gt;"OK",$B342&gt;Comparateur!C$11),"",ROUND(F341*Comparateur!C$10/12,2))</f>
        <v/>
      </c>
      <c r="D342" s="18" t="str">
        <f>IF(C342="","",IF($B342=Comparateur!C$11,F341,Comparateur!C$20-C342))</f>
        <v/>
      </c>
      <c r="E342" s="18" t="str">
        <f>IF(C342="","",ROUND(IF(Comparateur!C$12=Paramètres!$B$36,Comparateur!C$9,F341)*Comparateur!C$13/12,2))</f>
        <v/>
      </c>
      <c r="F342" s="31" t="str">
        <f t="shared" si="45"/>
        <v/>
      </c>
      <c r="G342" s="18" t="str">
        <f t="shared" si="46"/>
        <v/>
      </c>
      <c r="H342" s="18" t="str">
        <f t="shared" si="47"/>
        <v/>
      </c>
      <c r="I342" s="18" t="str">
        <f>IF(OR($B342="",Comparateur!D$17&lt;&gt;"OK",$B342&gt;Comparateur!D$11),"",ROUND(L341*Comparateur!D$10/12,2))</f>
        <v/>
      </c>
      <c r="J342" s="18" t="str">
        <f>IF(I342="","",IF($B342=Comparateur!D$11,L341,Comparateur!D$20-I342))</f>
        <v/>
      </c>
      <c r="K342" s="18" t="str">
        <f>IF(I342="","",ROUND(IF(Comparateur!D$12=Paramètres!$B$36,Comparateur!D$9,L341)*Comparateur!D$13/12,2))</f>
        <v/>
      </c>
      <c r="L342" s="31" t="str">
        <f t="shared" si="48"/>
        <v/>
      </c>
      <c r="M342" s="18" t="str">
        <f t="shared" si="49"/>
        <v/>
      </c>
      <c r="N342" s="18" t="str">
        <f t="shared" si="50"/>
        <v/>
      </c>
      <c r="O342" s="18" t="str">
        <f>IF(OR($B342="",Comparateur!E$17&lt;&gt;"OK",$B342&gt;Comparateur!E$11),"",ROUND(R341*Comparateur!E$10/12,2))</f>
        <v/>
      </c>
      <c r="P342" s="18" t="str">
        <f>IF(O342="","",IF($B342=Comparateur!E$11,R341,Comparateur!E$20-O342))</f>
        <v/>
      </c>
      <c r="Q342" s="18" t="str">
        <f>IF(O342="","",ROUND(IF(Comparateur!E$12=Paramètres!$B$36,Comparateur!E$9,R341)*Comparateur!E$13/12,2))</f>
        <v/>
      </c>
      <c r="R342" s="31" t="str">
        <f t="shared" si="51"/>
        <v/>
      </c>
      <c r="S342" s="18" t="str">
        <f t="shared" si="52"/>
        <v/>
      </c>
      <c r="T342" s="18" t="str">
        <f t="shared" si="53"/>
        <v/>
      </c>
    </row>
    <row r="343" spans="2:20" x14ac:dyDescent="0.35">
      <c r="B343" s="29" t="str">
        <f>IF(B342="","",IF(B342+1&gt;Comparateur!$C$47,"",B342+1))</f>
        <v/>
      </c>
      <c r="C343" s="18" t="str">
        <f>IF(OR($B343="",Comparateur!C$17&lt;&gt;"OK",$B343&gt;Comparateur!C$11),"",ROUND(F342*Comparateur!C$10/12,2))</f>
        <v/>
      </c>
      <c r="D343" s="18" t="str">
        <f>IF(C343="","",IF($B343=Comparateur!C$11,F342,Comparateur!C$20-C343))</f>
        <v/>
      </c>
      <c r="E343" s="18" t="str">
        <f>IF(C343="","",ROUND(IF(Comparateur!C$12=Paramètres!$B$36,Comparateur!C$9,F342)*Comparateur!C$13/12,2))</f>
        <v/>
      </c>
      <c r="F343" s="31" t="str">
        <f t="shared" si="45"/>
        <v/>
      </c>
      <c r="G343" s="18" t="str">
        <f t="shared" si="46"/>
        <v/>
      </c>
      <c r="H343" s="18" t="str">
        <f t="shared" si="47"/>
        <v/>
      </c>
      <c r="I343" s="18" t="str">
        <f>IF(OR($B343="",Comparateur!D$17&lt;&gt;"OK",$B343&gt;Comparateur!D$11),"",ROUND(L342*Comparateur!D$10/12,2))</f>
        <v/>
      </c>
      <c r="J343" s="18" t="str">
        <f>IF(I343="","",IF($B343=Comparateur!D$11,L342,Comparateur!D$20-I343))</f>
        <v/>
      </c>
      <c r="K343" s="18" t="str">
        <f>IF(I343="","",ROUND(IF(Comparateur!D$12=Paramètres!$B$36,Comparateur!D$9,L342)*Comparateur!D$13/12,2))</f>
        <v/>
      </c>
      <c r="L343" s="31" t="str">
        <f t="shared" si="48"/>
        <v/>
      </c>
      <c r="M343" s="18" t="str">
        <f t="shared" si="49"/>
        <v/>
      </c>
      <c r="N343" s="18" t="str">
        <f t="shared" si="50"/>
        <v/>
      </c>
      <c r="O343" s="18" t="str">
        <f>IF(OR($B343="",Comparateur!E$17&lt;&gt;"OK",$B343&gt;Comparateur!E$11),"",ROUND(R342*Comparateur!E$10/12,2))</f>
        <v/>
      </c>
      <c r="P343" s="18" t="str">
        <f>IF(O343="","",IF($B343=Comparateur!E$11,R342,Comparateur!E$20-O343))</f>
        <v/>
      </c>
      <c r="Q343" s="18" t="str">
        <f>IF(O343="","",ROUND(IF(Comparateur!E$12=Paramètres!$B$36,Comparateur!E$9,R342)*Comparateur!E$13/12,2))</f>
        <v/>
      </c>
      <c r="R343" s="31" t="str">
        <f t="shared" si="51"/>
        <v/>
      </c>
      <c r="S343" s="18" t="str">
        <f t="shared" si="52"/>
        <v/>
      </c>
      <c r="T343" s="18" t="str">
        <f t="shared" si="53"/>
        <v/>
      </c>
    </row>
    <row r="344" spans="2:20" x14ac:dyDescent="0.35">
      <c r="B344" s="29" t="str">
        <f>IF(B343="","",IF(B343+1&gt;Comparateur!$C$47,"",B343+1))</f>
        <v/>
      </c>
      <c r="C344" s="18" t="str">
        <f>IF(OR($B344="",Comparateur!C$17&lt;&gt;"OK",$B344&gt;Comparateur!C$11),"",ROUND(F343*Comparateur!C$10/12,2))</f>
        <v/>
      </c>
      <c r="D344" s="18" t="str">
        <f>IF(C344="","",IF($B344=Comparateur!C$11,F343,Comparateur!C$20-C344))</f>
        <v/>
      </c>
      <c r="E344" s="18" t="str">
        <f>IF(C344="","",ROUND(IF(Comparateur!C$12=Paramètres!$B$36,Comparateur!C$9,F343)*Comparateur!C$13/12,2))</f>
        <v/>
      </c>
      <c r="F344" s="31" t="str">
        <f t="shared" si="45"/>
        <v/>
      </c>
      <c r="G344" s="18" t="str">
        <f t="shared" si="46"/>
        <v/>
      </c>
      <c r="H344" s="18" t="str">
        <f t="shared" si="47"/>
        <v/>
      </c>
      <c r="I344" s="18" t="str">
        <f>IF(OR($B344="",Comparateur!D$17&lt;&gt;"OK",$B344&gt;Comparateur!D$11),"",ROUND(L343*Comparateur!D$10/12,2))</f>
        <v/>
      </c>
      <c r="J344" s="18" t="str">
        <f>IF(I344="","",IF($B344=Comparateur!D$11,L343,Comparateur!D$20-I344))</f>
        <v/>
      </c>
      <c r="K344" s="18" t="str">
        <f>IF(I344="","",ROUND(IF(Comparateur!D$12=Paramètres!$B$36,Comparateur!D$9,L343)*Comparateur!D$13/12,2))</f>
        <v/>
      </c>
      <c r="L344" s="31" t="str">
        <f t="shared" si="48"/>
        <v/>
      </c>
      <c r="M344" s="18" t="str">
        <f t="shared" si="49"/>
        <v/>
      </c>
      <c r="N344" s="18" t="str">
        <f t="shared" si="50"/>
        <v/>
      </c>
      <c r="O344" s="18" t="str">
        <f>IF(OR($B344="",Comparateur!E$17&lt;&gt;"OK",$B344&gt;Comparateur!E$11),"",ROUND(R343*Comparateur!E$10/12,2))</f>
        <v/>
      </c>
      <c r="P344" s="18" t="str">
        <f>IF(O344="","",IF($B344=Comparateur!E$11,R343,Comparateur!E$20-O344))</f>
        <v/>
      </c>
      <c r="Q344" s="18" t="str">
        <f>IF(O344="","",ROUND(IF(Comparateur!E$12=Paramètres!$B$36,Comparateur!E$9,R343)*Comparateur!E$13/12,2))</f>
        <v/>
      </c>
      <c r="R344" s="31" t="str">
        <f t="shared" si="51"/>
        <v/>
      </c>
      <c r="S344" s="18" t="str">
        <f t="shared" si="52"/>
        <v/>
      </c>
      <c r="T344" s="18" t="str">
        <f t="shared" si="53"/>
        <v/>
      </c>
    </row>
    <row r="345" spans="2:20" x14ac:dyDescent="0.35">
      <c r="B345" s="29" t="str">
        <f>IF(B344="","",IF(B344+1&gt;Comparateur!$C$47,"",B344+1))</f>
        <v/>
      </c>
      <c r="C345" s="18" t="str">
        <f>IF(OR($B345="",Comparateur!C$17&lt;&gt;"OK",$B345&gt;Comparateur!C$11),"",ROUND(F344*Comparateur!C$10/12,2))</f>
        <v/>
      </c>
      <c r="D345" s="18" t="str">
        <f>IF(C345="","",IF($B345=Comparateur!C$11,F344,Comparateur!C$20-C345))</f>
        <v/>
      </c>
      <c r="E345" s="18" t="str">
        <f>IF(C345="","",ROUND(IF(Comparateur!C$12=Paramètres!$B$36,Comparateur!C$9,F344)*Comparateur!C$13/12,2))</f>
        <v/>
      </c>
      <c r="F345" s="31" t="str">
        <f t="shared" si="45"/>
        <v/>
      </c>
      <c r="G345" s="18" t="str">
        <f t="shared" si="46"/>
        <v/>
      </c>
      <c r="H345" s="18" t="str">
        <f t="shared" si="47"/>
        <v/>
      </c>
      <c r="I345" s="18" t="str">
        <f>IF(OR($B345="",Comparateur!D$17&lt;&gt;"OK",$B345&gt;Comparateur!D$11),"",ROUND(L344*Comparateur!D$10/12,2))</f>
        <v/>
      </c>
      <c r="J345" s="18" t="str">
        <f>IF(I345="","",IF($B345=Comparateur!D$11,L344,Comparateur!D$20-I345))</f>
        <v/>
      </c>
      <c r="K345" s="18" t="str">
        <f>IF(I345="","",ROUND(IF(Comparateur!D$12=Paramètres!$B$36,Comparateur!D$9,L344)*Comparateur!D$13/12,2))</f>
        <v/>
      </c>
      <c r="L345" s="31" t="str">
        <f t="shared" si="48"/>
        <v/>
      </c>
      <c r="M345" s="18" t="str">
        <f t="shared" si="49"/>
        <v/>
      </c>
      <c r="N345" s="18" t="str">
        <f t="shared" si="50"/>
        <v/>
      </c>
      <c r="O345" s="18" t="str">
        <f>IF(OR($B345="",Comparateur!E$17&lt;&gt;"OK",$B345&gt;Comparateur!E$11),"",ROUND(R344*Comparateur!E$10/12,2))</f>
        <v/>
      </c>
      <c r="P345" s="18" t="str">
        <f>IF(O345="","",IF($B345=Comparateur!E$11,R344,Comparateur!E$20-O345))</f>
        <v/>
      </c>
      <c r="Q345" s="18" t="str">
        <f>IF(O345="","",ROUND(IF(Comparateur!E$12=Paramètres!$B$36,Comparateur!E$9,R344)*Comparateur!E$13/12,2))</f>
        <v/>
      </c>
      <c r="R345" s="31" t="str">
        <f t="shared" si="51"/>
        <v/>
      </c>
      <c r="S345" s="18" t="str">
        <f t="shared" si="52"/>
        <v/>
      </c>
      <c r="T345" s="18" t="str">
        <f t="shared" si="53"/>
        <v/>
      </c>
    </row>
    <row r="346" spans="2:20" x14ac:dyDescent="0.35">
      <c r="B346" s="29" t="str">
        <f>IF(B345="","",IF(B345+1&gt;Comparateur!$C$47,"",B345+1))</f>
        <v/>
      </c>
      <c r="C346" s="18" t="str">
        <f>IF(OR($B346="",Comparateur!C$17&lt;&gt;"OK",$B346&gt;Comparateur!C$11),"",ROUND(F345*Comparateur!C$10/12,2))</f>
        <v/>
      </c>
      <c r="D346" s="18" t="str">
        <f>IF(C346="","",IF($B346=Comparateur!C$11,F345,Comparateur!C$20-C346))</f>
        <v/>
      </c>
      <c r="E346" s="18" t="str">
        <f>IF(C346="","",ROUND(IF(Comparateur!C$12=Paramètres!$B$36,Comparateur!C$9,F345)*Comparateur!C$13/12,2))</f>
        <v/>
      </c>
      <c r="F346" s="31" t="str">
        <f t="shared" si="45"/>
        <v/>
      </c>
      <c r="G346" s="18" t="str">
        <f t="shared" si="46"/>
        <v/>
      </c>
      <c r="H346" s="18" t="str">
        <f t="shared" si="47"/>
        <v/>
      </c>
      <c r="I346" s="18" t="str">
        <f>IF(OR($B346="",Comparateur!D$17&lt;&gt;"OK",$B346&gt;Comparateur!D$11),"",ROUND(L345*Comparateur!D$10/12,2))</f>
        <v/>
      </c>
      <c r="J346" s="18" t="str">
        <f>IF(I346="","",IF($B346=Comparateur!D$11,L345,Comparateur!D$20-I346))</f>
        <v/>
      </c>
      <c r="K346" s="18" t="str">
        <f>IF(I346="","",ROUND(IF(Comparateur!D$12=Paramètres!$B$36,Comparateur!D$9,L345)*Comparateur!D$13/12,2))</f>
        <v/>
      </c>
      <c r="L346" s="31" t="str">
        <f t="shared" si="48"/>
        <v/>
      </c>
      <c r="M346" s="18" t="str">
        <f t="shared" si="49"/>
        <v/>
      </c>
      <c r="N346" s="18" t="str">
        <f t="shared" si="50"/>
        <v/>
      </c>
      <c r="O346" s="18" t="str">
        <f>IF(OR($B346="",Comparateur!E$17&lt;&gt;"OK",$B346&gt;Comparateur!E$11),"",ROUND(R345*Comparateur!E$10/12,2))</f>
        <v/>
      </c>
      <c r="P346" s="18" t="str">
        <f>IF(O346="","",IF($B346=Comparateur!E$11,R345,Comparateur!E$20-O346))</f>
        <v/>
      </c>
      <c r="Q346" s="18" t="str">
        <f>IF(O346="","",ROUND(IF(Comparateur!E$12=Paramètres!$B$36,Comparateur!E$9,R345)*Comparateur!E$13/12,2))</f>
        <v/>
      </c>
      <c r="R346" s="31" t="str">
        <f t="shared" si="51"/>
        <v/>
      </c>
      <c r="S346" s="18" t="str">
        <f t="shared" si="52"/>
        <v/>
      </c>
      <c r="T346" s="18" t="str">
        <f t="shared" si="53"/>
        <v/>
      </c>
    </row>
    <row r="347" spans="2:20" x14ac:dyDescent="0.35">
      <c r="B347" s="29" t="str">
        <f>IF(B346="","",IF(B346+1&gt;Comparateur!$C$47,"",B346+1))</f>
        <v/>
      </c>
      <c r="C347" s="18" t="str">
        <f>IF(OR($B347="",Comparateur!C$17&lt;&gt;"OK",$B347&gt;Comparateur!C$11),"",ROUND(F346*Comparateur!C$10/12,2))</f>
        <v/>
      </c>
      <c r="D347" s="18" t="str">
        <f>IF(C347="","",IF($B347=Comparateur!C$11,F346,Comparateur!C$20-C347))</f>
        <v/>
      </c>
      <c r="E347" s="18" t="str">
        <f>IF(C347="","",ROUND(IF(Comparateur!C$12=Paramètres!$B$36,Comparateur!C$9,F346)*Comparateur!C$13/12,2))</f>
        <v/>
      </c>
      <c r="F347" s="31" t="str">
        <f t="shared" si="45"/>
        <v/>
      </c>
      <c r="G347" s="18" t="str">
        <f t="shared" si="46"/>
        <v/>
      </c>
      <c r="H347" s="18" t="str">
        <f t="shared" si="47"/>
        <v/>
      </c>
      <c r="I347" s="18" t="str">
        <f>IF(OR($B347="",Comparateur!D$17&lt;&gt;"OK",$B347&gt;Comparateur!D$11),"",ROUND(L346*Comparateur!D$10/12,2))</f>
        <v/>
      </c>
      <c r="J347" s="18" t="str">
        <f>IF(I347="","",IF($B347=Comparateur!D$11,L346,Comparateur!D$20-I347))</f>
        <v/>
      </c>
      <c r="K347" s="18" t="str">
        <f>IF(I347="","",ROUND(IF(Comparateur!D$12=Paramètres!$B$36,Comparateur!D$9,L346)*Comparateur!D$13/12,2))</f>
        <v/>
      </c>
      <c r="L347" s="31" t="str">
        <f t="shared" si="48"/>
        <v/>
      </c>
      <c r="M347" s="18" t="str">
        <f t="shared" si="49"/>
        <v/>
      </c>
      <c r="N347" s="18" t="str">
        <f t="shared" si="50"/>
        <v/>
      </c>
      <c r="O347" s="18" t="str">
        <f>IF(OR($B347="",Comparateur!E$17&lt;&gt;"OK",$B347&gt;Comparateur!E$11),"",ROUND(R346*Comparateur!E$10/12,2))</f>
        <v/>
      </c>
      <c r="P347" s="18" t="str">
        <f>IF(O347="","",IF($B347=Comparateur!E$11,R346,Comparateur!E$20-O347))</f>
        <v/>
      </c>
      <c r="Q347" s="18" t="str">
        <f>IF(O347="","",ROUND(IF(Comparateur!E$12=Paramètres!$B$36,Comparateur!E$9,R346)*Comparateur!E$13/12,2))</f>
        <v/>
      </c>
      <c r="R347" s="31" t="str">
        <f t="shared" si="51"/>
        <v/>
      </c>
      <c r="S347" s="18" t="str">
        <f t="shared" si="52"/>
        <v/>
      </c>
      <c r="T347" s="18" t="str">
        <f t="shared" si="53"/>
        <v/>
      </c>
    </row>
    <row r="348" spans="2:20" x14ac:dyDescent="0.35">
      <c r="B348" s="29" t="str">
        <f>IF(B347="","",IF(B347+1&gt;Comparateur!$C$47,"",B347+1))</f>
        <v/>
      </c>
      <c r="C348" s="18" t="str">
        <f>IF(OR($B348="",Comparateur!C$17&lt;&gt;"OK",$B348&gt;Comparateur!C$11),"",ROUND(F347*Comparateur!C$10/12,2))</f>
        <v/>
      </c>
      <c r="D348" s="18" t="str">
        <f>IF(C348="","",IF($B348=Comparateur!C$11,F347,Comparateur!C$20-C348))</f>
        <v/>
      </c>
      <c r="E348" s="18" t="str">
        <f>IF(C348="","",ROUND(IF(Comparateur!C$12=Paramètres!$B$36,Comparateur!C$9,F347)*Comparateur!C$13/12,2))</f>
        <v/>
      </c>
      <c r="F348" s="31" t="str">
        <f t="shared" si="45"/>
        <v/>
      </c>
      <c r="G348" s="18" t="str">
        <f t="shared" si="46"/>
        <v/>
      </c>
      <c r="H348" s="18" t="str">
        <f t="shared" si="47"/>
        <v/>
      </c>
      <c r="I348" s="18" t="str">
        <f>IF(OR($B348="",Comparateur!D$17&lt;&gt;"OK",$B348&gt;Comparateur!D$11),"",ROUND(L347*Comparateur!D$10/12,2))</f>
        <v/>
      </c>
      <c r="J348" s="18" t="str">
        <f>IF(I348="","",IF($B348=Comparateur!D$11,L347,Comparateur!D$20-I348))</f>
        <v/>
      </c>
      <c r="K348" s="18" t="str">
        <f>IF(I348="","",ROUND(IF(Comparateur!D$12=Paramètres!$B$36,Comparateur!D$9,L347)*Comparateur!D$13/12,2))</f>
        <v/>
      </c>
      <c r="L348" s="31" t="str">
        <f t="shared" si="48"/>
        <v/>
      </c>
      <c r="M348" s="18" t="str">
        <f t="shared" si="49"/>
        <v/>
      </c>
      <c r="N348" s="18" t="str">
        <f t="shared" si="50"/>
        <v/>
      </c>
      <c r="O348" s="18" t="str">
        <f>IF(OR($B348="",Comparateur!E$17&lt;&gt;"OK",$B348&gt;Comparateur!E$11),"",ROUND(R347*Comparateur!E$10/12,2))</f>
        <v/>
      </c>
      <c r="P348" s="18" t="str">
        <f>IF(O348="","",IF($B348=Comparateur!E$11,R347,Comparateur!E$20-O348))</f>
        <v/>
      </c>
      <c r="Q348" s="18" t="str">
        <f>IF(O348="","",ROUND(IF(Comparateur!E$12=Paramètres!$B$36,Comparateur!E$9,R347)*Comparateur!E$13/12,2))</f>
        <v/>
      </c>
      <c r="R348" s="31" t="str">
        <f t="shared" si="51"/>
        <v/>
      </c>
      <c r="S348" s="18" t="str">
        <f t="shared" si="52"/>
        <v/>
      </c>
      <c r="T348" s="18" t="str">
        <f t="shared" si="53"/>
        <v/>
      </c>
    </row>
    <row r="349" spans="2:20" x14ac:dyDescent="0.35">
      <c r="B349" s="29" t="str">
        <f>IF(B348="","",IF(B348+1&gt;Comparateur!$C$47,"",B348+1))</f>
        <v/>
      </c>
      <c r="C349" s="18" t="str">
        <f>IF(OR($B349="",Comparateur!C$17&lt;&gt;"OK",$B349&gt;Comparateur!C$11),"",ROUND(F348*Comparateur!C$10/12,2))</f>
        <v/>
      </c>
      <c r="D349" s="18" t="str">
        <f>IF(C349="","",IF($B349=Comparateur!C$11,F348,Comparateur!C$20-C349))</f>
        <v/>
      </c>
      <c r="E349" s="18" t="str">
        <f>IF(C349="","",ROUND(IF(Comparateur!C$12=Paramètres!$B$36,Comparateur!C$9,F348)*Comparateur!C$13/12,2))</f>
        <v/>
      </c>
      <c r="F349" s="31" t="str">
        <f t="shared" si="45"/>
        <v/>
      </c>
      <c r="G349" s="18" t="str">
        <f t="shared" si="46"/>
        <v/>
      </c>
      <c r="H349" s="18" t="str">
        <f t="shared" si="47"/>
        <v/>
      </c>
      <c r="I349" s="18" t="str">
        <f>IF(OR($B349="",Comparateur!D$17&lt;&gt;"OK",$B349&gt;Comparateur!D$11),"",ROUND(L348*Comparateur!D$10/12,2))</f>
        <v/>
      </c>
      <c r="J349" s="18" t="str">
        <f>IF(I349="","",IF($B349=Comparateur!D$11,L348,Comparateur!D$20-I349))</f>
        <v/>
      </c>
      <c r="K349" s="18" t="str">
        <f>IF(I349="","",ROUND(IF(Comparateur!D$12=Paramètres!$B$36,Comparateur!D$9,L348)*Comparateur!D$13/12,2))</f>
        <v/>
      </c>
      <c r="L349" s="31" t="str">
        <f t="shared" si="48"/>
        <v/>
      </c>
      <c r="M349" s="18" t="str">
        <f t="shared" si="49"/>
        <v/>
      </c>
      <c r="N349" s="18" t="str">
        <f t="shared" si="50"/>
        <v/>
      </c>
      <c r="O349" s="18" t="str">
        <f>IF(OR($B349="",Comparateur!E$17&lt;&gt;"OK",$B349&gt;Comparateur!E$11),"",ROUND(R348*Comparateur!E$10/12,2))</f>
        <v/>
      </c>
      <c r="P349" s="18" t="str">
        <f>IF(O349="","",IF($B349=Comparateur!E$11,R348,Comparateur!E$20-O349))</f>
        <v/>
      </c>
      <c r="Q349" s="18" t="str">
        <f>IF(O349="","",ROUND(IF(Comparateur!E$12=Paramètres!$B$36,Comparateur!E$9,R348)*Comparateur!E$13/12,2))</f>
        <v/>
      </c>
      <c r="R349" s="31" t="str">
        <f t="shared" si="51"/>
        <v/>
      </c>
      <c r="S349" s="18" t="str">
        <f t="shared" si="52"/>
        <v/>
      </c>
      <c r="T349" s="18" t="str">
        <f t="shared" si="53"/>
        <v/>
      </c>
    </row>
    <row r="350" spans="2:20" x14ac:dyDescent="0.35">
      <c r="B350" s="29" t="str">
        <f>IF(B349="","",IF(B349+1&gt;Comparateur!$C$47,"",B349+1))</f>
        <v/>
      </c>
      <c r="C350" s="18" t="str">
        <f>IF(OR($B350="",Comparateur!C$17&lt;&gt;"OK",$B350&gt;Comparateur!C$11),"",ROUND(F349*Comparateur!C$10/12,2))</f>
        <v/>
      </c>
      <c r="D350" s="18" t="str">
        <f>IF(C350="","",IF($B350=Comparateur!C$11,F349,Comparateur!C$20-C350))</f>
        <v/>
      </c>
      <c r="E350" s="18" t="str">
        <f>IF(C350="","",ROUND(IF(Comparateur!C$12=Paramètres!$B$36,Comparateur!C$9,F349)*Comparateur!C$13/12,2))</f>
        <v/>
      </c>
      <c r="F350" s="31" t="str">
        <f t="shared" si="45"/>
        <v/>
      </c>
      <c r="G350" s="18" t="str">
        <f t="shared" si="46"/>
        <v/>
      </c>
      <c r="H350" s="18" t="str">
        <f t="shared" si="47"/>
        <v/>
      </c>
      <c r="I350" s="18" t="str">
        <f>IF(OR($B350="",Comparateur!D$17&lt;&gt;"OK",$B350&gt;Comparateur!D$11),"",ROUND(L349*Comparateur!D$10/12,2))</f>
        <v/>
      </c>
      <c r="J350" s="18" t="str">
        <f>IF(I350="","",IF($B350=Comparateur!D$11,L349,Comparateur!D$20-I350))</f>
        <v/>
      </c>
      <c r="K350" s="18" t="str">
        <f>IF(I350="","",ROUND(IF(Comparateur!D$12=Paramètres!$B$36,Comparateur!D$9,L349)*Comparateur!D$13/12,2))</f>
        <v/>
      </c>
      <c r="L350" s="31" t="str">
        <f t="shared" si="48"/>
        <v/>
      </c>
      <c r="M350" s="18" t="str">
        <f t="shared" si="49"/>
        <v/>
      </c>
      <c r="N350" s="18" t="str">
        <f t="shared" si="50"/>
        <v/>
      </c>
      <c r="O350" s="18" t="str">
        <f>IF(OR($B350="",Comparateur!E$17&lt;&gt;"OK",$B350&gt;Comparateur!E$11),"",ROUND(R349*Comparateur!E$10/12,2))</f>
        <v/>
      </c>
      <c r="P350" s="18" t="str">
        <f>IF(O350="","",IF($B350=Comparateur!E$11,R349,Comparateur!E$20-O350))</f>
        <v/>
      </c>
      <c r="Q350" s="18" t="str">
        <f>IF(O350="","",ROUND(IF(Comparateur!E$12=Paramètres!$B$36,Comparateur!E$9,R349)*Comparateur!E$13/12,2))</f>
        <v/>
      </c>
      <c r="R350" s="31" t="str">
        <f t="shared" si="51"/>
        <v/>
      </c>
      <c r="S350" s="18" t="str">
        <f t="shared" si="52"/>
        <v/>
      </c>
      <c r="T350" s="18" t="str">
        <f t="shared" si="53"/>
        <v/>
      </c>
    </row>
    <row r="351" spans="2:20" x14ac:dyDescent="0.35">
      <c r="B351" s="29" t="str">
        <f>IF(B350="","",IF(B350+1&gt;Comparateur!$C$47,"",B350+1))</f>
        <v/>
      </c>
      <c r="C351" s="18" t="str">
        <f>IF(OR($B351="",Comparateur!C$17&lt;&gt;"OK",$B351&gt;Comparateur!C$11),"",ROUND(F350*Comparateur!C$10/12,2))</f>
        <v/>
      </c>
      <c r="D351" s="18" t="str">
        <f>IF(C351="","",IF($B351=Comparateur!C$11,F350,Comparateur!C$20-C351))</f>
        <v/>
      </c>
      <c r="E351" s="18" t="str">
        <f>IF(C351="","",ROUND(IF(Comparateur!C$12=Paramètres!$B$36,Comparateur!C$9,F350)*Comparateur!C$13/12,2))</f>
        <v/>
      </c>
      <c r="F351" s="31" t="str">
        <f t="shared" si="45"/>
        <v/>
      </c>
      <c r="G351" s="18" t="str">
        <f t="shared" si="46"/>
        <v/>
      </c>
      <c r="H351" s="18" t="str">
        <f t="shared" si="47"/>
        <v/>
      </c>
      <c r="I351" s="18" t="str">
        <f>IF(OR($B351="",Comparateur!D$17&lt;&gt;"OK",$B351&gt;Comparateur!D$11),"",ROUND(L350*Comparateur!D$10/12,2))</f>
        <v/>
      </c>
      <c r="J351" s="18" t="str">
        <f>IF(I351="","",IF($B351=Comparateur!D$11,L350,Comparateur!D$20-I351))</f>
        <v/>
      </c>
      <c r="K351" s="18" t="str">
        <f>IF(I351="","",ROUND(IF(Comparateur!D$12=Paramètres!$B$36,Comparateur!D$9,L350)*Comparateur!D$13/12,2))</f>
        <v/>
      </c>
      <c r="L351" s="31" t="str">
        <f t="shared" si="48"/>
        <v/>
      </c>
      <c r="M351" s="18" t="str">
        <f t="shared" si="49"/>
        <v/>
      </c>
      <c r="N351" s="18" t="str">
        <f t="shared" si="50"/>
        <v/>
      </c>
      <c r="O351" s="18" t="str">
        <f>IF(OR($B351="",Comparateur!E$17&lt;&gt;"OK",$B351&gt;Comparateur!E$11),"",ROUND(R350*Comparateur!E$10/12,2))</f>
        <v/>
      </c>
      <c r="P351" s="18" t="str">
        <f>IF(O351="","",IF($B351=Comparateur!E$11,R350,Comparateur!E$20-O351))</f>
        <v/>
      </c>
      <c r="Q351" s="18" t="str">
        <f>IF(O351="","",ROUND(IF(Comparateur!E$12=Paramètres!$B$36,Comparateur!E$9,R350)*Comparateur!E$13/12,2))</f>
        <v/>
      </c>
      <c r="R351" s="31" t="str">
        <f t="shared" si="51"/>
        <v/>
      </c>
      <c r="S351" s="18" t="str">
        <f t="shared" si="52"/>
        <v/>
      </c>
      <c r="T351" s="18" t="str">
        <f t="shared" si="53"/>
        <v/>
      </c>
    </row>
    <row r="352" spans="2:20" x14ac:dyDescent="0.35">
      <c r="B352" s="29" t="str">
        <f>IF(B351="","",IF(B351+1&gt;Comparateur!$C$47,"",B351+1))</f>
        <v/>
      </c>
      <c r="C352" s="18" t="str">
        <f>IF(OR($B352="",Comparateur!C$17&lt;&gt;"OK",$B352&gt;Comparateur!C$11),"",ROUND(F351*Comparateur!C$10/12,2))</f>
        <v/>
      </c>
      <c r="D352" s="18" t="str">
        <f>IF(C352="","",IF($B352=Comparateur!C$11,F351,Comparateur!C$20-C352))</f>
        <v/>
      </c>
      <c r="E352" s="18" t="str">
        <f>IF(C352="","",ROUND(IF(Comparateur!C$12=Paramètres!$B$36,Comparateur!C$9,F351)*Comparateur!C$13/12,2))</f>
        <v/>
      </c>
      <c r="F352" s="31" t="str">
        <f t="shared" si="45"/>
        <v/>
      </c>
      <c r="G352" s="18" t="str">
        <f t="shared" si="46"/>
        <v/>
      </c>
      <c r="H352" s="18" t="str">
        <f t="shared" si="47"/>
        <v/>
      </c>
      <c r="I352" s="18" t="str">
        <f>IF(OR($B352="",Comparateur!D$17&lt;&gt;"OK",$B352&gt;Comparateur!D$11),"",ROUND(L351*Comparateur!D$10/12,2))</f>
        <v/>
      </c>
      <c r="J352" s="18" t="str">
        <f>IF(I352="","",IF($B352=Comparateur!D$11,L351,Comparateur!D$20-I352))</f>
        <v/>
      </c>
      <c r="K352" s="18" t="str">
        <f>IF(I352="","",ROUND(IF(Comparateur!D$12=Paramètres!$B$36,Comparateur!D$9,L351)*Comparateur!D$13/12,2))</f>
        <v/>
      </c>
      <c r="L352" s="31" t="str">
        <f t="shared" si="48"/>
        <v/>
      </c>
      <c r="M352" s="18" t="str">
        <f t="shared" si="49"/>
        <v/>
      </c>
      <c r="N352" s="18" t="str">
        <f t="shared" si="50"/>
        <v/>
      </c>
      <c r="O352" s="18" t="str">
        <f>IF(OR($B352="",Comparateur!E$17&lt;&gt;"OK",$B352&gt;Comparateur!E$11),"",ROUND(R351*Comparateur!E$10/12,2))</f>
        <v/>
      </c>
      <c r="P352" s="18" t="str">
        <f>IF(O352="","",IF($B352=Comparateur!E$11,R351,Comparateur!E$20-O352))</f>
        <v/>
      </c>
      <c r="Q352" s="18" t="str">
        <f>IF(O352="","",ROUND(IF(Comparateur!E$12=Paramètres!$B$36,Comparateur!E$9,R351)*Comparateur!E$13/12,2))</f>
        <v/>
      </c>
      <c r="R352" s="31" t="str">
        <f t="shared" si="51"/>
        <v/>
      </c>
      <c r="S352" s="18" t="str">
        <f t="shared" si="52"/>
        <v/>
      </c>
      <c r="T352" s="18" t="str">
        <f t="shared" si="53"/>
        <v/>
      </c>
    </row>
    <row r="353" spans="2:20" x14ac:dyDescent="0.35">
      <c r="B353" s="29" t="str">
        <f>IF(B352="","",IF(B352+1&gt;Comparateur!$C$47,"",B352+1))</f>
        <v/>
      </c>
      <c r="C353" s="18" t="str">
        <f>IF(OR($B353="",Comparateur!C$17&lt;&gt;"OK",$B353&gt;Comparateur!C$11),"",ROUND(F352*Comparateur!C$10/12,2))</f>
        <v/>
      </c>
      <c r="D353" s="18" t="str">
        <f>IF(C353="","",IF($B353=Comparateur!C$11,F352,Comparateur!C$20-C353))</f>
        <v/>
      </c>
      <c r="E353" s="18" t="str">
        <f>IF(C353="","",ROUND(IF(Comparateur!C$12=Paramètres!$B$36,Comparateur!C$9,F352)*Comparateur!C$13/12,2))</f>
        <v/>
      </c>
      <c r="F353" s="31" t="str">
        <f t="shared" si="45"/>
        <v/>
      </c>
      <c r="G353" s="18" t="str">
        <f t="shared" si="46"/>
        <v/>
      </c>
      <c r="H353" s="18" t="str">
        <f t="shared" si="47"/>
        <v/>
      </c>
      <c r="I353" s="18" t="str">
        <f>IF(OR($B353="",Comparateur!D$17&lt;&gt;"OK",$B353&gt;Comparateur!D$11),"",ROUND(L352*Comparateur!D$10/12,2))</f>
        <v/>
      </c>
      <c r="J353" s="18" t="str">
        <f>IF(I353="","",IF($B353=Comparateur!D$11,L352,Comparateur!D$20-I353))</f>
        <v/>
      </c>
      <c r="K353" s="18" t="str">
        <f>IF(I353="","",ROUND(IF(Comparateur!D$12=Paramètres!$B$36,Comparateur!D$9,L352)*Comparateur!D$13/12,2))</f>
        <v/>
      </c>
      <c r="L353" s="31" t="str">
        <f t="shared" si="48"/>
        <v/>
      </c>
      <c r="M353" s="18" t="str">
        <f t="shared" si="49"/>
        <v/>
      </c>
      <c r="N353" s="18" t="str">
        <f t="shared" si="50"/>
        <v/>
      </c>
      <c r="O353" s="18" t="str">
        <f>IF(OR($B353="",Comparateur!E$17&lt;&gt;"OK",$B353&gt;Comparateur!E$11),"",ROUND(R352*Comparateur!E$10/12,2))</f>
        <v/>
      </c>
      <c r="P353" s="18" t="str">
        <f>IF(O353="","",IF($B353=Comparateur!E$11,R352,Comparateur!E$20-O353))</f>
        <v/>
      </c>
      <c r="Q353" s="18" t="str">
        <f>IF(O353="","",ROUND(IF(Comparateur!E$12=Paramètres!$B$36,Comparateur!E$9,R352)*Comparateur!E$13/12,2))</f>
        <v/>
      </c>
      <c r="R353" s="31" t="str">
        <f t="shared" si="51"/>
        <v/>
      </c>
      <c r="S353" s="18" t="str">
        <f t="shared" si="52"/>
        <v/>
      </c>
      <c r="T353" s="18" t="str">
        <f t="shared" si="53"/>
        <v/>
      </c>
    </row>
    <row r="354" spans="2:20" x14ac:dyDescent="0.35">
      <c r="B354" s="29" t="str">
        <f>IF(B353="","",IF(B353+1&gt;Comparateur!$C$47,"",B353+1))</f>
        <v/>
      </c>
      <c r="C354" s="18" t="str">
        <f>IF(OR($B354="",Comparateur!C$17&lt;&gt;"OK",$B354&gt;Comparateur!C$11),"",ROUND(F353*Comparateur!C$10/12,2))</f>
        <v/>
      </c>
      <c r="D354" s="18" t="str">
        <f>IF(C354="","",IF($B354=Comparateur!C$11,F353,Comparateur!C$20-C354))</f>
        <v/>
      </c>
      <c r="E354" s="18" t="str">
        <f>IF(C354="","",ROUND(IF(Comparateur!C$12=Paramètres!$B$36,Comparateur!C$9,F353)*Comparateur!C$13/12,2))</f>
        <v/>
      </c>
      <c r="F354" s="31" t="str">
        <f t="shared" si="45"/>
        <v/>
      </c>
      <c r="G354" s="18" t="str">
        <f t="shared" si="46"/>
        <v/>
      </c>
      <c r="H354" s="18" t="str">
        <f t="shared" si="47"/>
        <v/>
      </c>
      <c r="I354" s="18" t="str">
        <f>IF(OR($B354="",Comparateur!D$17&lt;&gt;"OK",$B354&gt;Comparateur!D$11),"",ROUND(L353*Comparateur!D$10/12,2))</f>
        <v/>
      </c>
      <c r="J354" s="18" t="str">
        <f>IF(I354="","",IF($B354=Comparateur!D$11,L353,Comparateur!D$20-I354))</f>
        <v/>
      </c>
      <c r="K354" s="18" t="str">
        <f>IF(I354="","",ROUND(IF(Comparateur!D$12=Paramètres!$B$36,Comparateur!D$9,L353)*Comparateur!D$13/12,2))</f>
        <v/>
      </c>
      <c r="L354" s="31" t="str">
        <f t="shared" si="48"/>
        <v/>
      </c>
      <c r="M354" s="18" t="str">
        <f t="shared" si="49"/>
        <v/>
      </c>
      <c r="N354" s="18" t="str">
        <f t="shared" si="50"/>
        <v/>
      </c>
      <c r="O354" s="18" t="str">
        <f>IF(OR($B354="",Comparateur!E$17&lt;&gt;"OK",$B354&gt;Comparateur!E$11),"",ROUND(R353*Comparateur!E$10/12,2))</f>
        <v/>
      </c>
      <c r="P354" s="18" t="str">
        <f>IF(O354="","",IF($B354=Comparateur!E$11,R353,Comparateur!E$20-O354))</f>
        <v/>
      </c>
      <c r="Q354" s="18" t="str">
        <f>IF(O354="","",ROUND(IF(Comparateur!E$12=Paramètres!$B$36,Comparateur!E$9,R353)*Comparateur!E$13/12,2))</f>
        <v/>
      </c>
      <c r="R354" s="31" t="str">
        <f t="shared" si="51"/>
        <v/>
      </c>
      <c r="S354" s="18" t="str">
        <f t="shared" si="52"/>
        <v/>
      </c>
      <c r="T354" s="18" t="str">
        <f t="shared" si="53"/>
        <v/>
      </c>
    </row>
    <row r="355" spans="2:20" x14ac:dyDescent="0.35">
      <c r="B355" s="29" t="str">
        <f>IF(B354="","",IF(B354+1&gt;Comparateur!$C$47,"",B354+1))</f>
        <v/>
      </c>
      <c r="C355" s="18" t="str">
        <f>IF(OR($B355="",Comparateur!C$17&lt;&gt;"OK",$B355&gt;Comparateur!C$11),"",ROUND(F354*Comparateur!C$10/12,2))</f>
        <v/>
      </c>
      <c r="D355" s="18" t="str">
        <f>IF(C355="","",IF($B355=Comparateur!C$11,F354,Comparateur!C$20-C355))</f>
        <v/>
      </c>
      <c r="E355" s="18" t="str">
        <f>IF(C355="","",ROUND(IF(Comparateur!C$12=Paramètres!$B$36,Comparateur!C$9,F354)*Comparateur!C$13/12,2))</f>
        <v/>
      </c>
      <c r="F355" s="31" t="str">
        <f t="shared" si="45"/>
        <v/>
      </c>
      <c r="G355" s="18" t="str">
        <f t="shared" si="46"/>
        <v/>
      </c>
      <c r="H355" s="18" t="str">
        <f t="shared" si="47"/>
        <v/>
      </c>
      <c r="I355" s="18" t="str">
        <f>IF(OR($B355="",Comparateur!D$17&lt;&gt;"OK",$B355&gt;Comparateur!D$11),"",ROUND(L354*Comparateur!D$10/12,2))</f>
        <v/>
      </c>
      <c r="J355" s="18" t="str">
        <f>IF(I355="","",IF($B355=Comparateur!D$11,L354,Comparateur!D$20-I355))</f>
        <v/>
      </c>
      <c r="K355" s="18" t="str">
        <f>IF(I355="","",ROUND(IF(Comparateur!D$12=Paramètres!$B$36,Comparateur!D$9,L354)*Comparateur!D$13/12,2))</f>
        <v/>
      </c>
      <c r="L355" s="31" t="str">
        <f t="shared" si="48"/>
        <v/>
      </c>
      <c r="M355" s="18" t="str">
        <f t="shared" si="49"/>
        <v/>
      </c>
      <c r="N355" s="18" t="str">
        <f t="shared" si="50"/>
        <v/>
      </c>
      <c r="O355" s="18" t="str">
        <f>IF(OR($B355="",Comparateur!E$17&lt;&gt;"OK",$B355&gt;Comparateur!E$11),"",ROUND(R354*Comparateur!E$10/12,2))</f>
        <v/>
      </c>
      <c r="P355" s="18" t="str">
        <f>IF(O355="","",IF($B355=Comparateur!E$11,R354,Comparateur!E$20-O355))</f>
        <v/>
      </c>
      <c r="Q355" s="18" t="str">
        <f>IF(O355="","",ROUND(IF(Comparateur!E$12=Paramètres!$B$36,Comparateur!E$9,R354)*Comparateur!E$13/12,2))</f>
        <v/>
      </c>
      <c r="R355" s="31" t="str">
        <f t="shared" si="51"/>
        <v/>
      </c>
      <c r="S355" s="18" t="str">
        <f t="shared" si="52"/>
        <v/>
      </c>
      <c r="T355" s="18" t="str">
        <f t="shared" si="53"/>
        <v/>
      </c>
    </row>
    <row r="356" spans="2:20" x14ac:dyDescent="0.35">
      <c r="B356" s="29" t="str">
        <f>IF(B355="","",IF(B355+1&gt;Comparateur!$C$47,"",B355+1))</f>
        <v/>
      </c>
      <c r="C356" s="18" t="str">
        <f>IF(OR($B356="",Comparateur!C$17&lt;&gt;"OK",$B356&gt;Comparateur!C$11),"",ROUND(F355*Comparateur!C$10/12,2))</f>
        <v/>
      </c>
      <c r="D356" s="18" t="str">
        <f>IF(C356="","",IF($B356=Comparateur!C$11,F355,Comparateur!C$20-C356))</f>
        <v/>
      </c>
      <c r="E356" s="18" t="str">
        <f>IF(C356="","",ROUND(IF(Comparateur!C$12=Paramètres!$B$36,Comparateur!C$9,F355)*Comparateur!C$13/12,2))</f>
        <v/>
      </c>
      <c r="F356" s="31" t="str">
        <f t="shared" si="45"/>
        <v/>
      </c>
      <c r="G356" s="18" t="str">
        <f t="shared" si="46"/>
        <v/>
      </c>
      <c r="H356" s="18" t="str">
        <f t="shared" si="47"/>
        <v/>
      </c>
      <c r="I356" s="18" t="str">
        <f>IF(OR($B356="",Comparateur!D$17&lt;&gt;"OK",$B356&gt;Comparateur!D$11),"",ROUND(L355*Comparateur!D$10/12,2))</f>
        <v/>
      </c>
      <c r="J356" s="18" t="str">
        <f>IF(I356="","",IF($B356=Comparateur!D$11,L355,Comparateur!D$20-I356))</f>
        <v/>
      </c>
      <c r="K356" s="18" t="str">
        <f>IF(I356="","",ROUND(IF(Comparateur!D$12=Paramètres!$B$36,Comparateur!D$9,L355)*Comparateur!D$13/12,2))</f>
        <v/>
      </c>
      <c r="L356" s="31" t="str">
        <f t="shared" si="48"/>
        <v/>
      </c>
      <c r="M356" s="18" t="str">
        <f t="shared" si="49"/>
        <v/>
      </c>
      <c r="N356" s="18" t="str">
        <f t="shared" si="50"/>
        <v/>
      </c>
      <c r="O356" s="18" t="str">
        <f>IF(OR($B356="",Comparateur!E$17&lt;&gt;"OK",$B356&gt;Comparateur!E$11),"",ROUND(R355*Comparateur!E$10/12,2))</f>
        <v/>
      </c>
      <c r="P356" s="18" t="str">
        <f>IF(O356="","",IF($B356=Comparateur!E$11,R355,Comparateur!E$20-O356))</f>
        <v/>
      </c>
      <c r="Q356" s="18" t="str">
        <f>IF(O356="","",ROUND(IF(Comparateur!E$12=Paramètres!$B$36,Comparateur!E$9,R355)*Comparateur!E$13/12,2))</f>
        <v/>
      </c>
      <c r="R356" s="31" t="str">
        <f t="shared" si="51"/>
        <v/>
      </c>
      <c r="S356" s="18" t="str">
        <f t="shared" si="52"/>
        <v/>
      </c>
      <c r="T356" s="18" t="str">
        <f t="shared" si="53"/>
        <v/>
      </c>
    </row>
    <row r="357" spans="2:20" x14ac:dyDescent="0.35">
      <c r="B357" s="29" t="str">
        <f>IF(B356="","",IF(B356+1&gt;Comparateur!$C$47,"",B356+1))</f>
        <v/>
      </c>
      <c r="C357" s="18" t="str">
        <f>IF(OR($B357="",Comparateur!C$17&lt;&gt;"OK",$B357&gt;Comparateur!C$11),"",ROUND(F356*Comparateur!C$10/12,2))</f>
        <v/>
      </c>
      <c r="D357" s="18" t="str">
        <f>IF(C357="","",IF($B357=Comparateur!C$11,F356,Comparateur!C$20-C357))</f>
        <v/>
      </c>
      <c r="E357" s="18" t="str">
        <f>IF(C357="","",ROUND(IF(Comparateur!C$12=Paramètres!$B$36,Comparateur!C$9,F356)*Comparateur!C$13/12,2))</f>
        <v/>
      </c>
      <c r="F357" s="31" t="str">
        <f t="shared" si="45"/>
        <v/>
      </c>
      <c r="G357" s="18" t="str">
        <f t="shared" si="46"/>
        <v/>
      </c>
      <c r="H357" s="18" t="str">
        <f t="shared" si="47"/>
        <v/>
      </c>
      <c r="I357" s="18" t="str">
        <f>IF(OR($B357="",Comparateur!D$17&lt;&gt;"OK",$B357&gt;Comparateur!D$11),"",ROUND(L356*Comparateur!D$10/12,2))</f>
        <v/>
      </c>
      <c r="J357" s="18" t="str">
        <f>IF(I357="","",IF($B357=Comparateur!D$11,L356,Comparateur!D$20-I357))</f>
        <v/>
      </c>
      <c r="K357" s="18" t="str">
        <f>IF(I357="","",ROUND(IF(Comparateur!D$12=Paramètres!$B$36,Comparateur!D$9,L356)*Comparateur!D$13/12,2))</f>
        <v/>
      </c>
      <c r="L357" s="31" t="str">
        <f t="shared" si="48"/>
        <v/>
      </c>
      <c r="M357" s="18" t="str">
        <f t="shared" si="49"/>
        <v/>
      </c>
      <c r="N357" s="18" t="str">
        <f t="shared" si="50"/>
        <v/>
      </c>
      <c r="O357" s="18" t="str">
        <f>IF(OR($B357="",Comparateur!E$17&lt;&gt;"OK",$B357&gt;Comparateur!E$11),"",ROUND(R356*Comparateur!E$10/12,2))</f>
        <v/>
      </c>
      <c r="P357" s="18" t="str">
        <f>IF(O357="","",IF($B357=Comparateur!E$11,R356,Comparateur!E$20-O357))</f>
        <v/>
      </c>
      <c r="Q357" s="18" t="str">
        <f>IF(O357="","",ROUND(IF(Comparateur!E$12=Paramètres!$B$36,Comparateur!E$9,R356)*Comparateur!E$13/12,2))</f>
        <v/>
      </c>
      <c r="R357" s="31" t="str">
        <f t="shared" si="51"/>
        <v/>
      </c>
      <c r="S357" s="18" t="str">
        <f t="shared" si="52"/>
        <v/>
      </c>
      <c r="T357" s="18" t="str">
        <f t="shared" si="53"/>
        <v/>
      </c>
    </row>
    <row r="358" spans="2:20" x14ac:dyDescent="0.35">
      <c r="B358" s="29" t="str">
        <f>IF(B357="","",IF(B357+1&gt;Comparateur!$C$47,"",B357+1))</f>
        <v/>
      </c>
      <c r="C358" s="18" t="str">
        <f>IF(OR($B358="",Comparateur!C$17&lt;&gt;"OK",$B358&gt;Comparateur!C$11),"",ROUND(F357*Comparateur!C$10/12,2))</f>
        <v/>
      </c>
      <c r="D358" s="18" t="str">
        <f>IF(C358="","",IF($B358=Comparateur!C$11,F357,Comparateur!C$20-C358))</f>
        <v/>
      </c>
      <c r="E358" s="18" t="str">
        <f>IF(C358="","",ROUND(IF(Comparateur!C$12=Paramètres!$B$36,Comparateur!C$9,F357)*Comparateur!C$13/12,2))</f>
        <v/>
      </c>
      <c r="F358" s="31" t="str">
        <f t="shared" si="45"/>
        <v/>
      </c>
      <c r="G358" s="18" t="str">
        <f t="shared" si="46"/>
        <v/>
      </c>
      <c r="H358" s="18" t="str">
        <f t="shared" si="47"/>
        <v/>
      </c>
      <c r="I358" s="18" t="str">
        <f>IF(OR($B358="",Comparateur!D$17&lt;&gt;"OK",$B358&gt;Comparateur!D$11),"",ROUND(L357*Comparateur!D$10/12,2))</f>
        <v/>
      </c>
      <c r="J358" s="18" t="str">
        <f>IF(I358="","",IF($B358=Comparateur!D$11,L357,Comparateur!D$20-I358))</f>
        <v/>
      </c>
      <c r="K358" s="18" t="str">
        <f>IF(I358="","",ROUND(IF(Comparateur!D$12=Paramètres!$B$36,Comparateur!D$9,L357)*Comparateur!D$13/12,2))</f>
        <v/>
      </c>
      <c r="L358" s="31" t="str">
        <f t="shared" si="48"/>
        <v/>
      </c>
      <c r="M358" s="18" t="str">
        <f t="shared" si="49"/>
        <v/>
      </c>
      <c r="N358" s="18" t="str">
        <f t="shared" si="50"/>
        <v/>
      </c>
      <c r="O358" s="18" t="str">
        <f>IF(OR($B358="",Comparateur!E$17&lt;&gt;"OK",$B358&gt;Comparateur!E$11),"",ROUND(R357*Comparateur!E$10/12,2))</f>
        <v/>
      </c>
      <c r="P358" s="18" t="str">
        <f>IF(O358="","",IF($B358=Comparateur!E$11,R357,Comparateur!E$20-O358))</f>
        <v/>
      </c>
      <c r="Q358" s="18" t="str">
        <f>IF(O358="","",ROUND(IF(Comparateur!E$12=Paramètres!$B$36,Comparateur!E$9,R357)*Comparateur!E$13/12,2))</f>
        <v/>
      </c>
      <c r="R358" s="31" t="str">
        <f t="shared" si="51"/>
        <v/>
      </c>
      <c r="S358" s="18" t="str">
        <f t="shared" si="52"/>
        <v/>
      </c>
      <c r="T358" s="18" t="str">
        <f t="shared" si="53"/>
        <v/>
      </c>
    </row>
    <row r="359" spans="2:20" x14ac:dyDescent="0.35">
      <c r="B359" s="29" t="str">
        <f>IF(B358="","",IF(B358+1&gt;Comparateur!$C$47,"",B358+1))</f>
        <v/>
      </c>
      <c r="C359" s="18" t="str">
        <f>IF(OR($B359="",Comparateur!C$17&lt;&gt;"OK",$B359&gt;Comparateur!C$11),"",ROUND(F358*Comparateur!C$10/12,2))</f>
        <v/>
      </c>
      <c r="D359" s="18" t="str">
        <f>IF(C359="","",IF($B359=Comparateur!C$11,F358,Comparateur!C$20-C359))</f>
        <v/>
      </c>
      <c r="E359" s="18" t="str">
        <f>IF(C359="","",ROUND(IF(Comparateur!C$12=Paramètres!$B$36,Comparateur!C$9,F358)*Comparateur!C$13/12,2))</f>
        <v/>
      </c>
      <c r="F359" s="31" t="str">
        <f t="shared" si="45"/>
        <v/>
      </c>
      <c r="G359" s="18" t="str">
        <f t="shared" si="46"/>
        <v/>
      </c>
      <c r="H359" s="18" t="str">
        <f t="shared" si="47"/>
        <v/>
      </c>
      <c r="I359" s="18" t="str">
        <f>IF(OR($B359="",Comparateur!D$17&lt;&gt;"OK",$B359&gt;Comparateur!D$11),"",ROUND(L358*Comparateur!D$10/12,2))</f>
        <v/>
      </c>
      <c r="J359" s="18" t="str">
        <f>IF(I359="","",IF($B359=Comparateur!D$11,L358,Comparateur!D$20-I359))</f>
        <v/>
      </c>
      <c r="K359" s="18" t="str">
        <f>IF(I359="","",ROUND(IF(Comparateur!D$12=Paramètres!$B$36,Comparateur!D$9,L358)*Comparateur!D$13/12,2))</f>
        <v/>
      </c>
      <c r="L359" s="31" t="str">
        <f t="shared" si="48"/>
        <v/>
      </c>
      <c r="M359" s="18" t="str">
        <f t="shared" si="49"/>
        <v/>
      </c>
      <c r="N359" s="18" t="str">
        <f t="shared" si="50"/>
        <v/>
      </c>
      <c r="O359" s="18" t="str">
        <f>IF(OR($B359="",Comparateur!E$17&lt;&gt;"OK",$B359&gt;Comparateur!E$11),"",ROUND(R358*Comparateur!E$10/12,2))</f>
        <v/>
      </c>
      <c r="P359" s="18" t="str">
        <f>IF(O359="","",IF($B359=Comparateur!E$11,R358,Comparateur!E$20-O359))</f>
        <v/>
      </c>
      <c r="Q359" s="18" t="str">
        <f>IF(O359="","",ROUND(IF(Comparateur!E$12=Paramètres!$B$36,Comparateur!E$9,R358)*Comparateur!E$13/12,2))</f>
        <v/>
      </c>
      <c r="R359" s="31" t="str">
        <f t="shared" si="51"/>
        <v/>
      </c>
      <c r="S359" s="18" t="str">
        <f t="shared" si="52"/>
        <v/>
      </c>
      <c r="T359" s="18" t="str">
        <f t="shared" si="53"/>
        <v/>
      </c>
    </row>
    <row r="360" spans="2:20" x14ac:dyDescent="0.35">
      <c r="B360" s="29" t="str">
        <f>IF(B359="","",IF(B359+1&gt;Comparateur!$C$47,"",B359+1))</f>
        <v/>
      </c>
      <c r="C360" s="18" t="str">
        <f>IF(OR($B360="",Comparateur!C$17&lt;&gt;"OK",$B360&gt;Comparateur!C$11),"",ROUND(F359*Comparateur!C$10/12,2))</f>
        <v/>
      </c>
      <c r="D360" s="18" t="str">
        <f>IF(C360="","",IF($B360=Comparateur!C$11,F359,Comparateur!C$20-C360))</f>
        <v/>
      </c>
      <c r="E360" s="18" t="str">
        <f>IF(C360="","",ROUND(IF(Comparateur!C$12=Paramètres!$B$36,Comparateur!C$9,F359)*Comparateur!C$13/12,2))</f>
        <v/>
      </c>
      <c r="F360" s="31" t="str">
        <f t="shared" si="45"/>
        <v/>
      </c>
      <c r="G360" s="18" t="str">
        <f t="shared" si="46"/>
        <v/>
      </c>
      <c r="H360" s="18" t="str">
        <f t="shared" si="47"/>
        <v/>
      </c>
      <c r="I360" s="18" t="str">
        <f>IF(OR($B360="",Comparateur!D$17&lt;&gt;"OK",$B360&gt;Comparateur!D$11),"",ROUND(L359*Comparateur!D$10/12,2))</f>
        <v/>
      </c>
      <c r="J360" s="18" t="str">
        <f>IF(I360="","",IF($B360=Comparateur!D$11,L359,Comparateur!D$20-I360))</f>
        <v/>
      </c>
      <c r="K360" s="18" t="str">
        <f>IF(I360="","",ROUND(IF(Comparateur!D$12=Paramètres!$B$36,Comparateur!D$9,L359)*Comparateur!D$13/12,2))</f>
        <v/>
      </c>
      <c r="L360" s="31" t="str">
        <f t="shared" si="48"/>
        <v/>
      </c>
      <c r="M360" s="18" t="str">
        <f t="shared" si="49"/>
        <v/>
      </c>
      <c r="N360" s="18" t="str">
        <f t="shared" si="50"/>
        <v/>
      </c>
      <c r="O360" s="18" t="str">
        <f>IF(OR($B360="",Comparateur!E$17&lt;&gt;"OK",$B360&gt;Comparateur!E$11),"",ROUND(R359*Comparateur!E$10/12,2))</f>
        <v/>
      </c>
      <c r="P360" s="18" t="str">
        <f>IF(O360="","",IF($B360=Comparateur!E$11,R359,Comparateur!E$20-O360))</f>
        <v/>
      </c>
      <c r="Q360" s="18" t="str">
        <f>IF(O360="","",ROUND(IF(Comparateur!E$12=Paramètres!$B$36,Comparateur!E$9,R359)*Comparateur!E$13/12,2))</f>
        <v/>
      </c>
      <c r="R360" s="31" t="str">
        <f t="shared" si="51"/>
        <v/>
      </c>
      <c r="S360" s="18" t="str">
        <f t="shared" si="52"/>
        <v/>
      </c>
      <c r="T360" s="18" t="str">
        <f t="shared" si="53"/>
        <v/>
      </c>
    </row>
    <row r="361" spans="2:20" x14ac:dyDescent="0.35">
      <c r="B361" s="29" t="str">
        <f>IF(B360="","",IF(B360+1&gt;Comparateur!$C$47,"",B360+1))</f>
        <v/>
      </c>
      <c r="C361" s="18" t="str">
        <f>IF(OR($B361="",Comparateur!C$17&lt;&gt;"OK",$B361&gt;Comparateur!C$11),"",ROUND(F360*Comparateur!C$10/12,2))</f>
        <v/>
      </c>
      <c r="D361" s="18" t="str">
        <f>IF(C361="","",IF($B361=Comparateur!C$11,F360,Comparateur!C$20-C361))</f>
        <v/>
      </c>
      <c r="E361" s="18" t="str">
        <f>IF(C361="","",ROUND(IF(Comparateur!C$12=Paramètres!$B$36,Comparateur!C$9,F360)*Comparateur!C$13/12,2))</f>
        <v/>
      </c>
      <c r="F361" s="31" t="str">
        <f t="shared" si="45"/>
        <v/>
      </c>
      <c r="G361" s="18" t="str">
        <f t="shared" si="46"/>
        <v/>
      </c>
      <c r="H361" s="18" t="str">
        <f t="shared" si="47"/>
        <v/>
      </c>
      <c r="I361" s="18" t="str">
        <f>IF(OR($B361="",Comparateur!D$17&lt;&gt;"OK",$B361&gt;Comparateur!D$11),"",ROUND(L360*Comparateur!D$10/12,2))</f>
        <v/>
      </c>
      <c r="J361" s="18" t="str">
        <f>IF(I361="","",IF($B361=Comparateur!D$11,L360,Comparateur!D$20-I361))</f>
        <v/>
      </c>
      <c r="K361" s="18" t="str">
        <f>IF(I361="","",ROUND(IF(Comparateur!D$12=Paramètres!$B$36,Comparateur!D$9,L360)*Comparateur!D$13/12,2))</f>
        <v/>
      </c>
      <c r="L361" s="31" t="str">
        <f t="shared" si="48"/>
        <v/>
      </c>
      <c r="M361" s="18" t="str">
        <f t="shared" si="49"/>
        <v/>
      </c>
      <c r="N361" s="18" t="str">
        <f t="shared" si="50"/>
        <v/>
      </c>
      <c r="O361" s="18" t="str">
        <f>IF(OR($B361="",Comparateur!E$17&lt;&gt;"OK",$B361&gt;Comparateur!E$11),"",ROUND(R360*Comparateur!E$10/12,2))</f>
        <v/>
      </c>
      <c r="P361" s="18" t="str">
        <f>IF(O361="","",IF($B361=Comparateur!E$11,R360,Comparateur!E$20-O361))</f>
        <v/>
      </c>
      <c r="Q361" s="18" t="str">
        <f>IF(O361="","",ROUND(IF(Comparateur!E$12=Paramètres!$B$36,Comparateur!E$9,R360)*Comparateur!E$13/12,2))</f>
        <v/>
      </c>
      <c r="R361" s="31" t="str">
        <f t="shared" si="51"/>
        <v/>
      </c>
      <c r="S361" s="18" t="str">
        <f t="shared" si="52"/>
        <v/>
      </c>
      <c r="T361" s="18" t="str">
        <f t="shared" si="53"/>
        <v/>
      </c>
    </row>
    <row r="362" spans="2:20" x14ac:dyDescent="0.35">
      <c r="B362" s="29" t="str">
        <f>IF(B361="","",IF(B361+1&gt;Comparateur!$C$47,"",B361+1))</f>
        <v/>
      </c>
      <c r="C362" s="18" t="str">
        <f>IF(OR($B362="",Comparateur!C$17&lt;&gt;"OK",$B362&gt;Comparateur!C$11),"",ROUND(F361*Comparateur!C$10/12,2))</f>
        <v/>
      </c>
      <c r="D362" s="18" t="str">
        <f>IF(C362="","",IF($B362=Comparateur!C$11,F361,Comparateur!C$20-C362))</f>
        <v/>
      </c>
      <c r="E362" s="18" t="str">
        <f>IF(C362="","",ROUND(IF(Comparateur!C$12=Paramètres!$B$36,Comparateur!C$9,F361)*Comparateur!C$13/12,2))</f>
        <v/>
      </c>
      <c r="F362" s="31" t="str">
        <f t="shared" si="45"/>
        <v/>
      </c>
      <c r="G362" s="18" t="str">
        <f t="shared" si="46"/>
        <v/>
      </c>
      <c r="H362" s="18" t="str">
        <f t="shared" si="47"/>
        <v/>
      </c>
      <c r="I362" s="18" t="str">
        <f>IF(OR($B362="",Comparateur!D$17&lt;&gt;"OK",$B362&gt;Comparateur!D$11),"",ROUND(L361*Comparateur!D$10/12,2))</f>
        <v/>
      </c>
      <c r="J362" s="18" t="str">
        <f>IF(I362="","",IF($B362=Comparateur!D$11,L361,Comparateur!D$20-I362))</f>
        <v/>
      </c>
      <c r="K362" s="18" t="str">
        <f>IF(I362="","",ROUND(IF(Comparateur!D$12=Paramètres!$B$36,Comparateur!D$9,L361)*Comparateur!D$13/12,2))</f>
        <v/>
      </c>
      <c r="L362" s="31" t="str">
        <f t="shared" si="48"/>
        <v/>
      </c>
      <c r="M362" s="18" t="str">
        <f t="shared" si="49"/>
        <v/>
      </c>
      <c r="N362" s="18" t="str">
        <f t="shared" si="50"/>
        <v/>
      </c>
      <c r="O362" s="18" t="str">
        <f>IF(OR($B362="",Comparateur!E$17&lt;&gt;"OK",$B362&gt;Comparateur!E$11),"",ROUND(R361*Comparateur!E$10/12,2))</f>
        <v/>
      </c>
      <c r="P362" s="18" t="str">
        <f>IF(O362="","",IF($B362=Comparateur!E$11,R361,Comparateur!E$20-O362))</f>
        <v/>
      </c>
      <c r="Q362" s="18" t="str">
        <f>IF(O362="","",ROUND(IF(Comparateur!E$12=Paramètres!$B$36,Comparateur!E$9,R361)*Comparateur!E$13/12,2))</f>
        <v/>
      </c>
      <c r="R362" s="31" t="str">
        <f t="shared" si="51"/>
        <v/>
      </c>
      <c r="S362" s="18" t="str">
        <f t="shared" si="52"/>
        <v/>
      </c>
      <c r="T362" s="18" t="str">
        <f t="shared" si="53"/>
        <v/>
      </c>
    </row>
    <row r="363" spans="2:20" x14ac:dyDescent="0.35">
      <c r="B363" s="29" t="str">
        <f>IF(B362="","",IF(B362+1&gt;Comparateur!$C$47,"",B362+1))</f>
        <v/>
      </c>
      <c r="C363" s="18" t="str">
        <f>IF(OR($B363="",Comparateur!C$17&lt;&gt;"OK",$B363&gt;Comparateur!C$11),"",ROUND(F362*Comparateur!C$10/12,2))</f>
        <v/>
      </c>
      <c r="D363" s="18" t="str">
        <f>IF(C363="","",IF($B363=Comparateur!C$11,F362,Comparateur!C$20-C363))</f>
        <v/>
      </c>
      <c r="E363" s="18" t="str">
        <f>IF(C363="","",ROUND(IF(Comparateur!C$12=Paramètres!$B$36,Comparateur!C$9,F362)*Comparateur!C$13/12,2))</f>
        <v/>
      </c>
      <c r="F363" s="31" t="str">
        <f t="shared" si="45"/>
        <v/>
      </c>
      <c r="G363" s="18" t="str">
        <f t="shared" si="46"/>
        <v/>
      </c>
      <c r="H363" s="18" t="str">
        <f t="shared" si="47"/>
        <v/>
      </c>
      <c r="I363" s="18" t="str">
        <f>IF(OR($B363="",Comparateur!D$17&lt;&gt;"OK",$B363&gt;Comparateur!D$11),"",ROUND(L362*Comparateur!D$10/12,2))</f>
        <v/>
      </c>
      <c r="J363" s="18" t="str">
        <f>IF(I363="","",IF($B363=Comparateur!D$11,L362,Comparateur!D$20-I363))</f>
        <v/>
      </c>
      <c r="K363" s="18" t="str">
        <f>IF(I363="","",ROUND(IF(Comparateur!D$12=Paramètres!$B$36,Comparateur!D$9,L362)*Comparateur!D$13/12,2))</f>
        <v/>
      </c>
      <c r="L363" s="31" t="str">
        <f t="shared" si="48"/>
        <v/>
      </c>
      <c r="M363" s="18" t="str">
        <f t="shared" si="49"/>
        <v/>
      </c>
      <c r="N363" s="18" t="str">
        <f t="shared" si="50"/>
        <v/>
      </c>
      <c r="O363" s="18" t="str">
        <f>IF(OR($B363="",Comparateur!E$17&lt;&gt;"OK",$B363&gt;Comparateur!E$11),"",ROUND(R362*Comparateur!E$10/12,2))</f>
        <v/>
      </c>
      <c r="P363" s="18" t="str">
        <f>IF(O363="","",IF($B363=Comparateur!E$11,R362,Comparateur!E$20-O363))</f>
        <v/>
      </c>
      <c r="Q363" s="18" t="str">
        <f>IF(O363="","",ROUND(IF(Comparateur!E$12=Paramètres!$B$36,Comparateur!E$9,R362)*Comparateur!E$13/12,2))</f>
        <v/>
      </c>
      <c r="R363" s="31" t="str">
        <f t="shared" si="51"/>
        <v/>
      </c>
      <c r="S363" s="18" t="str">
        <f t="shared" si="52"/>
        <v/>
      </c>
      <c r="T363" s="18" t="str">
        <f t="shared" si="53"/>
        <v/>
      </c>
    </row>
    <row r="364" spans="2:20" x14ac:dyDescent="0.35">
      <c r="B364" s="29" t="str">
        <f>IF(B363="","",IF(B363+1&gt;Comparateur!$C$47,"",B363+1))</f>
        <v/>
      </c>
      <c r="C364" s="18" t="str">
        <f>IF(OR($B364="",Comparateur!C$17&lt;&gt;"OK",$B364&gt;Comparateur!C$11),"",ROUND(F363*Comparateur!C$10/12,2))</f>
        <v/>
      </c>
      <c r="D364" s="18" t="str">
        <f>IF(C364="","",IF($B364=Comparateur!C$11,F363,Comparateur!C$20-C364))</f>
        <v/>
      </c>
      <c r="E364" s="18" t="str">
        <f>IF(C364="","",ROUND(IF(Comparateur!C$12=Paramètres!$B$36,Comparateur!C$9,F363)*Comparateur!C$13/12,2))</f>
        <v/>
      </c>
      <c r="F364" s="31" t="str">
        <f t="shared" si="45"/>
        <v/>
      </c>
      <c r="G364" s="18" t="str">
        <f t="shared" si="46"/>
        <v/>
      </c>
      <c r="H364" s="18" t="str">
        <f t="shared" si="47"/>
        <v/>
      </c>
      <c r="I364" s="18" t="str">
        <f>IF(OR($B364="",Comparateur!D$17&lt;&gt;"OK",$B364&gt;Comparateur!D$11),"",ROUND(L363*Comparateur!D$10/12,2))</f>
        <v/>
      </c>
      <c r="J364" s="18" t="str">
        <f>IF(I364="","",IF($B364=Comparateur!D$11,L363,Comparateur!D$20-I364))</f>
        <v/>
      </c>
      <c r="K364" s="18" t="str">
        <f>IF(I364="","",ROUND(IF(Comparateur!D$12=Paramètres!$B$36,Comparateur!D$9,L363)*Comparateur!D$13/12,2))</f>
        <v/>
      </c>
      <c r="L364" s="31" t="str">
        <f t="shared" si="48"/>
        <v/>
      </c>
      <c r="M364" s="18" t="str">
        <f t="shared" si="49"/>
        <v/>
      </c>
      <c r="N364" s="18" t="str">
        <f t="shared" si="50"/>
        <v/>
      </c>
      <c r="O364" s="18" t="str">
        <f>IF(OR($B364="",Comparateur!E$17&lt;&gt;"OK",$B364&gt;Comparateur!E$11),"",ROUND(R363*Comparateur!E$10/12,2))</f>
        <v/>
      </c>
      <c r="P364" s="18" t="str">
        <f>IF(O364="","",IF($B364=Comparateur!E$11,R363,Comparateur!E$20-O364))</f>
        <v/>
      </c>
      <c r="Q364" s="18" t="str">
        <f>IF(O364="","",ROUND(IF(Comparateur!E$12=Paramètres!$B$36,Comparateur!E$9,R363)*Comparateur!E$13/12,2))</f>
        <v/>
      </c>
      <c r="R364" s="31" t="str">
        <f t="shared" si="51"/>
        <v/>
      </c>
      <c r="S364" s="18" t="str">
        <f t="shared" si="52"/>
        <v/>
      </c>
      <c r="T364" s="18" t="str">
        <f t="shared" si="53"/>
        <v/>
      </c>
    </row>
    <row r="365" spans="2:20" x14ac:dyDescent="0.35">
      <c r="B365" s="29" t="str">
        <f>IF(B364="","",IF(B364+1&gt;Comparateur!$C$47,"",B364+1))</f>
        <v/>
      </c>
      <c r="C365" s="18" t="str">
        <f>IF(OR($B365="",Comparateur!C$17&lt;&gt;"OK",$B365&gt;Comparateur!C$11),"",ROUND(F364*Comparateur!C$10/12,2))</f>
        <v/>
      </c>
      <c r="D365" s="18" t="str">
        <f>IF(C365="","",IF($B365=Comparateur!C$11,F364,Comparateur!C$20-C365))</f>
        <v/>
      </c>
      <c r="E365" s="18" t="str">
        <f>IF(C365="","",ROUND(IF(Comparateur!C$12=Paramètres!$B$36,Comparateur!C$9,F364)*Comparateur!C$13/12,2))</f>
        <v/>
      </c>
      <c r="F365" s="31" t="str">
        <f t="shared" si="45"/>
        <v/>
      </c>
      <c r="G365" s="18" t="str">
        <f t="shared" si="46"/>
        <v/>
      </c>
      <c r="H365" s="18" t="str">
        <f t="shared" si="47"/>
        <v/>
      </c>
      <c r="I365" s="18" t="str">
        <f>IF(OR($B365="",Comparateur!D$17&lt;&gt;"OK",$B365&gt;Comparateur!D$11),"",ROUND(L364*Comparateur!D$10/12,2))</f>
        <v/>
      </c>
      <c r="J365" s="18" t="str">
        <f>IF(I365="","",IF($B365=Comparateur!D$11,L364,Comparateur!D$20-I365))</f>
        <v/>
      </c>
      <c r="K365" s="18" t="str">
        <f>IF(I365="","",ROUND(IF(Comparateur!D$12=Paramètres!$B$36,Comparateur!D$9,L364)*Comparateur!D$13/12,2))</f>
        <v/>
      </c>
      <c r="L365" s="31" t="str">
        <f t="shared" si="48"/>
        <v/>
      </c>
      <c r="M365" s="18" t="str">
        <f t="shared" si="49"/>
        <v/>
      </c>
      <c r="N365" s="18" t="str">
        <f t="shared" si="50"/>
        <v/>
      </c>
      <c r="O365" s="18" t="str">
        <f>IF(OR($B365="",Comparateur!E$17&lt;&gt;"OK",$B365&gt;Comparateur!E$11),"",ROUND(R364*Comparateur!E$10/12,2))</f>
        <v/>
      </c>
      <c r="P365" s="18" t="str">
        <f>IF(O365="","",IF($B365=Comparateur!E$11,R364,Comparateur!E$20-O365))</f>
        <v/>
      </c>
      <c r="Q365" s="18" t="str">
        <f>IF(O365="","",ROUND(IF(Comparateur!E$12=Paramètres!$B$36,Comparateur!E$9,R364)*Comparateur!E$13/12,2))</f>
        <v/>
      </c>
      <c r="R365" s="31" t="str">
        <f t="shared" si="51"/>
        <v/>
      </c>
      <c r="S365" s="18" t="str">
        <f t="shared" si="52"/>
        <v/>
      </c>
      <c r="T365" s="18" t="str">
        <f t="shared" si="53"/>
        <v/>
      </c>
    </row>
    <row r="366" spans="2:20" x14ac:dyDescent="0.35">
      <c r="B366" s="29" t="str">
        <f>IF(B365="","",IF(B365+1&gt;Comparateur!$C$47,"",B365+1))</f>
        <v/>
      </c>
      <c r="C366" s="18" t="str">
        <f>IF(OR($B366="",Comparateur!C$17&lt;&gt;"OK",$B366&gt;Comparateur!C$11),"",ROUND(F365*Comparateur!C$10/12,2))</f>
        <v/>
      </c>
      <c r="D366" s="18" t="str">
        <f>IF(C366="","",IF($B366=Comparateur!C$11,F365,Comparateur!C$20-C366))</f>
        <v/>
      </c>
      <c r="E366" s="18" t="str">
        <f>IF(C366="","",ROUND(IF(Comparateur!C$12=Paramètres!$B$36,Comparateur!C$9,F365)*Comparateur!C$13/12,2))</f>
        <v/>
      </c>
      <c r="F366" s="31" t="str">
        <f t="shared" si="45"/>
        <v/>
      </c>
      <c r="G366" s="18" t="str">
        <f t="shared" si="46"/>
        <v/>
      </c>
      <c r="H366" s="18" t="str">
        <f t="shared" si="47"/>
        <v/>
      </c>
      <c r="I366" s="18" t="str">
        <f>IF(OR($B366="",Comparateur!D$17&lt;&gt;"OK",$B366&gt;Comparateur!D$11),"",ROUND(L365*Comparateur!D$10/12,2))</f>
        <v/>
      </c>
      <c r="J366" s="18" t="str">
        <f>IF(I366="","",IF($B366=Comparateur!D$11,L365,Comparateur!D$20-I366))</f>
        <v/>
      </c>
      <c r="K366" s="18" t="str">
        <f>IF(I366="","",ROUND(IF(Comparateur!D$12=Paramètres!$B$36,Comparateur!D$9,L365)*Comparateur!D$13/12,2))</f>
        <v/>
      </c>
      <c r="L366" s="31" t="str">
        <f t="shared" si="48"/>
        <v/>
      </c>
      <c r="M366" s="18" t="str">
        <f t="shared" si="49"/>
        <v/>
      </c>
      <c r="N366" s="18" t="str">
        <f t="shared" si="50"/>
        <v/>
      </c>
      <c r="O366" s="18" t="str">
        <f>IF(OR($B366="",Comparateur!E$17&lt;&gt;"OK",$B366&gt;Comparateur!E$11),"",ROUND(R365*Comparateur!E$10/12,2))</f>
        <v/>
      </c>
      <c r="P366" s="18" t="str">
        <f>IF(O366="","",IF($B366=Comparateur!E$11,R365,Comparateur!E$20-O366))</f>
        <v/>
      </c>
      <c r="Q366" s="18" t="str">
        <f>IF(O366="","",ROUND(IF(Comparateur!E$12=Paramètres!$B$36,Comparateur!E$9,R365)*Comparateur!E$13/12,2))</f>
        <v/>
      </c>
      <c r="R366" s="31" t="str">
        <f t="shared" si="51"/>
        <v/>
      </c>
      <c r="S366" s="18" t="str">
        <f t="shared" si="52"/>
        <v/>
      </c>
      <c r="T366" s="18" t="str">
        <f t="shared" si="53"/>
        <v/>
      </c>
    </row>
    <row r="367" spans="2:20" x14ac:dyDescent="0.35">
      <c r="B367" s="29" t="str">
        <f>IF(B366="","",IF(B366+1&gt;Comparateur!$C$47,"",B366+1))</f>
        <v/>
      </c>
      <c r="C367" s="18" t="str">
        <f>IF(OR($B367="",Comparateur!C$17&lt;&gt;"OK",$B367&gt;Comparateur!C$11),"",ROUND(F366*Comparateur!C$10/12,2))</f>
        <v/>
      </c>
      <c r="D367" s="18" t="str">
        <f>IF(C367="","",IF($B367=Comparateur!C$11,F366,Comparateur!C$20-C367))</f>
        <v/>
      </c>
      <c r="E367" s="18" t="str">
        <f>IF(C367="","",ROUND(IF(Comparateur!C$12=Paramètres!$B$36,Comparateur!C$9,F366)*Comparateur!C$13/12,2))</f>
        <v/>
      </c>
      <c r="F367" s="31" t="str">
        <f t="shared" si="45"/>
        <v/>
      </c>
      <c r="G367" s="18" t="str">
        <f t="shared" si="46"/>
        <v/>
      </c>
      <c r="H367" s="18" t="str">
        <f t="shared" si="47"/>
        <v/>
      </c>
      <c r="I367" s="18" t="str">
        <f>IF(OR($B367="",Comparateur!D$17&lt;&gt;"OK",$B367&gt;Comparateur!D$11),"",ROUND(L366*Comparateur!D$10/12,2))</f>
        <v/>
      </c>
      <c r="J367" s="18" t="str">
        <f>IF(I367="","",IF($B367=Comparateur!D$11,L366,Comparateur!D$20-I367))</f>
        <v/>
      </c>
      <c r="K367" s="18" t="str">
        <f>IF(I367="","",ROUND(IF(Comparateur!D$12=Paramètres!$B$36,Comparateur!D$9,L366)*Comparateur!D$13/12,2))</f>
        <v/>
      </c>
      <c r="L367" s="31" t="str">
        <f t="shared" si="48"/>
        <v/>
      </c>
      <c r="M367" s="18" t="str">
        <f t="shared" si="49"/>
        <v/>
      </c>
      <c r="N367" s="18" t="str">
        <f t="shared" si="50"/>
        <v/>
      </c>
      <c r="O367" s="18" t="str">
        <f>IF(OR($B367="",Comparateur!E$17&lt;&gt;"OK",$B367&gt;Comparateur!E$11),"",ROUND(R366*Comparateur!E$10/12,2))</f>
        <v/>
      </c>
      <c r="P367" s="18" t="str">
        <f>IF(O367="","",IF($B367=Comparateur!E$11,R366,Comparateur!E$20-O367))</f>
        <v/>
      </c>
      <c r="Q367" s="18" t="str">
        <f>IF(O367="","",ROUND(IF(Comparateur!E$12=Paramètres!$B$36,Comparateur!E$9,R366)*Comparateur!E$13/12,2))</f>
        <v/>
      </c>
      <c r="R367" s="31" t="str">
        <f t="shared" si="51"/>
        <v/>
      </c>
      <c r="S367" s="18" t="str">
        <f t="shared" si="52"/>
        <v/>
      </c>
      <c r="T367" s="18" t="str">
        <f t="shared" si="53"/>
        <v/>
      </c>
    </row>
    <row r="369" spans="2:20" ht="36" customHeight="1" x14ac:dyDescent="0.35">
      <c r="B369" s="43" t="s">
        <v>219</v>
      </c>
      <c r="C369" s="39"/>
      <c r="D369" s="39"/>
      <c r="E369" s="39"/>
      <c r="F369" s="39"/>
      <c r="G369" s="39"/>
      <c r="H369" s="39"/>
      <c r="I369" s="39"/>
      <c r="J369" s="39"/>
      <c r="K369" s="39"/>
      <c r="L369" s="39"/>
      <c r="M369" s="39"/>
      <c r="N369" s="39"/>
      <c r="O369" s="39"/>
      <c r="P369" s="39"/>
      <c r="Q369" s="39"/>
      <c r="R369" s="39"/>
      <c r="S369" s="39"/>
      <c r="T369" s="39"/>
    </row>
  </sheetData>
  <sheetProtection sheet="1" formatColumns="0" formatRows="0"/>
  <mergeCells count="1">
    <mergeCell ref="B369:T36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49"/>
  <sheetViews>
    <sheetView showGridLines="0" workbookViewId="0">
      <selection activeCell="B1" sqref="B1"/>
    </sheetView>
  </sheetViews>
  <sheetFormatPr baseColWidth="10" defaultColWidth="8.7265625" defaultRowHeight="14.5" x14ac:dyDescent="0.35"/>
  <cols>
    <col min="1" max="1" width="2" customWidth="1"/>
    <col min="2" max="2" width="62" customWidth="1"/>
    <col min="3" max="3" width="20" customWidth="1"/>
    <col min="4" max="4" width="60" customWidth="1"/>
    <col min="5" max="5" width="28" customWidth="1"/>
    <col min="6" max="6" width="60" customWidth="1"/>
  </cols>
  <sheetData>
    <row r="1" spans="2:6" ht="20" customHeight="1" x14ac:dyDescent="0.35">
      <c r="B1" s="1" t="s">
        <v>0</v>
      </c>
      <c r="C1" s="1"/>
      <c r="D1" s="1"/>
      <c r="E1" s="1"/>
      <c r="F1" s="1"/>
    </row>
    <row r="2" spans="2:6" ht="26" customHeight="1" x14ac:dyDescent="0.35">
      <c r="B2" s="2" t="s">
        <v>38</v>
      </c>
    </row>
    <row r="3" spans="2:6" x14ac:dyDescent="0.35">
      <c r="B3" s="3" t="s">
        <v>379</v>
      </c>
    </row>
    <row r="5" spans="2:6" x14ac:dyDescent="0.35">
      <c r="B5" s="9" t="s">
        <v>221</v>
      </c>
    </row>
    <row r="6" spans="2:6" ht="18" customHeight="1" x14ac:dyDescent="0.35">
      <c r="B6" s="1" t="s">
        <v>380</v>
      </c>
      <c r="C6" s="1"/>
      <c r="D6" s="1"/>
      <c r="E6" s="1"/>
      <c r="F6" s="1"/>
    </row>
    <row r="7" spans="2:6" ht="30" customHeight="1" x14ac:dyDescent="0.35">
      <c r="B7" s="28" t="s">
        <v>149</v>
      </c>
      <c r="C7" s="28" t="s">
        <v>381</v>
      </c>
      <c r="D7" s="28" t="s">
        <v>382</v>
      </c>
      <c r="E7" s="28" t="s">
        <v>383</v>
      </c>
      <c r="F7" s="28" t="s">
        <v>384</v>
      </c>
    </row>
    <row r="8" spans="2:6" ht="43.5" customHeight="1" x14ac:dyDescent="0.35">
      <c r="B8" s="34" t="s">
        <v>385</v>
      </c>
      <c r="C8" s="12">
        <v>4.07E-2</v>
      </c>
      <c r="D8"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8" s="35" t="s">
        <v>386</v>
      </c>
      <c r="F8" s="35" t="s">
        <v>387</v>
      </c>
    </row>
    <row r="9" spans="2:6" ht="43.5" customHeight="1" x14ac:dyDescent="0.35">
      <c r="B9" s="34" t="s">
        <v>388</v>
      </c>
      <c r="C9" s="12">
        <v>4.5699999999999998E-2</v>
      </c>
      <c r="D9"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9" s="35" t="s">
        <v>389</v>
      </c>
      <c r="F9" s="35"/>
    </row>
    <row r="10" spans="2:6" ht="43.5" customHeight="1" x14ac:dyDescent="0.35">
      <c r="B10" s="34" t="s">
        <v>390</v>
      </c>
      <c r="C10" s="12">
        <v>5.2900000000000003E-2</v>
      </c>
      <c r="D10"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10" s="35" t="s">
        <v>389</v>
      </c>
      <c r="F10" s="35" t="s">
        <v>391</v>
      </c>
    </row>
    <row r="11" spans="2:6" ht="43.5" customHeight="1" x14ac:dyDescent="0.35">
      <c r="B11" s="34" t="s">
        <v>392</v>
      </c>
      <c r="C11" s="13">
        <v>120</v>
      </c>
      <c r="D11"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11" s="35" t="s">
        <v>393</v>
      </c>
      <c r="F11" s="35" t="s">
        <v>394</v>
      </c>
    </row>
    <row r="12" spans="2:6" ht="43.5" customHeight="1" x14ac:dyDescent="0.35">
      <c r="B12" s="34" t="s">
        <v>395</v>
      </c>
      <c r="C12" s="13">
        <v>240</v>
      </c>
      <c r="D12" s="35" t="str">
        <f>"Banque de France, taux d'usure applicables au "&amp;$C$41&amp;", avis publié le "&amp;TEXT(DAY($C$42),"00")&amp;"/"&amp;TEXT(MONTH($C$42),"00")&amp;"/"&amp;YEAR($C$42)&amp;". Vérifié le "&amp;TEXT(DAY($C$43),"00")&amp;"/"&amp;TEXT(MONTH($C$43),"00")&amp;"/"&amp;YEAR($C$43)&amp;"."</f>
        <v>Banque de France, taux d'usure applicables au 3e trimestre 2026, avis publié le 29/06/2026. Vérifié le 05/09/2026.</v>
      </c>
      <c r="E12" s="35" t="s">
        <v>393</v>
      </c>
      <c r="F12" s="35" t="s">
        <v>396</v>
      </c>
    </row>
    <row r="13" spans="2:6" ht="57" customHeight="1" x14ac:dyDescent="0.35">
      <c r="B13" s="34" t="s">
        <v>397</v>
      </c>
      <c r="C13" s="12">
        <v>0.35</v>
      </c>
      <c r="D13" s="35" t="str">
        <f>"HCSF, décision D-HCSF-2021-7 du 29/09/2021, contraignante depuis le 01/01/2022, confirmée par la décision D-HCSF-2023-2 du 29/06/2023 ; economie.gouv.fr. Vérifié le "&amp;TEXT(DAY($C$43),"00")&amp;"/"&amp;TEXT(MONTH($C$43),"00")&amp;"/"&amp;YEAR($C$43)&amp;"."</f>
        <v>HCSF, décision D-HCSF-2021-7 du 29/09/2021, contraignante depuis le 01/01/2022, confirmée par la décision D-HCSF-2023-2 du 29/06/2023 ; economie.gouv.fr. Vérifié le 05/09/2026.</v>
      </c>
      <c r="E13" s="35" t="s">
        <v>398</v>
      </c>
      <c r="F13" s="35" t="s">
        <v>399</v>
      </c>
    </row>
    <row r="14" spans="2:6" ht="57" customHeight="1" x14ac:dyDescent="0.35">
      <c r="B14" s="34" t="s">
        <v>400</v>
      </c>
      <c r="C14" s="13">
        <v>300</v>
      </c>
      <c r="D14" s="35" t="str">
        <f>"HCSF, décision D-HCSF-2021-7 du 29/09/2021, contraignante depuis le 01/01/2022, confirmée par la décision D-HCSF-2023-2 du 29/06/2023 ; economie.gouv.fr. Vérifié le "&amp;TEXT(DAY($C$43),"00")&amp;"/"&amp;TEXT(MONTH($C$43),"00")&amp;"/"&amp;YEAR($C$43)&amp;"."</f>
        <v>HCSF, décision D-HCSF-2021-7 du 29/09/2021, contraignante depuis le 01/01/2022, confirmée par la décision D-HCSF-2023-2 du 29/06/2023 ; economie.gouv.fr. Vérifié le 05/09/2026.</v>
      </c>
      <c r="E14" s="35" t="s">
        <v>398</v>
      </c>
      <c r="F14" s="35" t="s">
        <v>401</v>
      </c>
    </row>
    <row r="15" spans="2:6" ht="57" customHeight="1" x14ac:dyDescent="0.35">
      <c r="B15" s="34" t="s">
        <v>402</v>
      </c>
      <c r="C15" s="13">
        <v>24</v>
      </c>
      <c r="D15" s="35" t="str">
        <f>"HCSF, décision D-HCSF-2021-7 du 29/09/2021, contraignante depuis le 01/01/2022, confirmée par la décision D-HCSF-2023-2 du 29/06/2023 ; economie.gouv.fr. Vérifié le "&amp;TEXT(DAY($C$43),"00")&amp;"/"&amp;TEXT(MONTH($C$43),"00")&amp;"/"&amp;YEAR($C$43)&amp;"."</f>
        <v>HCSF, décision D-HCSF-2021-7 du 29/09/2021, contraignante depuis le 01/01/2022, confirmée par la décision D-HCSF-2023-2 du 29/06/2023 ; economie.gouv.fr. Vérifié le 05/09/2026.</v>
      </c>
      <c r="E15" s="35" t="s">
        <v>398</v>
      </c>
      <c r="F15" s="35" t="s">
        <v>403</v>
      </c>
    </row>
    <row r="16" spans="2:6" ht="30" customHeight="1" x14ac:dyDescent="0.35">
      <c r="B16" s="34" t="s">
        <v>404</v>
      </c>
      <c r="C16" s="13">
        <v>6</v>
      </c>
      <c r="D16" s="35" t="str">
        <f>"Code de la consommation, art. L313-47 et R313-25. Vérifié le "&amp;TEXT(DAY($C$43),"00")&amp;"/"&amp;TEXT(MONTH($C$43),"00")&amp;"/"&amp;YEAR($C$43)&amp;"."</f>
        <v>Code de la consommation, art. L313-47 et R313-25. Vérifié le 05/09/2026.</v>
      </c>
      <c r="E16" s="35" t="s">
        <v>393</v>
      </c>
      <c r="F16" s="35" t="s">
        <v>405</v>
      </c>
    </row>
    <row r="17" spans="2:6" ht="30" customHeight="1" x14ac:dyDescent="0.35">
      <c r="B17" s="34" t="s">
        <v>406</v>
      </c>
      <c r="C17" s="12">
        <v>0.03</v>
      </c>
      <c r="D17" s="35" t="str">
        <f>"Code de la consommation, art. L313-47 et R313-25. Vérifié le "&amp;TEXT(DAY($C$43),"00")&amp;"/"&amp;TEXT(MONTH($C$43),"00")&amp;"/"&amp;YEAR($C$43)&amp;"."</f>
        <v>Code de la consommation, art. L313-47 et R313-25. Vérifié le 05/09/2026.</v>
      </c>
      <c r="E17" s="35" t="s">
        <v>393</v>
      </c>
      <c r="F17" s="35" t="s">
        <v>407</v>
      </c>
    </row>
    <row r="19" spans="2:6" ht="18" customHeight="1" x14ac:dyDescent="0.35">
      <c r="B19" s="1" t="s">
        <v>408</v>
      </c>
      <c r="C19" s="1"/>
      <c r="D19" s="1"/>
      <c r="E19" s="1"/>
      <c r="F19" s="1"/>
    </row>
    <row r="20" spans="2:6" ht="30" customHeight="1" x14ac:dyDescent="0.35">
      <c r="B20" s="28" t="s">
        <v>149</v>
      </c>
      <c r="C20" s="28" t="s">
        <v>381</v>
      </c>
      <c r="D20" s="28" t="s">
        <v>382</v>
      </c>
      <c r="E20" s="28" t="s">
        <v>383</v>
      </c>
      <c r="F20" s="28" t="s">
        <v>384</v>
      </c>
    </row>
    <row r="21" spans="2:6" ht="43.5" customHeight="1" x14ac:dyDescent="0.35">
      <c r="B21" s="34" t="s">
        <v>409</v>
      </c>
      <c r="C21" s="12">
        <v>0.7</v>
      </c>
      <c r="D21" s="35" t="str">
        <f>"Crédit Logement, page tarif officielle (creditlogement.fr) : restitution « d'environ 70 % », révisée chaque trimestre. Vérifié le "&amp;TEXT(DAY($C$43),"00")&amp;"/"&amp;TEXT(MONTH($C$43),"00")&amp;"/"&amp;YEAR($C$43)&amp;"."</f>
        <v>Crédit Logement, page tarif officielle (creditlogement.fr) : restitution « d'environ 70 % », révisée chaque trimestre. Vérifié le 05/09/2026.</v>
      </c>
      <c r="E21" s="35" t="s">
        <v>389</v>
      </c>
      <c r="F21" s="35" t="s">
        <v>410</v>
      </c>
    </row>
    <row r="22" spans="2:6" ht="57" customHeight="1" x14ac:dyDescent="0.35">
      <c r="B22" s="34" t="s">
        <v>411</v>
      </c>
      <c r="C22" s="12">
        <v>1E-3</v>
      </c>
      <c r="D22" s="35" t="s">
        <v>412</v>
      </c>
      <c r="E22" s="35" t="s">
        <v>393</v>
      </c>
      <c r="F22" s="35" t="s">
        <v>413</v>
      </c>
    </row>
    <row r="23" spans="2:6" ht="57" customHeight="1" x14ac:dyDescent="0.35">
      <c r="B23" s="34" t="s">
        <v>414</v>
      </c>
      <c r="C23" s="12">
        <v>0.2</v>
      </c>
      <c r="D23" s="35" t="s">
        <v>415</v>
      </c>
      <c r="E23" s="35" t="s">
        <v>393</v>
      </c>
      <c r="F23" s="35"/>
    </row>
    <row r="24" spans="2:6" ht="57" customHeight="1" x14ac:dyDescent="0.35">
      <c r="B24" s="34" t="s">
        <v>416</v>
      </c>
      <c r="C24" s="12">
        <v>0.05</v>
      </c>
      <c r="D24" s="35" t="s">
        <v>417</v>
      </c>
      <c r="E24" s="35" t="s">
        <v>393</v>
      </c>
      <c r="F24" s="35"/>
    </row>
    <row r="25" spans="2:6" ht="84" customHeight="1" x14ac:dyDescent="0.35">
      <c r="B25" s="34" t="s">
        <v>418</v>
      </c>
      <c r="C25" s="12">
        <v>3.27E-2</v>
      </c>
      <c r="D25" s="35" t="str">
        <f>"Observatoire Crédit Logement / CSA, analyse du marché du mois d'août 2026 (publiée en septembre 2026) : 3,27 % sur 20 ans, taux moyen toutes durées 3,31 %, en hausse de 3 centièmes de point en juillet"&amp;" comme en août. lobservatoire.creditlogement.fr. Vérifié le "&amp;TEXT(DAY($C$43),"00")&amp;"/"&amp;TEXT(MONTH($C$43),"00")&amp;"/"&amp;YEAR($C$43)&amp;"."</f>
        <v>Observatoire Crédit Logement / CSA, analyse du marché du mois d'août 2026 (publiée en septembre 2026) : 3,27 % sur 20 ans, taux moyen toutes durées 3,31 %, en hausse de 3 centièmes de point en juillet comme en août. lobservatoire.creditlogement.fr. Vérifié le 05/09/2026.</v>
      </c>
      <c r="E25" s="35" t="s">
        <v>419</v>
      </c>
      <c r="F25" s="35" t="s">
        <v>420</v>
      </c>
    </row>
    <row r="26" spans="2:6" ht="84" customHeight="1" x14ac:dyDescent="0.35">
      <c r="B26" s="34" t="s">
        <v>421</v>
      </c>
      <c r="C26" s="12">
        <v>3.3500000000000002E-2</v>
      </c>
      <c r="D26" s="35" t="str">
        <f>"Observatoire Crédit Logement / CSA, analyse du marché du mois d'août 2026 (publiée en septembre 2026) : 3,35 % sur 25 ans, 3,14 % sur 15 ans, en hausse de 15 centièmes de point depuis décembre 2025. l"&amp;"observatoire.creditlogement.fr. Vérifié le "&amp;TEXT(DAY($C$43),"00")&amp;"/"&amp;TEXT(MONTH($C$43),"00")&amp;"/"&amp;YEAR($C$43)&amp;"."</f>
        <v>Observatoire Crédit Logement / CSA, analyse du marché du mois d'août 2026 (publiée en septembre 2026) : 3,35 % sur 25 ans, 3,14 % sur 15 ans, en hausse de 15 centièmes de point depuis décembre 2025. lobservatoire.creditlogement.fr. Vérifié le 05/09/2026.</v>
      </c>
      <c r="E26" s="35" t="s">
        <v>419</v>
      </c>
      <c r="F26" s="35"/>
    </row>
    <row r="27" spans="2:6" ht="43.5" customHeight="1" x14ac:dyDescent="0.35">
      <c r="B27" s="34" t="s">
        <v>422</v>
      </c>
      <c r="C27" s="12">
        <v>3.5999999999999999E-3</v>
      </c>
      <c r="D27" s="35" t="str">
        <f>"Baromètres 2026 (pretclair.fr, covelia.fr) : 0,30 à 0,42 % selon l'âge et la quotité. Vérifié le "&amp;TEXT(DAY($C$43),"00")&amp;"/"&amp;TEXT(MONTH($C$43),"00")&amp;"/"&amp;YEAR($C$43)&amp;"."</f>
        <v>Baromètres 2026 (pretclair.fr, covelia.fr) : 0,30 à 0,42 % selon l'âge et la quotité. Vérifié le 05/09/2026.</v>
      </c>
      <c r="E27" s="35" t="s">
        <v>423</v>
      </c>
      <c r="F27" s="35"/>
    </row>
    <row r="28" spans="2:6" ht="57" customHeight="1" x14ac:dyDescent="0.35">
      <c r="B28" s="34" t="s">
        <v>424</v>
      </c>
      <c r="C28" s="12">
        <v>1.6999999999999999E-3</v>
      </c>
      <c r="D28" s="35" t="str">
        <f>"Baromètres 2026 (pretclair.fr, covelia.fr) : 0,10 à 0,20 %, 35 ans non fumeur. Loi n° 2022-270 du 28 février 2022 (Lemoine) : résiliation à tout moment. Vérifié le "&amp;TEXT(DAY($C$43),"00")&amp;"/"&amp;TEXT(MONTH($C$43),"00")&amp;"/"&amp;YEAR($C$43)&amp;"."</f>
        <v>Baromètres 2026 (pretclair.fr, covelia.fr) : 0,10 à 0,20 %, 35 ans non fumeur. Loi n° 2022-270 du 28 février 2022 (Lemoine) : résiliation à tout moment. Vérifié le 05/09/2026.</v>
      </c>
      <c r="E28" s="35" t="s">
        <v>423</v>
      </c>
      <c r="F28" s="35" t="s">
        <v>425</v>
      </c>
    </row>
    <row r="29" spans="2:6" ht="70.5" customHeight="1" x14ac:dyDescent="0.35">
      <c r="B29" s="34" t="s">
        <v>426</v>
      </c>
      <c r="C29" s="11">
        <v>0</v>
      </c>
      <c r="D29" s="35" t="str">
        <f>"Meilleurtaux, relevé de 119 banques au 01/03/2026 : moyenne 1 899,68 € pour 200 000 € empruntés, 92 établissements entre 0,50 % et 1,40 % du capital, de 0 € à 2 500 € selon les banques. Vérifié le "&amp;TEXT(DAY($C$43),"00")&amp;"/"&amp;TEXT(MONTH($C$43),"00")&amp;"/"&amp;YEAR($C$43)&amp;"."</f>
        <v>Meilleurtaux, relevé de 119 banques au 01/03/2026 : moyenne 1 899,68 € pour 200 000 € empruntés, 92 établissements entre 0,50 % et 1,40 % du capital, de 0 € à 2 500 € selon les banques. Vérifié le 05/09/2026.</v>
      </c>
      <c r="E29" s="35" t="s">
        <v>423</v>
      </c>
      <c r="F29" s="35" t="s">
        <v>427</v>
      </c>
    </row>
    <row r="30" spans="2:6" ht="70.5" customHeight="1" x14ac:dyDescent="0.35">
      <c r="B30" s="34" t="s">
        <v>428</v>
      </c>
      <c r="C30" s="11">
        <v>2500</v>
      </c>
      <c r="D30" s="35" t="str">
        <f>"Meilleurtaux, relevé de 119 banques au 01/03/2026 : moyenne 1 899,68 € pour 200 000 € empruntés, 92 établissements entre 0,50 % et 1,40 % du capital, de 0 € à 2 500 € selon les banques. Vérifié le "&amp;TEXT(DAY($C$43),"00")&amp;"/"&amp;TEXT(MONTH($C$43),"00")&amp;"/"&amp;YEAR($C$43)&amp;"."</f>
        <v>Meilleurtaux, relevé de 119 banques au 01/03/2026 : moyenne 1 899,68 € pour 200 000 € empruntés, 92 établissements entre 0,50 % et 1,40 % du capital, de 0 € à 2 500 € selon les banques. Vérifié le 05/09/2026.</v>
      </c>
      <c r="E30" s="35" t="s">
        <v>423</v>
      </c>
      <c r="F30" s="35" t="s">
        <v>429</v>
      </c>
    </row>
    <row r="31" spans="2:6" ht="70.5" customHeight="1" x14ac:dyDescent="0.35">
      <c r="B31" s="34" t="s">
        <v>430</v>
      </c>
      <c r="C31" s="12">
        <v>1.2E-2</v>
      </c>
      <c r="D31" s="35" t="str">
        <f>"Convention prudente du classeur : Crédit Logement ne publie pas son barème et les relevés de place vont de 0,85 % + 200 € (optimhome.com, 2026) à 1,5 à 1,75 % du capital (perlib.fr, 2026). Vérifié le "&amp;TEXT(DAY($C$43),"00")&amp;"/"&amp;TEXT(MONTH($C$43),"00")&amp;"/"&amp;YEAR($C$43)&amp;"."</f>
        <v>Convention prudente du classeur : Crédit Logement ne publie pas son barème et les relevés de place vont de 0,85 % + 200 € (optimhome.com, 2026) à 1,5 à 1,75 % du capital (perlib.fr, 2026). Vérifié le 05/09/2026.</v>
      </c>
      <c r="E31" s="35" t="s">
        <v>431</v>
      </c>
      <c r="F31" s="35" t="s">
        <v>432</v>
      </c>
    </row>
    <row r="32" spans="2:6" ht="97.5" customHeight="1" x14ac:dyDescent="0.35">
      <c r="B32" s="34" t="s">
        <v>433</v>
      </c>
      <c r="C32" s="12">
        <v>1.4999999999999999E-2</v>
      </c>
      <c r="D32" s="35" t="str">
        <f>"PrêtClair, « Garantie de prêt immobilier 2026 : caution, hypothèque ou PPD », page du 6 mai 2026 : environ 2 900 € pour 200 000 € empruntés et 4 100 € pour 300 000 €, soit 1,4 à 1,5 % du capital (émol"&amp;"uments du notaire, taxe de publicité foncière, contribution de sécurité immobilière, formalités). Vérifié le "&amp;TEXT(DAY($C$43),"00")&amp;"/"&amp;TEXT(MONTH($C$43),"00")&amp;"/"&amp;YEAR($C$43)&amp;"."</f>
        <v>PrêtClair, « Garantie de prêt immobilier 2026 : caution, hypothèque ou PPD », page du 6 mai 2026 : environ 2 900 € pour 200 000 € empruntés et 4 100 € pour 300 000 €, soit 1,4 à 1,5 % du capital (émoluments du notaire, taxe de publicité foncière, contribution de sécurité immobilière, formalités). Vérifié le 05/09/2026.</v>
      </c>
      <c r="E32" s="35" t="s">
        <v>423</v>
      </c>
      <c r="F32" s="35" t="s">
        <v>434</v>
      </c>
    </row>
    <row r="34" spans="2:6" ht="18" customHeight="1" x14ac:dyDescent="0.35">
      <c r="B34" s="1" t="s">
        <v>435</v>
      </c>
      <c r="C34" s="1"/>
      <c r="D34" s="1"/>
      <c r="E34" s="1"/>
      <c r="F34" s="1"/>
    </row>
    <row r="35" spans="2:6" x14ac:dyDescent="0.35">
      <c r="B35" s="1" t="s">
        <v>436</v>
      </c>
    </row>
    <row r="36" spans="2:6" x14ac:dyDescent="0.35">
      <c r="B36" s="10" t="s">
        <v>234</v>
      </c>
      <c r="D36" s="9" t="s">
        <v>437</v>
      </c>
    </row>
    <row r="37" spans="2:6" x14ac:dyDescent="0.35">
      <c r="B37" s="10" t="s">
        <v>309</v>
      </c>
      <c r="D37" s="9" t="s">
        <v>438</v>
      </c>
    </row>
    <row r="38" spans="2:6" x14ac:dyDescent="0.35">
      <c r="B38" s="9" t="s">
        <v>439</v>
      </c>
    </row>
    <row r="40" spans="2:6" ht="18" customHeight="1" x14ac:dyDescent="0.35">
      <c r="B40" s="1" t="s">
        <v>440</v>
      </c>
      <c r="C40" s="1"/>
      <c r="D40" s="1"/>
      <c r="E40" s="1"/>
      <c r="F40" s="1"/>
    </row>
    <row r="41" spans="2:6" ht="30" customHeight="1" x14ac:dyDescent="0.35">
      <c r="B41" s="8" t="s">
        <v>441</v>
      </c>
      <c r="C41" s="15" t="s">
        <v>442</v>
      </c>
      <c r="D41" s="35" t="s">
        <v>443</v>
      </c>
      <c r="E41" s="35" t="s">
        <v>389</v>
      </c>
      <c r="F41" s="35" t="s">
        <v>444</v>
      </c>
    </row>
    <row r="42" spans="2:6" ht="30" customHeight="1" x14ac:dyDescent="0.35">
      <c r="B42" s="8" t="s">
        <v>445</v>
      </c>
      <c r="C42" s="14">
        <v>46202</v>
      </c>
      <c r="D42" s="35" t="s">
        <v>446</v>
      </c>
      <c r="E42" s="35" t="s">
        <v>389</v>
      </c>
      <c r="F42" s="35" t="s">
        <v>447</v>
      </c>
    </row>
    <row r="43" spans="2:6" ht="30" customHeight="1" x14ac:dyDescent="0.35">
      <c r="B43" s="8" t="s">
        <v>448</v>
      </c>
      <c r="C43" s="14">
        <v>46270</v>
      </c>
      <c r="D43" s="35" t="s">
        <v>449</v>
      </c>
      <c r="E43" s="35" t="s">
        <v>450</v>
      </c>
      <c r="F43" s="35" t="s">
        <v>451</v>
      </c>
    </row>
    <row r="45" spans="2:6" x14ac:dyDescent="0.35">
      <c r="B45" s="9" t="s">
        <v>452</v>
      </c>
    </row>
    <row r="46" spans="2:6" x14ac:dyDescent="0.35">
      <c r="B46" s="9" t="s">
        <v>453</v>
      </c>
    </row>
    <row r="49" spans="2:6" ht="36" customHeight="1" x14ac:dyDescent="0.35">
      <c r="B49" s="43" t="s">
        <v>219</v>
      </c>
      <c r="C49" s="39"/>
      <c r="D49" s="39"/>
      <c r="E49" s="39"/>
      <c r="F49" s="39"/>
    </row>
  </sheetData>
  <sheetProtection sheet="1" formatColumns="0" formatRows="0"/>
  <mergeCells count="1">
    <mergeCell ref="B49:F4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A6B8C"/>
  </sheetPr>
  <dimension ref="B1:C57"/>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8" customWidth="1"/>
  </cols>
  <sheetData>
    <row r="1" spans="2:3" ht="20" customHeight="1" x14ac:dyDescent="0.35">
      <c r="B1" s="1" t="s">
        <v>0</v>
      </c>
      <c r="C1" s="1"/>
    </row>
    <row r="2" spans="2:3" ht="26" customHeight="1" x14ac:dyDescent="0.35">
      <c r="B2" s="2" t="s">
        <v>454</v>
      </c>
    </row>
    <row r="3" spans="2:3" x14ac:dyDescent="0.35">
      <c r="B3" s="3" t="s">
        <v>455</v>
      </c>
    </row>
    <row r="5" spans="2:3" ht="18" customHeight="1" x14ac:dyDescent="0.35">
      <c r="B5" s="1" t="s">
        <v>456</v>
      </c>
      <c r="C5" s="1"/>
    </row>
    <row r="6" spans="2:3" ht="70.5" customHeight="1" x14ac:dyDescent="0.35">
      <c r="B6" s="8" t="s">
        <v>457</v>
      </c>
      <c r="C6" s="4" t="s">
        <v>458</v>
      </c>
    </row>
    <row r="7" spans="2:3" ht="57" customHeight="1" x14ac:dyDescent="0.35">
      <c r="B7" s="8" t="s">
        <v>459</v>
      </c>
      <c r="C7" s="4" t="s">
        <v>460</v>
      </c>
    </row>
    <row r="8" spans="2:3" ht="43.5" customHeight="1" x14ac:dyDescent="0.35">
      <c r="B8" s="8" t="s">
        <v>461</v>
      </c>
      <c r="C8" s="4" t="s">
        <v>462</v>
      </c>
    </row>
    <row r="9" spans="2:3" ht="30" customHeight="1" x14ac:dyDescent="0.35">
      <c r="B9" s="8" t="s">
        <v>463</v>
      </c>
      <c r="C9" s="4" t="s">
        <v>464</v>
      </c>
    </row>
    <row r="10" spans="2:3" ht="43.5" customHeight="1" x14ac:dyDescent="0.35">
      <c r="B10" s="8" t="s">
        <v>306</v>
      </c>
      <c r="C10" s="4" t="s">
        <v>465</v>
      </c>
    </row>
    <row r="11" spans="2:3" ht="43.5" customHeight="1" x14ac:dyDescent="0.35">
      <c r="B11" s="8" t="s">
        <v>130</v>
      </c>
      <c r="C11" s="4" t="s">
        <v>466</v>
      </c>
    </row>
    <row r="12" spans="2:3" ht="70.5" customHeight="1" x14ac:dyDescent="0.35">
      <c r="B12" s="8" t="s">
        <v>467</v>
      </c>
      <c r="C12" s="4" t="s">
        <v>468</v>
      </c>
    </row>
    <row r="13" spans="2:3" ht="97.5" customHeight="1" x14ac:dyDescent="0.35">
      <c r="B13" s="8" t="s">
        <v>469</v>
      </c>
      <c r="C13" s="4" t="s">
        <v>470</v>
      </c>
    </row>
    <row r="14" spans="2:3" ht="57" customHeight="1" x14ac:dyDescent="0.35">
      <c r="B14" s="8" t="s">
        <v>471</v>
      </c>
      <c r="C14" s="4" t="str">
        <f>"Le TAEG ne peut pas dépasser le taux d'usure du trimestre, fixé par la Banque de France par tranche de durée (moins de 10 ans, 10 à moins de 20 ans, 20 ans et plus). Le classeur choisit la tranche sel"&amp;"on la durée du prêt et compare. Les valeurs de Paramètres sont celles du "&amp;Paramètres!$C$41&amp;", avis publié le "&amp;TEXT(DAY(Paramètres!$C$42),"00")&amp;"/"&amp;TEXT(MONTH(Paramètres!$C$42),"00")&amp;"/"&amp;YEAR(Paramètres!$C$42)&amp;" : à rafraîchir chaque trimestre, en corrigeant aussi le trimestre et la date de l'avis dans Paramètres, deux cellules bleues dont dépendent tous les libellés de source."</f>
        <v>Le TAEG ne peut pas dépasser le taux d'usure du trimestre, fixé par la Banque de France par tranche de durée (moins de 10 ans, 10 à moins de 20 ans, 20 ans et plus). Le classeur choisit la tranche selon la durée du prêt et compare. Les valeurs de Paramètres sont celles du 3e trimestre 2026, avis publié le 29/06/2026 : à rafraîchir chaque trimestre, en corrigeant aussi le trimestre et la date de l'avis dans Paramètres, deux cellules bleues dont dépendent tous les libellés de source.</v>
      </c>
    </row>
    <row r="15" spans="2:3" ht="57" customHeight="1" x14ac:dyDescent="0.35">
      <c r="B15" s="8" t="s">
        <v>472</v>
      </c>
      <c r="C15" s="4" t="s">
        <v>473</v>
      </c>
    </row>
    <row r="16" spans="2:3" ht="57" customHeight="1" x14ac:dyDescent="0.35">
      <c r="B16" s="8" t="s">
        <v>474</v>
      </c>
      <c r="C16" s="4" t="s">
        <v>475</v>
      </c>
    </row>
    <row r="17" spans="2:3" ht="57" customHeight="1" x14ac:dyDescent="0.35">
      <c r="B17" s="8" t="s">
        <v>33</v>
      </c>
      <c r="C17" s="4" t="s">
        <v>476</v>
      </c>
    </row>
    <row r="18" spans="2:3" ht="43.5" customHeight="1" x14ac:dyDescent="0.35">
      <c r="B18" s="8" t="s">
        <v>477</v>
      </c>
      <c r="C18" s="4" t="s">
        <v>478</v>
      </c>
    </row>
    <row r="20" spans="2:3" ht="18" customHeight="1" x14ac:dyDescent="0.35">
      <c r="B20" s="1" t="s">
        <v>479</v>
      </c>
      <c r="C20" s="1"/>
    </row>
    <row r="21" spans="2:3" ht="16.5" customHeight="1" x14ac:dyDescent="0.35">
      <c r="B21" s="38" t="s">
        <v>480</v>
      </c>
      <c r="C21" s="39"/>
    </row>
    <row r="22" spans="2:3" ht="16.5" customHeight="1" x14ac:dyDescent="0.35">
      <c r="B22" s="38" t="s">
        <v>481</v>
      </c>
      <c r="C22" s="39"/>
    </row>
    <row r="23" spans="2:3" ht="16.5" customHeight="1" x14ac:dyDescent="0.35">
      <c r="B23" s="38" t="s">
        <v>482</v>
      </c>
      <c r="C23" s="39"/>
    </row>
    <row r="24" spans="2:3" ht="16.5" customHeight="1" x14ac:dyDescent="0.35">
      <c r="B24" s="38" t="s">
        <v>483</v>
      </c>
      <c r="C24" s="39"/>
    </row>
    <row r="25" spans="2:3" ht="16.5" customHeight="1" x14ac:dyDescent="0.35">
      <c r="B25" s="38" t="s">
        <v>484</v>
      </c>
      <c r="C25" s="39"/>
    </row>
    <row r="26" spans="2:3" ht="16.5" customHeight="1" x14ac:dyDescent="0.35">
      <c r="B26" s="38" t="s">
        <v>485</v>
      </c>
      <c r="C26" s="39"/>
    </row>
    <row r="27" spans="2:3" ht="16.5" customHeight="1" x14ac:dyDescent="0.35">
      <c r="B27" s="38" t="s">
        <v>486</v>
      </c>
      <c r="C27" s="39"/>
    </row>
    <row r="29" spans="2:3" ht="18" customHeight="1" x14ac:dyDescent="0.35">
      <c r="B29" s="1" t="s">
        <v>487</v>
      </c>
      <c r="C29" s="1"/>
    </row>
    <row r="30" spans="2:3" ht="16.5" customHeight="1" x14ac:dyDescent="0.35">
      <c r="B30" s="8" t="s">
        <v>385</v>
      </c>
      <c r="C30"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1" spans="2:3" ht="16.5" customHeight="1" x14ac:dyDescent="0.35">
      <c r="B31" s="8" t="s">
        <v>388</v>
      </c>
      <c r="C31"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2" spans="2:3" ht="16.5" customHeight="1" x14ac:dyDescent="0.35">
      <c r="B32" s="8" t="s">
        <v>390</v>
      </c>
      <c r="C32"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3" spans="2:3" ht="16.5" customHeight="1" x14ac:dyDescent="0.35">
      <c r="B33" s="8" t="s">
        <v>392</v>
      </c>
      <c r="C33"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4" spans="2:3" ht="16.5" customHeight="1" x14ac:dyDescent="0.35">
      <c r="B34" s="8" t="s">
        <v>395</v>
      </c>
      <c r="C34" s="35" t="str">
        <f>"Banque de France, taux d'usure applicables au "&amp;Paramètres!$C$41&amp;", avis publié le "&amp;TEXT(DAY(Paramètres!$C$42),"00")&amp;"/"&amp;TEXT(MONTH(Paramètres!$C$42),"00")&amp;"/"&amp;YEAR(Paramètres!$C$42)&amp;". Vérifié le "&amp;TEXT(DAY(Paramètres!$C$43),"00")&amp;"/"&amp;TEXT(MONTH(Paramètres!$C$43),"00")&amp;"/"&amp;YEAR(Paramètres!$C$43)&amp;"."</f>
        <v>Banque de France, taux d'usure applicables au 3e trimestre 2026, avis publié le 29/06/2026. Vérifié le 05/09/2026.</v>
      </c>
    </row>
    <row r="35" spans="2:3" ht="30" customHeight="1" x14ac:dyDescent="0.35">
      <c r="B35" s="8" t="s">
        <v>397</v>
      </c>
      <c r="C35" s="35" t="str">
        <f>"HCSF, décision D-HCSF-2021-7 du 29/09/2021, contraignante depuis le 01/01/2022, confirmée par la décision D-HCSF-2023-2 du 29/06/2023 ; economie.gouv.fr. Vérifié le "&amp;TEXT(DAY(Paramètres!$C$43),"00")&amp;"/"&amp;TEXT(MONTH(Paramètres!$C$43),"00")&amp;"/"&amp;YEAR(Paramètres!$C$43)&amp;"."</f>
        <v>HCSF, décision D-HCSF-2021-7 du 29/09/2021, contraignante depuis le 01/01/2022, confirmée par la décision D-HCSF-2023-2 du 29/06/2023 ; economie.gouv.fr. Vérifié le 05/09/2026.</v>
      </c>
    </row>
    <row r="36" spans="2:3" ht="30" customHeight="1" x14ac:dyDescent="0.35">
      <c r="B36" s="8" t="s">
        <v>400</v>
      </c>
      <c r="C36" s="35" t="str">
        <f>"HCSF, décision D-HCSF-2021-7 du 29/09/2021, contraignante depuis le 01/01/2022, confirmée par la décision D-HCSF-2023-2 du 29/06/2023 ; economie.gouv.fr. Vérifié le "&amp;TEXT(DAY(Paramètres!$C$43),"00")&amp;"/"&amp;TEXT(MONTH(Paramètres!$C$43),"00")&amp;"/"&amp;YEAR(Paramètres!$C$43)&amp;"."</f>
        <v>HCSF, décision D-HCSF-2021-7 du 29/09/2021, contraignante depuis le 01/01/2022, confirmée par la décision D-HCSF-2023-2 du 29/06/2023 ; economie.gouv.fr. Vérifié le 05/09/2026.</v>
      </c>
    </row>
    <row r="37" spans="2:3" ht="30" customHeight="1" x14ac:dyDescent="0.35">
      <c r="B37" s="8" t="s">
        <v>402</v>
      </c>
      <c r="C37" s="35" t="str">
        <f>"HCSF, décision D-HCSF-2021-7 du 29/09/2021, contraignante depuis le 01/01/2022, confirmée par la décision D-HCSF-2023-2 du 29/06/2023 ; economie.gouv.fr. Vérifié le "&amp;TEXT(DAY(Paramètres!$C$43),"00")&amp;"/"&amp;TEXT(MONTH(Paramètres!$C$43),"00")&amp;"/"&amp;YEAR(Paramètres!$C$43)&amp;"."</f>
        <v>HCSF, décision D-HCSF-2021-7 du 29/09/2021, contraignante depuis le 01/01/2022, confirmée par la décision D-HCSF-2023-2 du 29/06/2023 ; economie.gouv.fr. Vérifié le 05/09/2026.</v>
      </c>
    </row>
    <row r="38" spans="2:3" ht="16.5" customHeight="1" x14ac:dyDescent="0.35">
      <c r="B38" s="8" t="s">
        <v>404</v>
      </c>
      <c r="C38" s="35" t="str">
        <f>"Code de la consommation, art. L313-47 et R313-25. Vérifié le "&amp;TEXT(DAY(Paramètres!$C$43),"00")&amp;"/"&amp;TEXT(MONTH(Paramètres!$C$43),"00")&amp;"/"&amp;YEAR(Paramètres!$C$43)&amp;"."</f>
        <v>Code de la consommation, art. L313-47 et R313-25. Vérifié le 05/09/2026.</v>
      </c>
    </row>
    <row r="39" spans="2:3" ht="16.5" customHeight="1" x14ac:dyDescent="0.35">
      <c r="B39" s="8" t="s">
        <v>406</v>
      </c>
      <c r="C39" s="35" t="str">
        <f>"Code de la consommation, art. L313-47 et R313-25. Vérifié le "&amp;TEXT(DAY(Paramètres!$C$43),"00")&amp;"/"&amp;TEXT(MONTH(Paramètres!$C$43),"00")&amp;"/"&amp;YEAR(Paramètres!$C$43)&amp;"."</f>
        <v>Code de la consommation, art. L313-47 et R313-25. Vérifié le 05/09/2026.</v>
      </c>
    </row>
    <row r="40" spans="2:3" ht="30" customHeight="1" x14ac:dyDescent="0.35">
      <c r="B40" s="8" t="s">
        <v>409</v>
      </c>
      <c r="C40" s="35" t="str">
        <f>"Crédit Logement, page tarif officielle (creditlogement.fr) : restitution « d'environ 70 % », révisée chaque trimestre. Vérifié le "&amp;TEXT(DAY(Paramètres!$C$43),"00")&amp;"/"&amp;TEXT(MONTH(Paramètres!$C$43),"00")&amp;"/"&amp;YEAR(Paramètres!$C$43)&amp;"."</f>
        <v>Crédit Logement, page tarif officielle (creditlogement.fr) : restitution « d'environ 70 % », révisée chaque trimestre. Vérifié le 05/09/2026.</v>
      </c>
    </row>
    <row r="41" spans="2:3" ht="30" customHeight="1" x14ac:dyDescent="0.35">
      <c r="B41" s="8" t="s">
        <v>411</v>
      </c>
      <c r="C41" s="35" t="s">
        <v>412</v>
      </c>
    </row>
    <row r="42" spans="2:3" ht="30" customHeight="1" x14ac:dyDescent="0.35">
      <c r="B42" s="8" t="s">
        <v>414</v>
      </c>
      <c r="C42" s="35" t="s">
        <v>415</v>
      </c>
    </row>
    <row r="43" spans="2:3" ht="30" customHeight="1" x14ac:dyDescent="0.35">
      <c r="B43" s="8" t="s">
        <v>416</v>
      </c>
      <c r="C43" s="35" t="s">
        <v>417</v>
      </c>
    </row>
    <row r="44" spans="2:3" ht="43.5" customHeight="1" x14ac:dyDescent="0.35">
      <c r="B44" s="8" t="s">
        <v>418</v>
      </c>
      <c r="C44" s="35" t="str">
        <f>"Observatoire Crédit Logement / CSA, analyse du marché du mois d'août 2026 (publiée en septembre 2026) : 3,27 % sur 20 ans, taux moyen toutes durées 3,31 %, en hausse de 3 centièmes de point en juillet"&amp;" comme en août. lobservatoire.creditlogement.fr. Vérifié le "&amp;TEXT(DAY(Paramètres!$C$43),"00")&amp;"/"&amp;TEXT(MONTH(Paramètres!$C$43),"00")&amp;"/"&amp;YEAR(Paramètres!$C$43)&amp;"."</f>
        <v>Observatoire Crédit Logement / CSA, analyse du marché du mois d'août 2026 (publiée en septembre 2026) : 3,27 % sur 20 ans, taux moyen toutes durées 3,31 %, en hausse de 3 centièmes de point en juillet comme en août. lobservatoire.creditlogement.fr. Vérifié le 05/09/2026.</v>
      </c>
    </row>
    <row r="45" spans="2:3" ht="30" customHeight="1" x14ac:dyDescent="0.35">
      <c r="B45" s="8" t="s">
        <v>421</v>
      </c>
      <c r="C45" s="35" t="str">
        <f>"Observatoire Crédit Logement / CSA, analyse du marché du mois d'août 2026 (publiée en septembre 2026) : 3,35 % sur 25 ans, 3,14 % sur 15 ans, en hausse de 15 centièmes de point depuis décembre 2025. l"&amp;"observatoire.creditlogement.fr. Vérifié le "&amp;TEXT(DAY(Paramètres!$C$43),"00")&amp;"/"&amp;TEXT(MONTH(Paramètres!$C$43),"00")&amp;"/"&amp;YEAR(Paramètres!$C$43)&amp;"."</f>
        <v>Observatoire Crédit Logement / CSA, analyse du marché du mois d'août 2026 (publiée en septembre 2026) : 3,35 % sur 25 ans, 3,14 % sur 15 ans, en hausse de 15 centièmes de point depuis décembre 2025. lobservatoire.creditlogement.fr. Vérifié le 05/09/2026.</v>
      </c>
    </row>
    <row r="46" spans="2:3" ht="16.5" customHeight="1" x14ac:dyDescent="0.35">
      <c r="B46" s="8" t="s">
        <v>422</v>
      </c>
      <c r="C46" s="35" t="str">
        <f>"Baromètres 2026 (pretclair.fr, covelia.fr) : 0,30 à 0,42 % selon l'âge et la quotité. Vérifié le "&amp;TEXT(DAY(Paramètres!$C$43),"00")&amp;"/"&amp;TEXT(MONTH(Paramètres!$C$43),"00")&amp;"/"&amp;YEAR(Paramètres!$C$43)&amp;"."</f>
        <v>Baromètres 2026 (pretclair.fr, covelia.fr) : 0,30 à 0,42 % selon l'âge et la quotité. Vérifié le 05/09/2026.</v>
      </c>
    </row>
    <row r="47" spans="2:3" ht="30" customHeight="1" x14ac:dyDescent="0.35">
      <c r="B47" s="8" t="s">
        <v>424</v>
      </c>
      <c r="C47" s="35" t="str">
        <f>"Baromètres 2026 (pretclair.fr, covelia.fr) : 0,10 à 0,20 %, 35 ans non fumeur. Loi n° 2022-270 du 28 février 2022 (Lemoine) : résiliation à tout moment. Vérifié le "&amp;TEXT(DAY(Paramètres!$C$43),"00")&amp;"/"&amp;TEXT(MONTH(Paramètres!$C$43),"00")&amp;"/"&amp;YEAR(Paramètres!$C$43)&amp;"."</f>
        <v>Baromètres 2026 (pretclair.fr, covelia.fr) : 0,10 à 0,20 %, 35 ans non fumeur. Loi n° 2022-270 du 28 février 2022 (Lemoine) : résiliation à tout moment. Vérifié le 05/09/2026.</v>
      </c>
    </row>
    <row r="48" spans="2:3" ht="30" customHeight="1" x14ac:dyDescent="0.35">
      <c r="B48" s="8" t="s">
        <v>426</v>
      </c>
      <c r="C48" s="35" t="str">
        <f>"Meilleurtaux, relevé de 119 banques au 01/03/2026 : moyenne 1 899,68 € pour 200 000 € empruntés, 92 établissements entre 0,50 % et 1,40 % du capital, de 0 € à 2 500 € selon les banques. Vérifié le "&amp;TEXT(DAY(Paramètres!$C$43),"00")&amp;"/"&amp;TEXT(MONTH(Paramètres!$C$43),"00")&amp;"/"&amp;YEAR(Paramètres!$C$43)&amp;"."</f>
        <v>Meilleurtaux, relevé de 119 banques au 01/03/2026 : moyenne 1 899,68 € pour 200 000 € empruntés, 92 établissements entre 0,50 % et 1,40 % du capital, de 0 € à 2 500 € selon les banques. Vérifié le 05/09/2026.</v>
      </c>
    </row>
    <row r="49" spans="2:3" ht="30" customHeight="1" x14ac:dyDescent="0.35">
      <c r="B49" s="8" t="s">
        <v>428</v>
      </c>
      <c r="C49" s="35" t="str">
        <f>"Meilleurtaux, relevé de 119 banques au 01/03/2026 : moyenne 1 899,68 € pour 200 000 € empruntés, 92 établissements entre 0,50 % et 1,40 % du capital, de 0 € à 2 500 € selon les banques. Vérifié le "&amp;TEXT(DAY(Paramètres!$C$43),"00")&amp;"/"&amp;TEXT(MONTH(Paramètres!$C$43),"00")&amp;"/"&amp;YEAR(Paramètres!$C$43)&amp;"."</f>
        <v>Meilleurtaux, relevé de 119 banques au 01/03/2026 : moyenne 1 899,68 € pour 200 000 € empruntés, 92 établissements entre 0,50 % et 1,40 % du capital, de 0 € à 2 500 € selon les banques. Vérifié le 05/09/2026.</v>
      </c>
    </row>
    <row r="50" spans="2:3" ht="30" customHeight="1" x14ac:dyDescent="0.35">
      <c r="B50" s="8" t="s">
        <v>430</v>
      </c>
      <c r="C50" s="35" t="str">
        <f>"Convention prudente du classeur : Crédit Logement ne publie pas son barème et les relevés de place vont de 0,85 % + 200 € (optimhome.com, 2026) à 1,5 à 1,75 % du capital (perlib.fr, 2026). Vérifié le "&amp;TEXT(DAY(Paramètres!$C$43),"00")&amp;"/"&amp;TEXT(MONTH(Paramètres!$C$43),"00")&amp;"/"&amp;YEAR(Paramètres!$C$43)&amp;"."</f>
        <v>Convention prudente du classeur : Crédit Logement ne publie pas son barème et les relevés de place vont de 0,85 % + 200 € (optimhome.com, 2026) à 1,5 à 1,75 % du capital (perlib.fr, 2026). Vérifié le 05/09/2026.</v>
      </c>
    </row>
    <row r="51" spans="2:3" ht="43.5" customHeight="1" x14ac:dyDescent="0.35">
      <c r="B51" s="8" t="s">
        <v>433</v>
      </c>
      <c r="C51" s="35" t="str">
        <f>"PrêtClair, « Garantie de prêt immobilier 2026 : caution, hypothèque ou PPD », page du 6 mai 2026 : environ 2 900 € pour 200 000 € empruntés et 4 100 € pour 300 000 €, soit 1,4 à 1,5 % du capital (émol"&amp;"uments du notaire, taxe de publicité foncière, contribution de sécurité immobilière, formalités). Vérifié le "&amp;TEXT(DAY(Paramètres!$C$43),"00")&amp;"/"&amp;TEXT(MONTH(Paramètres!$C$43),"00")&amp;"/"&amp;YEAR(Paramètres!$C$43)&amp;"."</f>
        <v>PrêtClair, « Garantie de prêt immobilier 2026 : caution, hypothèque ou PPD », page du 6 mai 2026 : environ 2 900 € pour 200 000 € empruntés et 4 100 € pour 300 000 €, soit 1,4 à 1,5 % du capital (émoluments du notaire, taxe de publicité foncière, contribution de sécurité immobilière, formalités). Vérifié le 05/09/2026.</v>
      </c>
    </row>
    <row r="52" spans="2:3" ht="43.5" customHeight="1" x14ac:dyDescent="0.35">
      <c r="B52" s="8" t="s">
        <v>469</v>
      </c>
      <c r="C52" s="35" t="str">
        <f>"Code de la consommation, art. L314-1 à L314-5 et R314-1 à R314-4, annexe à l'art. R314-3 (méthode d'équivalence), version en vigueur depuis le 20 décembre 2021 ; art. L313-8 (information sur le coût d"&amp;"e l'assurance emprunteur, TAEA sur la fiche standardisée d'information). Vérifié le "&amp;TEXT(DAY(Paramètres!$C$43),"00")&amp;"/"&amp;TEXT(MONTH(Paramètres!$C$43),"00")&amp;"/"&amp;YEAR(Paramètres!$C$43)&amp;"."</f>
        <v>Code de la consommation, art. L314-1 à L314-5 et R314-1 à R314-4, annexe à l'art. R314-3 (méthode d'équivalence), version en vigueur depuis le 20 décembre 2021 ; art. L313-8 (information sur le coût de l'assurance emprunteur, TAEA sur la fiche standardisée d'information). Vérifié le 05/09/2026.</v>
      </c>
    </row>
    <row r="53" spans="2:3" ht="30" customHeight="1" x14ac:dyDescent="0.35">
      <c r="B53" s="8" t="s">
        <v>488</v>
      </c>
      <c r="C53" s="35" t="str">
        <f>"CCH art. L31-10-1 et suivants ; loi de finances 2025 : PTZ étendu à tout le territoire et aux maisons depuis le 1er avril 2025, prolongé jusqu'au 31 décembre 2027. Guides PTZ 2026. Vérifié le "&amp;TEXT(DAY(Paramètres!$C$43),"00")&amp;"/"&amp;TEXT(MONTH(Paramètres!$C$43),"00")&amp;"/"&amp;YEAR(Paramètres!$C$43)&amp;"."</f>
        <v>CCH art. L31-10-1 et suivants ; loi de finances 2025 : PTZ étendu à tout le territoire et aux maisons depuis le 1er avril 2025, prolongé jusqu'au 31 décembre 2027. Guides PTZ 2026. Vérifié le 05/09/2026.</v>
      </c>
    </row>
    <row r="54" spans="2:3" ht="30" customHeight="1" x14ac:dyDescent="0.35">
      <c r="B54" s="8" t="s">
        <v>489</v>
      </c>
      <c r="C54" s="35" t="str">
        <f>"Ordonnance n° 2021-1192 du 15 septembre 2021, en vigueur le 1er janvier 2022 ; service-public.gouv.fr, fiche F786. Vérifié le "&amp;TEXT(DAY(Paramètres!$C$43),"00")&amp;"/"&amp;TEXT(MONTH(Paramètres!$C$43),"00")&amp;"/"&amp;YEAR(Paramètres!$C$43)&amp;"."</f>
        <v>Ordonnance n° 2021-1192 du 15 septembre 2021, en vigueur le 1er janvier 2022 ; service-public.gouv.fr, fiche F786. Vérifié le 05/09/2026.</v>
      </c>
    </row>
    <row r="55" spans="2:3" ht="30" customHeight="1" x14ac:dyDescent="0.35">
      <c r="B55" s="8" t="s">
        <v>490</v>
      </c>
      <c r="C55" s="35" t="str">
        <f>"Loi n° 2022-270 du 28 février 2022 (Lemoine) : résiliation à tout moment, suppression du questionnaire médical sous conditions. Fourchettes 2026 : Meilleurtaux, PrêtClair. Vérifié le "&amp;TEXT(DAY(Paramètres!$C$43),"00")&amp;"/"&amp;TEXT(MONTH(Paramètres!$C$43),"00")&amp;"/"&amp;YEAR(Paramètres!$C$43)&amp;"."</f>
        <v>Loi n° 2022-270 du 28 février 2022 (Lemoine) : résiliation à tout moment, suppression du questionnaire médical sous conditions. Fourchettes 2026 : Meilleurtaux, PrêtClair. Vérifié le 05/09/2026.</v>
      </c>
    </row>
    <row r="57" spans="2:3" ht="36" customHeight="1" x14ac:dyDescent="0.35">
      <c r="B57" s="43" t="s">
        <v>219</v>
      </c>
      <c r="C57" s="39"/>
    </row>
  </sheetData>
  <sheetProtection sheet="1" formatColumns="0" formatRows="0"/>
  <mergeCells count="8">
    <mergeCell ref="B26:C26"/>
    <mergeCell ref="B27:C27"/>
    <mergeCell ref="B57:C57"/>
    <mergeCell ref="B21:C21"/>
    <mergeCell ref="B24:C24"/>
    <mergeCell ref="B25:C25"/>
    <mergeCell ref="B23:C23"/>
    <mergeCell ref="B22:C2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Mode d'emploi</vt:lpstr>
      <vt:lpstr>Mon prêt</vt:lpstr>
      <vt:lpstr>Échéancier</vt:lpstr>
      <vt:lpstr>Comparateur</vt:lpstr>
      <vt:lpstr>Détail des offres</vt:lpstr>
      <vt:lpstr>Paramètres</vt:lpstr>
      <vt:lpstr>Méthode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Tableau d'amortissement et comparateur de prêts</dc:title>
  <dc:creator>CorpusImmo</dc:creator>
  <cp:lastModifiedBy>CorpusImmo</cp:lastModifiedBy>
  <dcterms:created xsi:type="dcterms:W3CDTF">2026-08-16T17:21:59Z</dcterms:created>
  <dcterms:modified xsi:type="dcterms:W3CDTF">2026-09-09T09:15:40Z</dcterms:modified>
</cp:coreProperties>
</file>