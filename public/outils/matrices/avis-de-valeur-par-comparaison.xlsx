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67BE82CA-8121-4016-9D3F-90999D78A8BA}"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Avis de valeur" sheetId="2" r:id="rId2"/>
    <sheet name="Référentiel" sheetId="3" r:id="rId3"/>
    <sheet name="Métho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3" l="1"/>
  <c r="C53" i="4" s="1"/>
  <c r="D42" i="3"/>
  <c r="C52" i="4" s="1"/>
  <c r="D41" i="3"/>
  <c r="C51" i="4" s="1"/>
  <c r="D40" i="3"/>
  <c r="C50" i="4" s="1"/>
  <c r="D39" i="3"/>
  <c r="C49" i="4" s="1"/>
  <c r="D38" i="3"/>
  <c r="C48" i="4" s="1"/>
  <c r="D37" i="3"/>
  <c r="C47" i="4" s="1"/>
  <c r="D36" i="3"/>
  <c r="C46" i="4" s="1"/>
  <c r="D35" i="3"/>
  <c r="C45" i="4" s="1"/>
  <c r="D34" i="3"/>
  <c r="C44" i="4" s="1"/>
  <c r="D33" i="3"/>
  <c r="C43" i="4" s="1"/>
  <c r="D32" i="3"/>
  <c r="C42" i="4" s="1"/>
  <c r="D31" i="3"/>
  <c r="C41" i="4" s="1"/>
  <c r="D27" i="3"/>
  <c r="C40" i="4" s="1"/>
  <c r="D26" i="3"/>
  <c r="C39" i="4" s="1"/>
  <c r="D25" i="3"/>
  <c r="C38" i="4" s="1"/>
  <c r="D24" i="3"/>
  <c r="C37" i="4" s="1"/>
  <c r="D23" i="3"/>
  <c r="C36" i="4" s="1"/>
  <c r="F13" i="3"/>
  <c r="C54" i="4" s="1"/>
  <c r="D9" i="3"/>
  <c r="C35" i="4" s="1"/>
  <c r="B7" i="3"/>
  <c r="P30" i="2"/>
  <c r="O30" i="2" s="1"/>
  <c r="L30" i="2"/>
  <c r="N30" i="2" s="1"/>
  <c r="P29" i="2"/>
  <c r="O29" i="2" s="1"/>
  <c r="L29" i="2"/>
  <c r="N29" i="2" s="1"/>
  <c r="L28" i="2"/>
  <c r="L27" i="2"/>
  <c r="L26" i="2"/>
  <c r="L25" i="2"/>
  <c r="L24" i="2"/>
  <c r="L23" i="2"/>
  <c r="C18" i="2"/>
  <c r="C19" i="2" s="1"/>
  <c r="C39" i="2" l="1"/>
  <c r="M23" i="2"/>
  <c r="M24" i="2"/>
  <c r="M27" i="2"/>
  <c r="M28" i="2"/>
  <c r="M25" i="2"/>
  <c r="M26" i="2"/>
  <c r="M29" i="2"/>
  <c r="M30" i="2"/>
  <c r="N24" i="2" l="1"/>
  <c r="P24" i="2"/>
  <c r="O24" i="2" s="1"/>
  <c r="N27" i="2"/>
  <c r="P27" i="2"/>
  <c r="O27" i="2" s="1"/>
  <c r="C40" i="2"/>
  <c r="N23" i="2"/>
  <c r="P23" i="2"/>
  <c r="N28" i="2"/>
  <c r="P28" i="2"/>
  <c r="O28" i="2" s="1"/>
  <c r="P25" i="2"/>
  <c r="O25" i="2" s="1"/>
  <c r="N25" i="2"/>
  <c r="N26" i="2"/>
  <c r="P26" i="2"/>
  <c r="O26" i="2" s="1"/>
  <c r="C34" i="2" l="1"/>
  <c r="O23" i="2"/>
  <c r="C35" i="2"/>
  <c r="C33" i="2"/>
  <c r="C36" i="2"/>
  <c r="C42" i="2"/>
  <c r="C41" i="2"/>
  <c r="C48" i="2" l="1"/>
  <c r="C47" i="2" s="1"/>
  <c r="C52" i="2"/>
  <c r="C43" i="2"/>
  <c r="C56" i="2" s="1"/>
  <c r="C46" i="2"/>
  <c r="C49" i="2" s="1"/>
  <c r="C50" i="2" s="1"/>
  <c r="C38" i="2"/>
  <c r="C37" i="2"/>
  <c r="C51" i="2" l="1"/>
  <c r="C53" i="2"/>
  <c r="C58" i="2" l="1"/>
  <c r="C57" i="2"/>
  <c r="C59" i="2" s="1"/>
</calcChain>
</file>

<file path=xl/sharedStrings.xml><?xml version="1.0" encoding="utf-8"?>
<sst xmlns="http://schemas.openxmlformats.org/spreadsheetml/2006/main" count="540" uniqueCount="446">
  <si>
    <t>CorpusImmo  ·  www.corpus.immo  ·  Estimer, comparer, décider. Sur les ventes réelles.</t>
  </si>
  <si>
    <t>Mode d'emploi</t>
  </si>
  <si>
    <t>À quoi sert ce classeur, dans quel ordre le remplir, et comment lire ce qu'il répond.</t>
  </si>
  <si>
    <t xml:space="preserve">  À QUOI SERT CE CLASSEUR</t>
  </si>
  <si>
    <t>Vous devez donner un prix à un logement, et le défendre. Ce classeur répond à la question que se pose tout professionnel avant de remettre un avis de valeur : combien vaut ce bien, au vu des ventes réellement signées autour de lui, et avec quelle marge d'incertitude ?</t>
  </si>
  <si>
    <t>Il calcule le prix au m² de chaque vente comparable, puis lui applique une grille d'ajustements : des corrections chiffrées qui rapprochent la vente du bien à évaluer (état, étage, extérieur, étiquette DPE, stationnement, écoulement du temps). Il pondère ensuite chaque comparable par sa ressemblance avec le bien, puis produit une valeur centrale et une fourchette dont la largeur est mesurée sur la dispersion du panel, c'est-à-dire sur l'écart qui sépare encore les ventes retenues une fois corrigées.</t>
  </si>
  <si>
    <t>Le classeur est livré rempli d'un exemple : un appartement de 75 m² et six ventes comparables. Pour votre dossier, remplacez les cellules violettes de l'onglet Avis de valeur. Celles du Référentiel sont vos coefficients : elles se recalent une fois par marché, jamais par dossier. L'étape 0 de la marche à suivre dit exactement lesquelles se vident, et lesquelles ne se vident jamais.</t>
  </si>
  <si>
    <t>Vous êtes</t>
  </si>
  <si>
    <t>Ce que le classeur vous donne</t>
  </si>
  <si>
    <t>Agent immobilier</t>
  </si>
  <si>
    <t>Une valeur et une fourchette défendables devant un vendeur, avec le détail des corrections appliquées à chaque vente comparable.</t>
  </si>
  <si>
    <t>Expert débutant</t>
  </si>
  <si>
    <t>La formalisation d'une pondération : ce qui se corrige, dans quel sens, de combien, et ce que vaut le panel une fois les corrections faites.</t>
  </si>
  <si>
    <t>Notaire</t>
  </si>
  <si>
    <t>Un avis de valeur documenté à partir de ventes signées, avec la mention écrite qu'exige une estimation allégée, c'est-à-dire une évaluation qui n'est pas une expertise au sens de la charte de l'expertise.</t>
  </si>
  <si>
    <t>Banquier, courtier</t>
  </si>
  <si>
    <t>Un ordre de grandeur du prix au m² du secteur et la dispersion des références, pour juger un prix d'acquisition présenté au dossier.</t>
  </si>
  <si>
    <t>Investisseur, marchand de biens</t>
  </si>
  <si>
    <t>Le prix au m² retenu et le plus bas des comparables ajustés, pour situer une offre.</t>
  </si>
  <si>
    <t xml:space="preserve">  LE PRINCIPE, EN UNE LIGNE</t>
  </si>
  <si>
    <t>Prix au m² des ventes comparables, corrigé des différences, pondéré par la ressemblance, multiplié par la surface du bien, avec une fourchette aussi large que la dispersion des ventes retenues</t>
  </si>
  <si>
    <t xml:space="preserve">  LES ONGLETS, DANS L'ORDRE OÙ ON LES REMPLIT</t>
  </si>
  <si>
    <t>Onglet</t>
  </si>
  <si>
    <t>Ce que vous y faites</t>
  </si>
  <si>
    <t>Ce que vous y lisez</t>
  </si>
  <si>
    <t>Rien à saisir. Vous lisez ce guide.</t>
  </si>
  <si>
    <t>La marche à suivre et l'exemple guidé.</t>
  </si>
  <si>
    <t>Avis de valeur</t>
  </si>
  <si>
    <t>Vous décrivez le bien, puis vous saisissez une ligne par vente comparable.</t>
  </si>
  <si>
    <t>Le statut de chaque ligne, le prix au m² retenu, la dispersion du panel, la valeur centrale et la fourchette.</t>
  </si>
  <si>
    <t>Référentiel</t>
  </si>
  <si>
    <t>Une fois par marché, vous recalez les coefficients sur votre secteur et vous datez votre vérification.</t>
  </si>
  <si>
    <t>Chaque coefficient avec sa source, sa fréquence de mise à jour et son ordre de grandeur.</t>
  </si>
  <si>
    <t>Méthode</t>
  </si>
  <si>
    <t>Rien à saisir.</t>
  </si>
  <si>
    <t>Les conventions de calcul et ce qu'elles coûtent, ce que le modèle ne fait pas, les sources.</t>
  </si>
  <si>
    <t xml:space="preserve">  LE CODE COULEUR, ET COMMENT DÉVERROUILLER UNE CELLULE</t>
  </si>
  <si>
    <t>Cellule</t>
  </si>
  <si>
    <t>Ce que c'est</t>
  </si>
  <si>
    <t>Ce que vous faites</t>
  </si>
  <si>
    <t>Fond violet clair, texte violet sombre</t>
  </si>
  <si>
    <t>Saisie utilisateur</t>
  </si>
  <si>
    <t>Vous la remplissez. Jamais de formule dedans.</t>
  </si>
  <si>
    <t>Fond blanc</t>
  </si>
  <si>
    <t>Calcul</t>
  </si>
  <si>
    <t>Vous la lisez. Elle est verrouillée.</t>
  </si>
  <si>
    <t>Fond presque blanc, texte violet sombre en gras</t>
  </si>
  <si>
    <t>Résultat, chiffre clé</t>
  </si>
  <si>
    <t>Vous la lisez. C'est un chiffre à retenir.</t>
  </si>
  <si>
    <t>Bandeau violet</t>
  </si>
  <si>
    <t>Titre de section ou en-tête de tableau</t>
  </si>
  <si>
    <t>Repère de navigation.</t>
  </si>
  <si>
    <t>Texte gris, à droite</t>
  </si>
  <si>
    <t>Commentaire d'aide</t>
  </si>
  <si>
    <t>Une phrase par ligne. Les ordres de grandeur y renvoient au Référentiel.</t>
  </si>
  <si>
    <t>Texte sans fond, dans le Référentiel</t>
  </si>
  <si>
    <t>Libellé de liste ou de statut</t>
  </si>
  <si>
    <t>Vous le lisez. Il est verrouillé, parce que les formules testent son texte : pour le modifier, ôtez d'abord la protection de la feuille.</t>
  </si>
  <si>
    <t>Cellule violette qui affiche un %</t>
  </si>
  <si>
    <t>Coefficient</t>
  </si>
  <si>
    <t>Tapez le nombre tel qu'il se lit (6 pour 6 %), puis vérifiez l'affichage.</t>
  </si>
  <si>
    <t>Vert OK / rouge À CORRIGER</t>
  </si>
  <si>
    <t>Contrôle de cohérence</t>
  </si>
  <si>
    <t>Rouge : la ligne juste au-dessus nomme ce qui manque. Les deux se lisent en Avis de valeur!C19 pour le bien et en Avis de valeur!C38 pour les comparables.</t>
  </si>
  <si>
    <t>Vert OK / rouge À VÉRIFIER</t>
  </si>
  <si>
    <t>Contrôle de cohérence des prix</t>
  </si>
  <si>
    <t>Rouge (Avis de valeur!C42) : un prix saisi s'écarte fortement du panel. Rien n'est bloqué, mais Avis de valeur!C41 nomme la ligne à revoir. Vide : aucune ligne exploitable, le contrôle est sans objet.</t>
  </si>
  <si>
    <t>Vert OK / rouge À JUSTIFIER</t>
  </si>
  <si>
    <t>Contrôle de dispersion</t>
  </si>
  <si>
    <t>Rouge (Avis de valeur!C53) : la dispersion de votre panel dépasse le seuil du Référentiel, ou l'échantillon est trop petit pour la mesurer. La fourchette reste juste, mais elle est large. Resserrez la sélection, ou écrivez au dossier pourquoi ces ventes sont les seules disponibles.</t>
  </si>
  <si>
    <t>Les onglets sont protégés sans mot de passe pour éviter d'écraser une formule par erreur. En usage normal vous n'en avez jamais besoin : toutes les cellules violettes sont déjà libres. Pour modifier une cellule blanche ou un texte de source : onglet Révision, puis « Ôter la protection de la feuille ». Aucun mot de passe n'est demandé.</t>
  </si>
  <si>
    <t xml:space="preserve">  LA MARCHE À SUIVRE, ÉTAPE PAR ÉTAPE</t>
  </si>
  <si>
    <t>Étape</t>
  </si>
  <si>
    <t>Où (onglet et plage)</t>
  </si>
  <si>
    <t>Pourquoi</t>
  </si>
  <si>
    <t>0. L'exemple livré</t>
  </si>
  <si>
    <t>Avis de valeur!C8:C17 et Avis de valeur!B23:K30</t>
  </si>
  <si>
    <t>Le classeur arrive rempli d'un exemple : un appartement et six ventes. Effacez les cellules violettes du bien (Avis de valeur!C8:C17) et celles du tableau des comparables (Avis de valeur!B23:K30, soit les 6 lignes de l'exemple et les 2 lignes libres) avant de saisir votre dossier, ou gardez l'exemple pour vous repérer et travaillez à côté. Ne videz jamais les cellules du Référentiel : ce sont vos coefficients, pas des données de dossier. Vérifiez surtout les saisies d'option qui n'ont pas de raison d'être dans votre cas : extérieur (Avis de valeur!C13), stationnement (Avis de valeur!C15), ascenseur (Avis de valeur!C16), et la date de l'avis (Avis de valeur!C17), qui reste souvent celle de l'exemple. Pour supprimer une ligne de comparable, videz la ligne entière de la colonne B à la colonne K : tant qu'une seule cellule violette y reste remplie, la ligne compte comme renseignée et bloque le calcul.</t>
  </si>
  <si>
    <t>Une valeur de l'exemple oubliée est l'erreur la plus probable d'un premier usage. Pendant que vous effacez, puis pendant que vous saisissez, les contrôles restent rouges et la valeur centrale affiche successivement Bien incomplet, Trop peu de comparables, puis Lignes à compléter : c'est normal, le classeur ne conclut qu'une fois la saisie complète, et il préfère nommer ce qui manque plutôt qu'afficher un chiffre qu'il ne tient pas. Une date d'avis restée au 16/08/2026 fera rejeter toutes vos ventes plus récentes, qui passeront à compléter, et le classeur refusera de conclure.</t>
  </si>
  <si>
    <t>1. Le bien</t>
  </si>
  <si>
    <t>Avis de valeur!C8:C17</t>
  </si>
  <si>
    <t>Adresse, type de bien, surface habitable au sens de la loi Boutin, état choisi dans la liste, étage, extérieur, étiquette DPE choisie dans la liste, stationnement, ascenseur, date de l'avis. Vérifiez que le contrôle en Avis de valeur!C19 affiche OK.</t>
  </si>
  <si>
    <t>Sans les caractéristiques du bien, aucun comparable ne peut être corrigé : le classeur met alors toutes les lignes à compléter plutôt que de calculer sans ajustement. L'ascenseur (Avis de valeur!C16) ne se saisit que pour le bien et vaut pour tous les comparables : sans ascenseur, un étage élevé devient une décote au lieu d'une prime. Un comparable situé dans un immeuble sans ascenseur alors que le bien en a un ne se corrige pas, il s'écarte. Le type de bien (Avis de valeur!C9) choisit la colonne de la grille de valeur verte : les écarts de prix entre étiquettes DPE sont environ deux fois plus forts sur une maison que sur un appartement.</t>
  </si>
  <si>
    <t>2. Les ventes comparables</t>
  </si>
  <si>
    <t>Avis de valeur!B23:K30</t>
  </si>
  <si>
    <t>Une ligne par vente, 8 au maximum. Adresse, date de vente en vraie date, prix net vendeur, surface habitable, puis les mêmes caractéristiques que pour le bien, puis la similarité de 0 à 100. Le prix net vendeur est le prix porté à l'acte, hors droits de mutation et hors honoraires d'agence : c'est celui que donne la base DVF.</t>
  </si>
  <si>
    <t>La similarité est le seul endroit où votre jugement entre. C'est assumé : aucun algorithme ne sait qu'une des deux ventes s'est faite entre voisins. Si vous avez plus de 8 ventes, gardez les 8 plus ressemblantes : ce n'est pas le nombre qui fait la qualité du panel. Et graduez, 8 lignes toutes à 100 valent moins que 5 lignes notées honnêtement.</t>
  </si>
  <si>
    <t>3. Le statut de chaque ligne</t>
  </si>
  <si>
    <t>Avis de valeur!P23:P30</t>
  </si>
  <si>
    <t>Rien à saisir. Lisez la colonne Statut ligne par ligne, puis les compteurs Avis de valeur!C35 et Avis de valeur!C36. Une ligne « À compléter » bloque tout : le classeur refuse de produire une valeur tant qu'elle est là, et Avis de valeur!C37 vous nomme la ligne et le champ en cause. Une ligne « Écarté » ne bloque rien : le calcul continue sans elle, mais votre panel a perdu une vente.</t>
  </si>
  <si>
    <t>C'est le garde-fou principal. Une ligne à compléter se corrige : complétez le champ nommé et le statut repasse à Retenu. Une ligne écartée se remplace : un ajustement au-delà du plafond veut dire que la vente n'est pas comparable, ou qu'une saisie est fausse, une étiquette DPE de travers suffit. Une vente trop ancienne se remplace par une plus récente. Si les comparables retenus tombent sous le minimum, cherchez d'autres ventes : ne relevez le plafond du Référentiel que si vous êtes prêt à le justifier au dossier.</t>
  </si>
  <si>
    <t>4. Le panel</t>
  </si>
  <si>
    <t>Avis de valeur!C33:C43</t>
  </si>
  <si>
    <t>Rien à saisir. Vérifiez que Avis de valeur!C34 atteint le minimum du Référentiel, que le contrôle en Avis de valeur!C38 affiche OK, et que le poids du comparable dominant (Avis de valeur!C43) reste sous le plafond de Référentiel!C34. Avis de valeur!C35 et Avis de valeur!C36 vous disent d'un coup d'œil combien de lignes sont à compléter et combien sont écartées ; Avis de valeur!C37 nomme la première à compléter. Regardez enfin Avis de valeur!C42 : il compare les prix au m² saisis entre eux et nomme celui qui s'écarte du panel.</t>
  </si>
  <si>
    <t>Le nombre de lignes saisies ne veut rien dire. Seuls comptent les comparables réellement retenus. Le contrôle des prix, lui, ne bloque rien : il attrape une saisie manifestement fausse, un prix tapé en milliers ou la surface d'un autre bien.</t>
  </si>
  <si>
    <t>5. La dispersion</t>
  </si>
  <si>
    <t>Avis de valeur!C46:C53</t>
  </si>
  <si>
    <t>Rien à saisir. Regardez l'écart entre le plus bas (Avis de valeur!C47) et le plus haut (Avis de valeur!C48) des prix au m² ajustés, puis le coefficient de variation (Avis de valeur!C50), c'est-à-dire l'écart moyen des comparables au prix retenu exprimé en pourcentage de ce prix, et le contrôle d'homogénéité qui en découle (Avis de valeur!C53). Avis de valeur!C52 dit en une phrase sur quoi la largeur de votre fourchette est fondée.</t>
  </si>
  <si>
    <t>C'est ce qu'un expert regarde en premier pour juger la qualité d'un panel, et ce qui justifie la largeur de la fourchette. C'est le coefficient de variation qui décide, et lui seul : l'écart entre le plus bas et le plus haut est une lecture d'ambiance, pas un critère.</t>
  </si>
  <si>
    <t>6. La valeur et la fourchette</t>
  </si>
  <si>
    <t>Avis de valeur!C56:C59</t>
  </si>
  <si>
    <t>Rien à saisir. Présentez la ligne Avis de valeur!C59, jamais la valeur centrale seule, et lisez Avis de valeur!C52 : elle dit en une phrase sur quoi la largeur de votre fourchette est fondée. Si elle vous paraît trop large, la réponse n'est pas de la resserrer à la main : resserrez le panel, voir la troisième situation de la section « Trois façons de s'en servir ».</t>
  </si>
  <si>
    <t>Un prix unique devient immédiatement le plancher de la négociation dans la tête du vendeur, et le plafond dans celle de l'acquéreur. Une fourchette large n'est pas un aveu de faiblesse : c'est la dispersion réelle des ventes du secteur, mesurée. Dites la comme telle, en lisant le plus bas et le plus haut des prix au m² corrigés (Avis de valeur!C47 et Avis de valeur!C48) : sur ces ventes, les prix au m² corrigés vont de tant à tant, je ne vais pas vous annoncer une précision que le marché ne porte pas, et voici ce qui vous place en haut plutôt qu'en bas. Un confrère qui annonce une fourchette deux fois plus étroite sur les mêmes ventes annonce une précision qu'il n'a pas mesurée. Si le vendeur veut une fourchette plus serrée, la réponse professionnelle est d'aller chercher des ventes plus proches de son bien, pas de resserrer l'affichage.</t>
  </si>
  <si>
    <t>7. Les coefficients</t>
  </si>
  <si>
    <t>Référentiel!C9, Référentiel!C13:D19, Référentiel!C23:C27 et Référentiel!C31:C43</t>
  </si>
  <si>
    <t>Une fois par marché, pas une fois par dossier : comparez chaque valeur violette à sa source (colonne D, colonne F pour la grille DPE) et mettez à jour la date en Référentiel!C56. Les mentions « Vérifié le » suivent automatiquement.</t>
  </si>
  <si>
    <t>Un coefficient national appliqué à un marché local est la première critique qu'on vous fera. Un référentiel visible se discute ; un coefficient caché dans une formule se subit.</t>
  </si>
  <si>
    <t xml:space="preserve">  EXEMPLE GUIDÉ</t>
  </si>
  <si>
    <t>Le fichier est livré avec un appartement de 75 m² au 2e étage avec ascenseur, en état « Bon », avec un extérieur, sans stationnement, étiquette DPE D, à évaluer au 16/08/2026. Il est accompagné de 6 ventes comparables, de 275 000 € à 372 000 €, pour des surfaces de 65 à 81 m².</t>
  </si>
  <si>
    <t>Prenez la première ligne, le 12 rue des Lilas : vendu 318 000 € pour 72 m², soit 4 417 € par m². Il est au 3e étage quand le bien est au 2e, et il a un stationnement que le bien n'a pas : son prix est tiré vers le bas de 5,2 %, ce qui le ramène à 4 189 € par m² (Avis de valeur!N23). Sa similarité de 85 devient son poids (Avis de valeur!O23).</t>
  </si>
  <si>
    <t>Les 6 lignes affichent « Retenu » (Avis de valeur!C34 : 6 comparables retenus, aucune ligne à compléter). Le comparable le plus corrigé est le 15 rue Pasteur, en état « À rénover » et classé F : 21,5 % d'ajustement, sous le plafond de 25 % du Référentiel. Le poids du comparable dominant ressort à 19,57 % (Avis de valeur!C43), sous le plafond de 40 % du Référentiel. Les prix au m² saisis se tiennent : le plus éloigné s'écarte de 4 % de leur moyenne (Avis de valeur!C40), bien sous le seuil de 35 % du Référentiel qui déclencherait une vérification.</t>
  </si>
  <si>
    <t>Le prix au m² retenu est de 4 362 € (Avis de valeur!C46), moyenne des 6 prix ajustés pondérée par la similarité. Ces 6 prix vont de 3 815 € à 5 140 € par m². Leur dispersion, c'est-à-dire l'écart moyen de chacun au prix retenu, vaut 455 € par m² (Avis de valeur!C49) : c'est l'écart type pondéré. Rapportée au prix retenu, elle fait 10,44 % (Avis de valeur!C50), et ce pourcentage s'appelle le coefficient de variation. C'est lui qui devient la demi-fourchette (Avis de valeur!C51), c'est-à-dire ce qu'on retranche puis ce qu'on ajoute à la valeur centrale, puisqu'il dépasse le plancher de 3 % du Référentiel.</t>
  </si>
  <si>
    <t>Résultat : une valeur centrale de 327 139 € (Avis de valeur!C56) et une fourchette de 292 999 € à 361 279 € (Avis de valeur!C59), soit 68 281 € d'amplitude, près de 21 % de la valeur centrale. Comment la lire : le contrôle Avis de valeur!C53 affiche OK, parce que la dispersion mesurée, 10,44 %, reste sous le seuil de 12 % du Référentiel (millésime 2026). Le panel tient, mais il n'est pas serré : entre le plus bas et le plus haut des comparables ajustés il y a près de 35 %, ce qui explique une fourchette de cette largeur. Une demi-fourchette forfaitaire, deux fois plus étroite, annoncerait une précision que ces 6 ventes ne portent pas : elle ne tiendrait pas devant un contradicteur.</t>
  </si>
  <si>
    <t>Essayez : effacez la surface du 27 rue Victor Hugo (Avis de valeur!E25). Le statut de la ligne passe à « À compléter : surface manquante », le contrôle Avis de valeur!C38 passe au rouge et Avis de valeur!C37, juste au-dessus, nomme le comparable et le champ en cause. Avis de valeur!C34 tombe à 5, et la valeur centrale affiche « Lignes à compléter » au lieu d'un chiffre. C'est le piège le plus coûteux de la méthode par comparaison : un comparable compté à zéro au lieu d'être exclu tirerait le prix au m² retenu de 19 % vers le bas, à 3 529 € par m², sans un mot.</t>
  </si>
  <si>
    <t xml:space="preserve">  LES CHIFFRES À REGARDER, ET CE QU'ILS VALENT</t>
  </si>
  <si>
    <t>Indicateur</t>
  </si>
  <si>
    <t>Où</t>
  </si>
  <si>
    <t>Repère métier</t>
  </si>
  <si>
    <t>Ce qu'il dit vraiment</t>
  </si>
  <si>
    <t>Comparables retenus</t>
  </si>
  <si>
    <t>Avis de valeur!C34</t>
  </si>
  <si>
    <t>Au moins 5, la convention du Référentiel (Référentiel!C33, millésime 2026).</t>
  </si>
  <si>
    <t>Le nombre de lignes qui entrent réellement dans la moyenne. Une ligne saisie mais incomplète n'en fait pas partie.</t>
  </si>
  <si>
    <t>Statut de la ligne</t>
  </si>
  <si>
    <t>Retenu, Écarté ou À compléter : rien d'autre ne doit s'y lire.</t>
  </si>
  <si>
    <t>Le seul endroit qui dit pourquoi un comparable ne pèse rien. À compléter bloque le calcul, écarté ne le bloque pas.</t>
  </si>
  <si>
    <t>Poids du comparable dominant</t>
  </si>
  <si>
    <t>Avis de valeur!C43</t>
  </si>
  <si>
    <t>Sous 40 % (Référentiel!C34, millésime 2026).</t>
  </si>
  <si>
    <t>Au-delà, une seule vente fait la valeur : élargissez la recherche.</t>
  </si>
  <si>
    <t>Ajustement par ligne</t>
  </si>
  <si>
    <t>Avis de valeur!M23:M30</t>
  </si>
  <si>
    <t>Au-delà de 15 % (Référentiel!C31, millésime 2026), le comparable est éloigné ; au-delà de 25 % (Référentiel!C32), il est écarté.</t>
  </si>
  <si>
    <t>La somme des corrections appliquées à la ligne. Un panel dont toutes les lignes dépassent le premier seuil n'est pas un panel.</t>
  </si>
  <si>
    <t>Prix au m² retenu</t>
  </si>
  <si>
    <t>Avis de valeur!C46</t>
  </si>
  <si>
    <t>À confronter au prix médian du quartier (base DVF, chiffres des notaires).</t>
  </si>
  <si>
    <t>Le cœur du calcul. S'il s'écarte du médian du quartier, c'est la sélection des comparables qu'il faut revoir, pas le coefficient.</t>
  </si>
  <si>
    <t>Coefficient de variation</t>
  </si>
  <si>
    <t>Avis de valeur!C50</t>
  </si>
  <si>
    <t>Alerte au-delà de 12 % (Référentiel!C39, millésime 2026). C'est l'écart moyen des comparables au prix retenu, exprimé en pourcentage de ce prix.</t>
  </si>
  <si>
    <t>La dispersion du panel une fois les corrections faites. C'est lui qui fixe la largeur de la fourchette, et lui seul qui décide si le panel tient.</t>
  </si>
  <si>
    <t>Fourchette</t>
  </si>
  <si>
    <t>Avis de valeur!C59</t>
  </si>
  <si>
    <t>Sa largeur se mesure sur vos comparables, elle ne se décide pas. Plus le panel est resserré, plus elle l'est.</t>
  </si>
  <si>
    <t>C'est ce qui se présente au vendeur. Jamais la valeur centrale seule.</t>
  </si>
  <si>
    <t>Message à la place de la valeur</t>
  </si>
  <si>
    <t>Avis de valeur!C56</t>
  </si>
  <si>
    <t>Quatre messages possibles, dans l'ordre où ils se corrigent.</t>
  </si>
  <si>
    <t>Bien incomplet : Avis de valeur!C18 nomme le champ manquant. Lignes à compléter : Avis de valeur!C37 nomme la ligne. Trop peu de comparables : il en faut au moins le minimum du Référentiel (Référentiel!C33), retenus et non pas saisis. Un comparable domine : une seule vente pèse plus que le plafond de Référentiel!C34, ajoutez des ventes ou baissez sa similarité. Le classeur préfère nommer son refus plutôt qu'afficher un chiffre qu'il ne tient pas.</t>
  </si>
  <si>
    <t xml:space="preserve">  LES DONNÉES À METTRE À JOUR, OÙ ET POURQUOI</t>
  </si>
  <si>
    <t>Deux familles de données. Les coefficients du Référentiel décrivent un marché : ils changent avec lui, à date fixe, et se rafraîchissent depuis la source indiquée en face de chacun. Les données de l'onglet Avis de valeur décrivent un dossier : elles changent à chaque avis de valeur. L'architecture du classeur ne bouge pas quand les données bougent.</t>
  </si>
  <si>
    <t>Les chiffres cités dans ce guide portent le millésime 2026 : relisez-les à chaque mise à jour du Référentiel, en particulier les seuils cités dans le tableau ci-dessus (nombre minimal de comparables, poids maximal, seuil de signalement et plafond d'ajustement, seuil de dispersion, écart de prix signalé) et les ordres de grandeur de l'exemple guidé, qui sont recalculés sur le jeu de données livré.</t>
  </si>
  <si>
    <t>Paramètre</t>
  </si>
  <si>
    <t>Onglet et cellule</t>
  </si>
  <si>
    <t>Ce qu'il pilote</t>
  </si>
  <si>
    <t>Source à consulter, fréquence</t>
  </si>
  <si>
    <t>Dérive du marché sur un an</t>
  </si>
  <si>
    <t>Référentiel!C9</t>
  </si>
  <si>
    <t>La correction d'ancienneté de chaque vente comparable, c'est-à-dire ce que le marché a bougé entre la vente et votre avis</t>
  </si>
  <si>
    <t>Indice Notaires INSEE de votre secteur, publication trimestrielle</t>
  </si>
  <si>
    <t>Valeur verte par étiquette DPE</t>
  </si>
  <si>
    <t>Référentiel!C13:D19</t>
  </si>
  <si>
    <t>L'ajustement d'étiquette, appartement et maison séparément. La valeur verte est l'écart de prix mesuré entre deux étiquettes</t>
  </si>
  <si>
    <t>Bilan annuel des notaires sur la valeur verte, publication de fin d'année</t>
  </si>
  <si>
    <t>Coefficients d'état, d'étage, d'extérieur et de stationnement, et repère du prix affiché</t>
  </si>
  <si>
    <t>Référentiel!C23:C27</t>
  </si>
  <si>
    <t>Toute la grille d'ajustements, et l'ordre de grandeur de ce que gonfle un prix saisi honoraires comprises</t>
  </si>
  <si>
    <t>Études de marché locales et chiffres des notaires, à recaler chaque année et à chaque changement de secteur</t>
  </si>
  <si>
    <t>Garde-fous du modèle</t>
  </si>
  <si>
    <t>Référentiel!C31:C40</t>
  </si>
  <si>
    <t>Les verrous, l'ancienneté maximale, la largeur de la fourchette et les deux seuils de signalement</t>
  </si>
  <si>
    <t>Conventions du modèle et usage professionnel : stables, à relire une fois par an</t>
  </si>
  <si>
    <t>Bornes de saisie</t>
  </si>
  <si>
    <t>Référentiel!C41:C43</t>
  </si>
  <si>
    <t>Les listes déroulantes, les validations et les statuts de ligne</t>
  </si>
  <si>
    <t>Sans objet : bornes techniques</t>
  </si>
  <si>
    <t>Listes déroulantes et libellés de statut</t>
  </si>
  <si>
    <t>Référentiel!B47:D53</t>
  </si>
  <si>
    <t>Les listes de l'état et du DPE, et les trois libellés que les formules testent</t>
  </si>
  <si>
    <t>Cellules verrouillées, sans fond : ôtez la protection de la feuille pour les modifier, et relisez d'abord l'onglet Méthode, qui dit ce que leur ordre porte</t>
  </si>
  <si>
    <t>Date de dernière vérification</t>
  </si>
  <si>
    <t>Référentiel!C56</t>
  </si>
  <si>
    <t>Toutes les mentions « Vérifié le » du Référentiel et de Méthode, et le millésime du titre</t>
  </si>
  <si>
    <t>À chaque recalage : une seule cellule à changer</t>
  </si>
  <si>
    <t>Le bien et les ventes comparables</t>
  </si>
  <si>
    <t>Tout le reste</t>
  </si>
  <si>
    <t>Données de dossier, propres à chaque avis de valeur</t>
  </si>
  <si>
    <t xml:space="preserve">  TROIS FAÇONS DE S'EN SERVIR</t>
  </si>
  <si>
    <t>Votre situation</t>
  </si>
  <si>
    <t>Vous préparez un rendez-vous vendeur</t>
  </si>
  <si>
    <t>Saisissez le bien et 5 à 8 ventes récentes. Imprimez l'onglet Avis de valeur en paysage, ajusté à une page en largeur : le vendeur y voit les ventes retenues, la correction appliquée à chacune, le statut de chaque ligne et la fourchette. Sachez qu'il y lira aussi la similarité que vous avez donnée à chaque vente, y compris à celle qu'il vous a apportée. C'est le référentiel qui se discute, pas votre honnêteté.</t>
  </si>
  <si>
    <t>Un vendeur conteste votre prix</t>
  </si>
  <si>
    <t>Ajoutez sa vente de référence comme comparable. Soit elle est retenue et vous voyez son effet sur Avis de valeur!C46, soit son statut dit pourquoi elle ne tient pas : ajustement au-delà du plafond, vente trop ancienne, ou saisie incomplète.</t>
  </si>
  <si>
    <t>Vous doutez de la largeur de votre fourchette</t>
  </si>
  <si>
    <t>Regardez d'abord Avis de valeur!C50, le coefficient de variation : c'est lui qui décide, et son seuil vit dans le Référentiel (Référentiel!C39). Regardez ensuite Avis de valeur!C47 et Avis de valeur!C48 : plus l'écart entre le plus bas et le plus haut est grand, plus votre panel mélange des situations différentes, même quand le contrôle reste vert. Resserrez la sélection (même quartier, surfaces proches, ventes récentes) et relisez Avis de valeur!C50. La fourchette se resserre d'elle-même quand le panel est homogène.</t>
  </si>
  <si>
    <t xml:space="preserve">  LES ERREURS QUI FAUSSENT TOUT</t>
  </si>
  <si>
    <t>Le piège</t>
  </si>
  <si>
    <t>Le dégât</t>
  </si>
  <si>
    <t>Oublier la surface d'un comparable (Avis de valeur!E23:E30)</t>
  </si>
  <si>
    <t>L'erreur la plus coûteuse de la méthode : sans surface, il n'y a pas de prix au m², et un comparable compté à zéro au lieu d'être exclu tirerait la valeur de 19 % vers le bas sur le jeu d'exemple. Le classeur l'exclut, le nomme et refuse de conclure tant qu'il n'est pas complété.</t>
  </si>
  <si>
    <t>Laisser la date de l'avis de l'exemple (Avis de valeur!C17)</t>
  </si>
  <si>
    <t>Elle pilote deux choses. La dérive de marché, dont l'effet reste petit tant que le Référentiel porte une dérive faible (millésime 2026). Et surtout l'ancienneté de chaque vente : une vente signée après cette date passe à compléter et bloque le calcul, une vente de plus de 24 mois par rapport à elle est écartée. Une date restée à celle de l'exemple vous fera donc rejeter vos ventes les plus récentes, qui sont vos meilleures références.</t>
  </si>
  <si>
    <t>Saisir un prix honoraires comprises ou droits compris</t>
  </si>
  <si>
    <t>Le prix au m² de cette seule ligne monte de l'ordre de 7 % (Référentiel!C27, millésime 2026), et le panel devient incohérent : les ventes tirées de la base DVF sont hors droits, celles relevées sur une annonce sont souvent honoraires comprises. Saisissez partout le prix net vendeur, celui porté à l'acte hors droits et hors honoraires. Un panel mélangé gonfle deux fois : la valeur, et la dispersion qui fixe la fourchette.</t>
  </si>
  <si>
    <t>Mélanger surface Carrez et surface habitable (Avis de valeur!C10 et Avis de valeur!E23:E30)</t>
  </si>
  <si>
    <t>Le prix au m² est le cœur du calcul : quelques mètres carrés d'écart de convention déplacent une ligne de plusieurs points. Employez la même règle sur le bien et sur tous les comparables, pondérez vos annexes avant de saisir, et notez au dossier la règle que vous avez retenue.</t>
  </si>
  <si>
    <t>Mettre 100 de similarité partout (Avis de valeur!K23:K30)</t>
  </si>
  <si>
    <t>La pondération ne joue plus, la moyenne devient arithmétique et le comparable le moins ressemblant pèse autant que le meilleur. Descendez à 50 ou 60 dès qu'une vente est moyennement comparable.</t>
  </si>
  <si>
    <t>Prendre la valeur centrale pour un prix</t>
  </si>
  <si>
    <t>C'est le milieu d'une fourchette, pas un prix de vente. Présentez la fourchette, et dites de quoi dépend le fait d'être en haut ou en bas : état, étage, vue, travaux votés.</t>
  </si>
  <si>
    <t>Recaler un coefficient dans une formule plutôt que dans le Référentiel</t>
  </si>
  <si>
    <t>Le classeur redevient une boîte noire et la mise à jour suivante l'écrase. Toutes les formules pointent vers le Référentiel, sans exception.</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</si>
  <si>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</si>
  <si>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</si>
  <si>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Avis de valeur par comparaison</t>
  </si>
  <si>
    <t>Cinq ventes au minimum, des ajustements explicites, une fourchette large comme la dispersion des comparables.</t>
  </si>
  <si>
    <t>Cellules violettes : à remplir.  Cellules blanches : calculées automatiquement.</t>
  </si>
  <si>
    <t xml:space="preserve">  LE BIEN À ÉVALUER</t>
  </si>
  <si>
    <t>Adresse</t>
  </si>
  <si>
    <t>22 rue de la République</t>
  </si>
  <si>
    <t>Pour votre dossier. N'entre dans aucun calcul.</t>
  </si>
  <si>
    <t>Type de bien</t>
  </si>
  <si>
    <t>Appartement</t>
  </si>
  <si>
    <t>Liste. Pilote la grille de valeur verte du DPE (Référentiel!C13 et suivantes) : les écarts mesurés sont deux fois plus forts sur une maison.</t>
  </si>
  <si>
    <t>Surface habitable</t>
  </si>
  <si>
    <t>Surface habitable au sens de la loi Boutin, annexes pondérées à part. Toute la valeur en dépend.</t>
  </si>
  <si>
    <t>État</t>
  </si>
  <si>
    <t>Bon</t>
  </si>
  <si>
    <t>Liste de quatre crans. Un cran d'écart vaut le coefficient d'état du Référentiel.</t>
  </si>
  <si>
    <t>Étage</t>
  </si>
  <si>
    <t>0 pour un rez-de-chaussée, négatif en sous-sol. Bornes de saisie en Référentiel!C41 et Référentiel!C42.</t>
  </si>
  <si>
    <t>Extérieur (1 = oui, 0 = non)</t>
  </si>
  <si>
    <t>Balcon, terrasse ou jardin. Un extérieur exceptionnel se traite dans la similarité.</t>
  </si>
  <si>
    <t>Étiquette DPE</t>
  </si>
  <si>
    <t>D</t>
  </si>
  <si>
    <t>Liste de A à G. La lettre, pas le rang : la grille de valeur verte n'est pas linéaire.</t>
  </si>
  <si>
    <t>Stationnement (1 = oui, 0 = non)</t>
  </si>
  <si>
    <t>Place, box ou garage privatif compris dans la vente.</t>
  </si>
  <si>
    <t>Ascenseur (1 = oui, 0 = non)</t>
  </si>
  <si>
    <t>Sans ascenseur, un étage élevé devient une décote : le sens de l'ajustement d'étage s'inverse.</t>
  </si>
  <si>
    <t>Date de l'avis</t>
  </si>
  <si>
    <t>Vraie date (jj/mm/aaaa). Elle pilote toute la dérive de marché : ne la laissez jamais vide.</t>
  </si>
  <si>
    <t>Saisies du bien</t>
  </si>
  <si>
    <t>Nomme la première saisie manquante ou hors bornes. Tant qu'elle en signale une, aucun ajustement n'est calculé.</t>
  </si>
  <si>
    <t>Le bien est complet</t>
  </si>
  <si>
    <t>À CORRIGER : la ligne au-dessus nomme le champ en cause. Les comparables ne peuvent pas être ajustés sans les caractéristiques du bien.</t>
  </si>
  <si>
    <t xml:space="preserve">  LES VENTES COMPARABLES</t>
  </si>
  <si>
    <t>Date de vente</t>
  </si>
  <si>
    <t>Prix net vendeur</t>
  </si>
  <si>
    <t>Surface</t>
  </si>
  <si>
    <t>Extérieur (1/0)</t>
  </si>
  <si>
    <t>DPE</t>
  </si>
  <si>
    <t>Stationnement (1/0)</t>
  </si>
  <si>
    <t>Similarité (0 à 100)</t>
  </si>
  <si>
    <t>Prix €/m²</t>
  </si>
  <si>
    <t>Ajustement</t>
  </si>
  <si>
    <t>€/m² ajusté</t>
  </si>
  <si>
    <t>Poids retenu</t>
  </si>
  <si>
    <t>12 rue des Lilas</t>
  </si>
  <si>
    <t>4 avenue du Parc</t>
  </si>
  <si>
    <t>Refait</t>
  </si>
  <si>
    <t>C</t>
  </si>
  <si>
    <t>27 rue Victor Hugo</t>
  </si>
  <si>
    <t>À rafraîchir</t>
  </si>
  <si>
    <t>E</t>
  </si>
  <si>
    <t>8 place Carnot</t>
  </si>
  <si>
    <t>15 rue Pasteur</t>
  </si>
  <si>
    <t>À rénover</t>
  </si>
  <si>
    <t>F</t>
  </si>
  <si>
    <t>31 boulevard Gambetta</t>
  </si>
  <si>
    <t xml:space="preserve">  LE PANEL DE COMPARABLES</t>
  </si>
  <si>
    <t>Comparables renseignés</t>
  </si>
  <si>
    <t>Lignes du tableau où au moins une cellule violette est remplie.</t>
  </si>
  <si>
    <t>Ceux qui entrent réellement dans la moyenne, et eux seuls. Minimum exigé en Référentiel!C33.</t>
  </si>
  <si>
    <t>Dont lignes à compléter</t>
  </si>
  <si>
    <t>Une saisie manque ou sort de ses bornes. Ces lignes n'entrent pas dans la moyenne et la valeur n'est pas produite tant qu'elles sont là.</t>
  </si>
  <si>
    <t>Dont comparables écartés</t>
  </si>
  <si>
    <t>Ajustement au-delà du plafond, ou vente trop ancienne. La ligne est complète, mais le modèle refuse de s'en servir : son statut dit lequel des deux motifs s'applique.</t>
  </si>
  <si>
    <t>Première ligne à compléter</t>
  </si>
  <si>
    <t>Nomme le comparable et le champ en cause. C'est le garde-fou de la saisie oubliée.</t>
  </si>
  <si>
    <t>Toutes les lignes renseignées sont exploitables</t>
  </si>
  <si>
    <t>À CORRIGER : complétez la ligne nommée juste au-dessus, puis relisez ce contrôle.</t>
  </si>
  <si>
    <t>Prix au m² moyen des lignes saisies</t>
  </si>
  <si>
    <t>Moyenne simple des prix au m² avant tout ajustement, sur les lignes exploitables. Sert au seul contrôle de cohérence ci-dessous : ce n'est pas le prix au m² retenu.</t>
  </si>
  <si>
    <t>Écart maximal au prix au m² moyen</t>
  </si>
  <si>
    <t>Écart de la ligne la plus éloignée de cette moyenne. Seuil de signalement en Référentiel!C40.</t>
  </si>
  <si>
    <t>Cohérence des prix saisis</t>
  </si>
  <si>
    <t>Nomme la ligne dont le prix au m² s'écarte le plus du panel, quand elle dépasse le seuil.</t>
  </si>
  <si>
    <t>Prix saisis cohérents entre eux</t>
  </si>
  <si>
    <t>À VÉRIFIER : une ligne s'écarte fortement du panel. Le plus souvent un prix tapé en milliers, une surface qui n'est pas celle du bien vendu, ou une vente qui n'appartient pas au même marché. Ce contrôle signale, il ne bloque rien.</t>
  </si>
  <si>
    <t>Part de la plus forte similarité dans le total des poids. Plafond en Référentiel!C34 : au-delà, une seule vente ferait la valeur.</t>
  </si>
  <si>
    <t xml:space="preserve">  PRIX AU M² ET DISPERSION</t>
  </si>
  <si>
    <t>Moyenne des prix au m² ajustés, pondérée par la similarité. À confronter au prix médian du quartier (base DVF, chiffres des notaires) avant de conclure.</t>
  </si>
  <si>
    <t>Le plus bas des prix au m² ajustés</t>
  </si>
  <si>
    <t>Parmi les comparables retenus seulement.</t>
  </si>
  <si>
    <t>Le plus haut des prix au m² ajustés</t>
  </si>
  <si>
    <t>L'écart entre ce chiffre et le précédent est la première chose que regarde un contradicteur.</t>
  </si>
  <si>
    <t>Écart type pondéré des prix au m² ajustés</t>
  </si>
  <si>
    <t>Dispersion du panel une fois les ajustements faits, pondérée par la similarité et corrigée du biais de petit échantillon.</t>
  </si>
  <si>
    <t>Écart type rapporté au prix au m² retenu. Seuil d'alerte en Référentiel!C39.</t>
  </si>
  <si>
    <t>Demi-fourchette retenue</t>
  </si>
  <si>
    <t>Ce qu'on retranche puis ce qu'on ajoute à la valeur centrale : la fourchette fait donc deux fois ce pourcentage. Le plus élevé du plancher (Référentiel!C37) et du coefficient de variation.</t>
  </si>
  <si>
    <t>Ce que vaut cette fourchette</t>
  </si>
  <si>
    <t>La phrase à montrer au vendeur : elle dit sur quoi la largeur de la fourchette est fondée, et signale un échantillon trop faible pour la mesurer.</t>
  </si>
  <si>
    <t>Dispersion sous le seuil</t>
  </si>
  <si>
    <t>À JUSTIFIER : la dispersion dépasse le seuil du Référentiel, ou l'échantillon est trop faible pour la mesurer. La fourchette reste juste, mais elle est large : dites pourquoi au dossier. Ce contrôle mesure la dispersion, il ne juge pas l'écart brut entre le plus bas et le plus haut.</t>
  </si>
  <si>
    <t xml:space="preserve">  VALEUR ET FOURCHETTE</t>
  </si>
  <si>
    <t>Valeur centrale</t>
  </si>
  <si>
    <t>Prix au m² retenu multiplié par la surface habitable. Quand un verrou du modèle joue, elle affiche à la place l'un des quatre messages : Bien incomplet, Lignes à compléter, Trop peu de comparables, Un comparable domine. Le Mode d'emploi dit ce qui déclenche chacun et ce qui le lève.</t>
  </si>
  <si>
    <t>Bas de fourchette</t>
  </si>
  <si>
    <t>Valeur centrale moins la demi-fourchette.</t>
  </si>
  <si>
    <t>Haut de fourchette</t>
  </si>
  <si>
    <t>Valeur centrale plus la demi-fourchette.</t>
  </si>
  <si>
    <t>Fourchette à présenter</t>
  </si>
  <si>
    <t>C'est cette ligne qui se présente au vendeur, jamais la valeur centrale seule.</t>
  </si>
  <si>
    <t>Cet avis de valeur n'est pas une expertise en évaluation immobilière : des investigations complètes auraient pu conduire à des conclusions sensiblement différentes.</t>
  </si>
  <si>
    <t>Présentez la fourchette, jamais la valeur centrale seule. Un prix unique devient le plancher de la négociation dans la tête du vendeur, et le plafond dans celle de l'acquéreur.</t>
  </si>
  <si>
    <t>La fourchette, elle, ouvre la discussion sur les caractéristiques du bien, c'est-à-dire sur votre expertise.</t>
  </si>
  <si>
    <t>Tous les coefficients, barèmes et garde-fous du classeur, avec leur source et leur date. Aucun n'est recopié dans une formule.</t>
  </si>
  <si>
    <t>Valeur</t>
  </si>
  <si>
    <t>Source (organisme, texte, date)</t>
  </si>
  <si>
    <t>Mise à jour</t>
  </si>
  <si>
    <t>Commentaire</t>
  </si>
  <si>
    <t>Dérive du marché, sur un an</t>
  </si>
  <si>
    <t>Trimestrielle (indice Notaires INSEE)</t>
  </si>
  <si>
    <t>Ramenée au mois par le classeur, puis appliquée à l'ancienneté de chaque vente. Valeur par défaut prudente : la hausse France entière tous logements, plus basse que celle des seuls appartements. Recalez-la sur votre marché, négative en marché baissier.</t>
  </si>
  <si>
    <t xml:space="preserve">  VALEUR VERTE : ÉCART DE PRIX PAR ÉTIQUETTE DPE, PAR RAPPORT À UNE ÉTIQUETTE D</t>
  </si>
  <si>
    <t>Maison</t>
  </si>
  <si>
    <t>Origine de la valeur</t>
  </si>
  <si>
    <t>A</t>
  </si>
  <si>
    <t>Annuelle</t>
  </si>
  <si>
    <t>B</t>
  </si>
  <si>
    <t>Appartements : mesuré. Maisons : interpolé.</t>
  </si>
  <si>
    <t>Étiquette de référence de la grille : par construction, écart nul.</t>
  </si>
  <si>
    <t>Interpolé entre le C et le G mesurés : aucune valeur publiée pour cette étiquette.</t>
  </si>
  <si>
    <t>Interpolé entre le C et le G mesurés. La loi Climat et résilience du 22 août 2021 interdit la location des étiquettes G depuis le 1er janvier 2025 et celle des F au 1er janvier 2028 : l'écart se creuse à mesure que l'échéance approche.</t>
  </si>
  <si>
    <t>G</t>
  </si>
  <si>
    <t>Mesuré pour les deux : moins 12 % en appartement, moins 25 % en maison.</t>
  </si>
  <si>
    <t>Les en-têtes « Appartement » et « Maison » alimentent aussi la liste du type de bien.</t>
  </si>
  <si>
    <t xml:space="preserve">  REPÈRES DE MARCHÉ, À RECALER SUR VOTRE SECTEUR</t>
  </si>
  <si>
    <t>Écart d'un cran d'état</t>
  </si>
  <si>
    <t>Un cran sépare deux libellés voisins de la liste. Trois crans séparent « À rénover » de « Refait », donc trois fois ce coefficient, quelle que soit la valeur que vous y mettez.</t>
  </si>
  <si>
    <t>Écart d'un étage</t>
  </si>
  <si>
    <t>Le sens s'inverse automatiquement quand le bien n'a pas d'ascenseur. Valeur par défaut plutôt basse : les relevés de province donnent jusqu'à 2 % par étage.</t>
  </si>
  <si>
    <t>Présence d'un extérieur</t>
  </si>
  <si>
    <t>Balcon, terrasse ou jardin, contre rien. Valeur par défaut en bas de fourchette : très local, à recaler.</t>
  </si>
  <si>
    <t>Présence d'un stationnement</t>
  </si>
  <si>
    <t>Le coefficient le plus local de la grille. Nul en périphérie, décisif en centre-ville.</t>
  </si>
  <si>
    <t>Écart entre un prix affiché et le prix net vendeur</t>
  </si>
  <si>
    <t>Ce que gonfle une ligne saisie honoraires comprises ou droits compris, au lieu du prix net vendeur attendu. Ce repère ne sert à aucun calcul : il chiffre l'erreur de saisie la plus coûteuse et la moins visible du classeur, celle qu'aucun contrôle ne peut détecter.</t>
  </si>
  <si>
    <t xml:space="preserve">  CONVENTIONS ET GARDE-FOUS DU MODÈLE</t>
  </si>
  <si>
    <t>Ajustement au-delà duquel un comparable est signalé comme éloigné</t>
  </si>
  <si>
    <t>Stable</t>
  </si>
  <si>
    <t>Au-delà, la vente reste retenue, mais elle ressemble déjà peu au bien. Un panel dont toutes les lignes dépassent ce seuil n'est pas un panel : cherchez d'autres ventes.</t>
  </si>
  <si>
    <t>Ajustement total maximal admis par comparable</t>
  </si>
  <si>
    <t>Au-delà, le bien n'est pas comparable : la ligne est écartée et son statut le dit.</t>
  </si>
  <si>
    <t>Nombre minimal de comparables retenus</t>
  </si>
  <si>
    <t>En dessous, aucune valeur n'est produite. Ce sont les comparables réellement retenus qui comptent, pas les lignes saisies.</t>
  </si>
  <si>
    <t>Poids maximal d'un comparable dans la moyenne</t>
  </si>
  <si>
    <t>Empêche qu'une seule vente fasse la valeur.</t>
  </si>
  <si>
    <t>Ancienneté maximale d'une vente comparable</t>
  </si>
  <si>
    <t>Au-delà, la vente est écartée : une dérive linéaire appliquée sur une ancienneté pareille n'a plus de sens de marché. Resserrez à 12 mois sur un marché qui bouge vite.</t>
  </si>
  <si>
    <t>Nombre minimal de comparables pour mesurer une dispersion</t>
  </si>
  <si>
    <t>En dessous, l'écart type n'a pas de sens : le classeur le dit et bascule sur la demi-fourchette de repli, au lieu d'afficher une précision qu'il n'a pas.</t>
  </si>
  <si>
    <t>Demi-fourchette : plancher</t>
  </si>
  <si>
    <t>Des comparables presque identiques donneraient une fourchette quasi nulle : ce plancher évite d'afficher une fausse précision.</t>
  </si>
  <si>
    <t>Demi-fourchette de repli, échantillon trop faible</t>
  </si>
  <si>
    <t>Appliquée quand le nombre de comparables ne permet pas de mesurer la dispersion. Large à dessein : une fourchette étroite sur deux ventes ne se défend pas.</t>
  </si>
  <si>
    <t>Dispersion au-delà de laquelle le panel est jugé hétérogène</t>
  </si>
  <si>
    <t>Coefficient de variation des prix au m² ajustés. Au-delà, le contrôle de dispersion passe au rouge : resserrez la sélection ou justifiez la largeur de la fourchette au dossier.</t>
  </si>
  <si>
    <t>Écart au prix au m² moyen au-delà duquel une ligne est signalée</t>
  </si>
  <si>
    <t>Contrôle de cohérence des prix saisis, avant tout ajustement. Il repère un prix tapé en milliers ou la surface d'un autre bien. Il ne détecte pas un prix honoraires comprises, qui n'ajoute que quelques points : contre celui-là, seule la consigne de saisie protège.</t>
  </si>
  <si>
    <t>Borne de saisie : étage le plus bas admis</t>
  </si>
  <si>
    <t>Sans objet</t>
  </si>
  <si>
    <t>Deux niveaux de sous-sol. 0 pour un rez-de-chaussée.</t>
  </si>
  <si>
    <t>Borne de saisie : étage le plus haut admis</t>
  </si>
  <si>
    <t>Borne de saisie : similarité maximale</t>
  </si>
  <si>
    <t>La similarité se saisit de 0 à cette borne. Une similarité nulle vaut exclusion, et le statut de la ligne le dit.</t>
  </si>
  <si>
    <t xml:space="preserve">  LISTES DÉROULANTES ET LIBELLÉS DE STATUT</t>
  </si>
  <si>
    <t>État (liste du bien et des comparables)</t>
  </si>
  <si>
    <t>Étiquette DPE (liste)</t>
  </si>
  <si>
    <t>Libellés de statut de ligne</t>
  </si>
  <si>
    <t>Retenu</t>
  </si>
  <si>
    <t>L'ordre de la liste des états porte le calcul : un cran d'écart entre deux libellés voisins vaut le coefficient d'état ci-dessus.</t>
  </si>
  <si>
    <t>Écarté</t>
  </si>
  <si>
    <t>Les étiquettes DPE sont lues dans la grille de valeur verte : la lettre, jamais un rang.</t>
  </si>
  <si>
    <t>À compléter</t>
  </si>
  <si>
    <t>Les formules du tableau des comparables testent ces trois libellés : ne les modifiez pas sans relire l'onglet Méthode.</t>
  </si>
  <si>
    <t xml:space="preserve">  MILLÉSIME</t>
  </si>
  <si>
    <t>Dernière vérification du référentiel</t>
  </si>
  <si>
    <t>Aucun de ces coefficients n'est recopié dans une formule : toutes pointent ici.</t>
  </si>
  <si>
    <t>À chaque recalage</t>
  </si>
  <si>
    <t>Cette date s'affiche dans chaque libellé de source, ici et dans l'onglet Méthode : une seule cellule à changer.</t>
  </si>
  <si>
    <t>Ces valeurs sont volontairement isolées ici. Un modèle qui enfouit ses coefficients dans ses formules devient faux dès que le marché bouge, sans que personne ne s'en aperçoive.</t>
  </si>
  <si>
    <t>Un vendeur qui voit le référentiel discute le référentiel, pas votre honnêteté : c'est la raison d'être de cet onglet.</t>
  </si>
  <si>
    <t>Méthode de calcul</t>
  </si>
  <si>
    <t>Ce que le modèle fait, ce qu'il ne fait pas, et sur quelles sources reposent ses chiffres.</t>
  </si>
  <si>
    <t xml:space="preserve">  CONVENTIONS RETENUES, ET CE QU'ELLES COÛTENT</t>
  </si>
  <si>
    <t>Sens des ajustements</t>
  </si>
  <si>
    <t>On corrige le comparable POUR LE RENDRE SEMBLABLE au bien évalué. Si le comparable est en meilleur état, son prix est tiré vers le bas ; s'il est moins bien situé dans l'immeuble, vers le haut. L'erreur classique est d'inverser le signe, ce qui double l'écart au lieu de l'annuler, d'où l'affichage explicite de l'ajustement en pourcentage signé.</t>
  </si>
  <si>
    <t>Le classeur ne raisonne plus par rang mais par étiquette, et lit l'écart de prix de chaque lettre dans la grille de valeur verte du Référentiel : l'ajustement vaut la prime de l'étiquette du bien moins celle du comparable. C'est ce qui permet de respecter la non-linéarité mesurée par les notaires, invisible dans un coefficient unique par lettre : entre A et D l'écart mesuré est de 16 points en appartement, entre D et G de 12 points, et de 25 points sur une maison. La grille dépend donc du type de bien saisi.</t>
  </si>
  <si>
    <t>Dérive du marché</t>
  </si>
  <si>
    <t>Une vente de dix mois ne vaut pas une vente d'un mois. La dérive se saisit sur un an dans le Référentiel, avec sa source, et le classeur la ramène au mois (division par 12) avant de l'appliquer à l'ancienneté de chaque vente. En marché baissier, elle est négative.</t>
  </si>
  <si>
    <t>Ancienneté d'une vente</t>
  </si>
  <si>
    <t>Nombre de jours entre la vente et la date de l'avis, divisé par 365,25 / 12, soit 30,44 jours par mois : la convention de l'année civile moyenne, bissextiles comprises. Au-delà de l'ancienneté maximale du Référentiel, aujourd'hui de 24 mois, la vente est écartée et son statut le dit : une dérive linéaire appliquée sur une durée pareille ne décrit plus un marché. La date de l'avis est aussi la borne haute : une vente postérieure à elle met la ligne à compléter et bloque la conclusion.</t>
  </si>
  <si>
    <t>Le prix saisi</t>
  </si>
  <si>
    <t>Le classeur attend, pour chaque vente, le prix net vendeur : le prix porté à l'acte, hors droits de mutation et hors honoraires d'agence. C'est celui que donne la base DVF. Un prix relevé sur une annonce est le plus souvent honoraires comprises, et un prix annoncé comme acte en main comprend les frais d'acquisition : les deux gonflent la ligne de l'ordre du repère inscrit dans le Référentiel. Ce que cela coûte : un panel qui mélange les deux conventions gonfle deux fois, la valeur et la dispersion qui fixe la fourchette. Le contrôle de cohérence des prix repère une ligne manifestement hors du panel, jamais un écart de quelques points : sur celui-là, seule la consigne de saisie protège.</t>
  </si>
  <si>
    <t>Pondération</t>
  </si>
  <si>
    <t>La similarité est saisie par vous, de 0 à 100. C'est le seul endroit où votre jugement entre, et c'est assumé : aucun algorithme ne sait qu'une des deux ventes s'est faite entre voisins.</t>
  </si>
  <si>
    <t>Ce qui exclut un comparable</t>
  </si>
  <si>
    <t>Trois familles de motifs, toutes nommées dans la colonne Statut de la ligne. Une saisie manquante ou hors bornes : la ligne est à compléter et le classeur refuse de conclure tant qu'elle est là. Un ajustement au-delà du plafond, ou une vente trop ancienne : la ligne est écartée, le calcul continue sans elle. Une similarité nulle : elle vaut exclusion, et c'est écrit plutôt que subi. Le compteur « Comparables retenus » ne compte que les lignes qui entrent réellement dans la moyenne.</t>
  </si>
  <si>
    <t>Les trois verrous</t>
  </si>
  <si>
    <t>Sous le nombre minimal de comparables retenus, aucune valeur n'est produite. Si un comparable pèse plus que le poids maximal du Référentiel, le modèle refuse également de conclure. Un comparable dont l'ajustement dépasse le plafond est écarté automatiquement. Les trois seuils vivent dans le Référentiel, et le classeur affiche le motif de son refus plutôt qu'un chiffre. Quatre messages peuvent ainsi remplacer la valeur centrale, dans l'ordre où ils se corrigent : Bien incomplet, Lignes à compléter, Trop peu de comparables, Un comparable domine.</t>
  </si>
  <si>
    <t>Ajustements additifs</t>
  </si>
  <si>
    <t>Les corrections s'additionnent puis s'appliquent en une fois au prix au m² : un total de -10 % signifie que le comparable est ramené à 90 % de son prix. Choix volontaire de lisibilité. Une composition multiplicative donnerait un résultat très proche sur des ajustements de cet ordre.</t>
  </si>
  <si>
    <t>Dispersion et fourchette</t>
  </si>
  <si>
    <t>La fourchette n'est pas une convention : elle est mesurée. Le classeur calcule l'écart type des prix au m² ajustés des comparables retenus, pondéré par la similarité, puis le corrige par la racine de n / (n - 1) parce qu'un écart type de population sous-estime la dispersion réelle quand l'échantillon est petit. Le coefficient de variation qui en découle devient la demi-fourchette, avec un plancher pour ne pas afficher une fausse précision sur des comparables presque identiques. Ce que cela coûte : la fourchette s'élargit quand le panel est hétérogène, et cela se voit. C'est le prix de l'honnêteté, et c'est ce qu'un contradicteur vous demandera de justifier.</t>
  </si>
  <si>
    <t>Échantillon trop faible</t>
  </si>
  <si>
    <t>En dessous du nombre minimal de comparables pour mesurer une dispersion, l'écart type n'a pas de sens statistique. Le classeur l'écrit et applique la demi-fourchette de repli du Référentiel, volontairement large. Une fourchette étroite calculée sur deux ventes ne se défend devant personne.</t>
  </si>
  <si>
    <t>Intégrité des dates</t>
  </si>
  <si>
    <t>Les dates de vente doivent être de vraies dates, pas du texte. Elles alimentent la dérive de marché et l'ancienneté. Une date non reconnue, une date vide ou une vente postérieure à la date de l'avis mettent la ligne à compléter, et le classeur refuse de conclure plutôt que d'appliquer une dérive nulle en silence.</t>
  </si>
  <si>
    <t>Taux et pourcentages</t>
  </si>
  <si>
    <t>Tous les coefficients sont des fractions affichées en pourcentage : tapez 6 dans une cellule de coefficient, elle affiche 6,00 % et contient 0,06. Aucune formule ne divise par 100. La similarité fait exception : c'est une note de 0 à 100, pas un taux.</t>
  </si>
  <si>
    <t>Ascenseur</t>
  </si>
  <si>
    <t>La présence d'un ascenseur est saisie pour le bien évalué et supposée identique dans les immeubles comparables. C'est la contrepartie de l'exigence de comparabilité : si l'un des comparables est dans un immeuble sans ascenseur alors que le bien en a un, écartez-le plutôt que de le corriger.</t>
  </si>
  <si>
    <t>Surface : le manque principal</t>
  </si>
  <si>
    <t>La grille ne corrige pas les écarts de surface, alors que le prix au m² décroît avec la taille du bien. Sur des comparables très dispersés en surface, le résultat est biaisé. Aucun barème officiel ne chiffre cette dégressivité : mesurez-la sur vos propres ventes, ou resserrez la sélection à plus ou moins 10 % de la surface du bien évalué.</t>
  </si>
  <si>
    <t>Rez-de-chaussée</t>
  </si>
  <si>
    <t>La décote de rez-de-chaussée n'est pas linéaire et n'est donc pas traitée par le coefficient d'étage. Corrigez-la à la main dans la similarité, ou écartez le comparable.</t>
  </si>
  <si>
    <t>Annexes</t>
  </si>
  <si>
    <t>Balcon, terrasse, cave et garage sont ramenés à un extérieur binaire. Les usages de pondération de surface existent mais ne sont ni normés ni stables d'un marché à l'autre : pondérez vos annexes avant de saisir la surface, et notez la règle que vous avez retenue.</t>
  </si>
  <si>
    <t xml:space="preserve">  CE QUE CE MODÈLE NE FAIT PAS</t>
  </si>
  <si>
    <t>•  Il ne remplace pas une visite. Aucune grille ne voit une vue, un vis-à-vis ou une nuisance.</t>
  </si>
  <si>
    <t>•  Il ne traite pas les biens atypiques, pour lesquels la comparaison n'a pas de sens.</t>
  </si>
  <si>
    <t>•  Il ne vaut rien sans comparables réels : des ventes inventées produisent une valeur inventée.</t>
  </si>
  <si>
    <t>•  Il ne corrige pas les écarts de surface, alors que le prix au m² décroît avec la taille du bien.</t>
  </si>
  <si>
    <t>•  Il n'intègre ni les charges de copropriété, ni les travaux votés, qui pèsent lourd sur un appartement.</t>
  </si>
  <si>
    <t>•  Il suppose l'ascenseur des immeubles comparables identique à celui du bien évalué.</t>
  </si>
  <si>
    <t>•  Il ne hiérarchise pas les sources : une vente signée, une offre et une annonce y pèsent pareil, alors que la norme professionnelle les classe. Plafonnez la similarité d'une simple annonce.</t>
  </si>
  <si>
    <t>•  Ce n'est pas une expertise en évaluation immobilière : des investigations complètes auraient pu conduire à des conclusions sensiblement différentes.</t>
  </si>
  <si>
    <t xml:space="preserve">  SOURCES (LUES DANS LE RÉFÉRENTIEL, COLONNE F POUR LA GRILLE DPE)</t>
  </si>
  <si>
    <t>Incertitude et fourchette</t>
  </si>
  <si>
    <t>RICS, Comparable evidence in real estate valuation, 1re édition d'octobre 2019, norme professionnelle depuis avril 2023, § 7 et § 4.6 (hiérarchie des preuves : transaction achevée, puis offre, puis indice) ; Red Book, VPS 3, 2.2 o.</t>
  </si>
  <si>
    <t>Mention obligatoire d'une estimation allégée</t>
  </si>
  <si>
    <t>Charte de l'expertise en évaluation immobilière, 6e édition de novembre 2025, page 32 : une estimation allégée est accompagnée d'une mention écrite précisant qu'il ne s'agit pas d'une expertise en évaluation immobilière et que des investigations complètes auraient pu conduire à des conclusions sensiblement différentes.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</si>
</sst>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0" formatCode="#,##0&quot; m²&quot;"/>
    <numFmt numFmtId="172" formatCode="dd/mm/yyyy;@"/>
    <numFmt numFmtId="173" formatCode="#,##0&quot; €&quot;"/>
    <numFmt numFmtId="174" formatCode="#,##0&quot; €/m²&quot;;\-#,##0&quot; €/m²&quot;;&quot;&quot;"/>
    <numFmt numFmtId="175" formatCode="\+0.0%;\-0.0%;&quot;&quot;"/>
    <numFmt numFmtId="176" formatCode="#,##0;\-#,##0;&quot;&quot;"/>
    <numFmt numFmtId="177" formatCode="#,##0&quot; €/m²&quot;"/>
    <numFmt numFmtId="178" formatCode="0&quot; mois&quot;"/>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FFFFF"/>
      </patternFill>
    </fill>
    <fill>
      <patternFill patternType="solid">
        <fgColor rgb="FFF8F6FC"/>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49" fontId="6" fillId="3" borderId="1" xfId="0" applyNumberFormat="1" applyFont="1" applyFill="1" applyBorder="1" applyAlignment="1" applyProtection="1">
      <alignment horizontal="left" vertical="center"/>
      <protection locked="0"/>
    </xf>
    <xf numFmtId="170" fontId="6" fillId="3" borderId="1" xfId="0" applyNumberFormat="1" applyFont="1" applyFill="1" applyBorder="1" applyAlignment="1" applyProtection="1">
      <alignment horizontal="right" vertical="center"/>
      <protection locked="0"/>
    </xf>
    <xf numFmtId="3" fontId="6" fillId="3" borderId="1" xfId="0" applyNumberFormat="1" applyFont="1" applyFill="1" applyBorder="1" applyAlignment="1" applyProtection="1">
      <alignment horizontal="right" vertical="center"/>
      <protection locked="0"/>
    </xf>
    <xf numFmtId="172" fontId="6" fillId="3" borderId="1" xfId="0" applyNumberFormat="1" applyFont="1" applyFill="1" applyBorder="1" applyAlignment="1" applyProtection="1">
      <alignment horizontal="right" vertical="center"/>
      <protection locked="0"/>
    </xf>
    <xf numFmtId="49" fontId="5" fillId="4" borderId="0" xfId="0" applyNumberFormat="1" applyFont="1" applyFill="1" applyAlignment="1">
      <alignment horizontal="right" vertical="center"/>
    </xf>
    <xf numFmtId="0" fontId="7" fillId="0" borderId="1" xfId="0" applyFont="1" applyBorder="1" applyAlignment="1">
      <alignment horizontal="center" vertical="center"/>
    </xf>
    <xf numFmtId="0" fontId="1" fillId="2" borderId="0" xfId="0" applyFont="1" applyFill="1" applyAlignment="1">
      <alignment horizontal="center" vertical="center" wrapText="1"/>
    </xf>
    <xf numFmtId="173" fontId="6" fillId="3" borderId="1" xfId="0" applyNumberFormat="1" applyFont="1" applyFill="1" applyBorder="1" applyAlignment="1" applyProtection="1">
      <alignment horizontal="right" vertical="center"/>
      <protection locked="0"/>
    </xf>
    <xf numFmtId="174" fontId="5" fillId="4" borderId="0" xfId="0" applyNumberFormat="1" applyFont="1" applyFill="1" applyAlignment="1">
      <alignment horizontal="right" vertical="center"/>
    </xf>
    <xf numFmtId="175" fontId="5" fillId="4" borderId="0" xfId="0" applyNumberFormat="1" applyFont="1" applyFill="1" applyAlignment="1">
      <alignment horizontal="right" vertical="center"/>
    </xf>
    <xf numFmtId="176" fontId="5" fillId="4" borderId="0" xfId="0" applyNumberFormat="1" applyFont="1" applyFill="1" applyAlignment="1">
      <alignment horizontal="right" vertical="center"/>
    </xf>
    <xf numFmtId="49" fontId="5" fillId="4" borderId="0" xfId="0" applyNumberFormat="1" applyFont="1" applyFill="1" applyAlignment="1">
      <alignment horizontal="left" vertical="center"/>
    </xf>
    <xf numFmtId="3" fontId="5" fillId="4" borderId="0" xfId="0" applyNumberFormat="1" applyFont="1" applyFill="1" applyAlignment="1">
      <alignment horizontal="right" vertical="center"/>
    </xf>
    <xf numFmtId="0" fontId="7" fillId="0" borderId="0" xfId="0" applyFont="1" applyAlignment="1">
      <alignment horizontal="left" vertical="center"/>
    </xf>
    <xf numFmtId="3" fontId="8" fillId="5" borderId="1" xfId="0" applyNumberFormat="1" applyFont="1" applyFill="1" applyBorder="1" applyAlignment="1">
      <alignment horizontal="right" vertical="center"/>
    </xf>
    <xf numFmtId="177" fontId="5" fillId="4" borderId="0" xfId="0" applyNumberFormat="1" applyFont="1" applyFill="1" applyAlignment="1">
      <alignment horizontal="right" vertical="center"/>
    </xf>
    <xf numFmtId="10" fontId="5" fillId="4" borderId="0" xfId="0" applyNumberFormat="1" applyFont="1" applyFill="1" applyAlignment="1">
      <alignment horizontal="right" vertical="center"/>
    </xf>
    <xf numFmtId="177" fontId="7" fillId="5" borderId="1" xfId="0" applyNumberFormat="1" applyFont="1" applyFill="1" applyBorder="1" applyAlignment="1">
      <alignment horizontal="right" vertical="center"/>
    </xf>
    <xf numFmtId="173" fontId="8" fillId="5" borderId="1" xfId="0" applyNumberFormat="1" applyFont="1" applyFill="1" applyBorder="1" applyAlignment="1">
      <alignment horizontal="right" vertical="center"/>
    </xf>
    <xf numFmtId="173" fontId="7" fillId="5" borderId="1" xfId="0" applyNumberFormat="1" applyFont="1" applyFill="1" applyBorder="1" applyAlignment="1">
      <alignment horizontal="right" vertical="center"/>
    </xf>
    <xf numFmtId="49" fontId="7" fillId="5" borderId="1" xfId="0" applyNumberFormat="1" applyFont="1" applyFill="1" applyBorder="1" applyAlignment="1">
      <alignment horizontal="right" vertical="center"/>
    </xf>
    <xf numFmtId="0" fontId="5" fillId="0" borderId="0" xfId="0" applyFont="1"/>
    <xf numFmtId="10" fontId="6" fillId="3" borderId="1" xfId="0" applyNumberFormat="1" applyFont="1" applyFill="1" applyBorder="1" applyAlignment="1" applyProtection="1">
      <alignment horizontal="right" vertical="center"/>
      <protection locked="0"/>
    </xf>
    <xf numFmtId="0" fontId="4" fillId="0" borderId="0" xfId="0" applyFont="1" applyAlignment="1">
      <alignment horizontal="left" vertical="top" wrapText="1"/>
    </xf>
    <xf numFmtId="178" fontId="6" fillId="3" borderId="1" xfId="0" applyNumberFormat="1" applyFont="1" applyFill="1" applyBorder="1" applyAlignment="1" applyProtection="1">
      <alignment horizontal="right" vertical="center"/>
      <protection locked="0"/>
    </xf>
    <xf numFmtId="0" fontId="5"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1" fillId="2" borderId="0" xfId="0" applyFont="1" applyFill="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vertical="top" wrapText="1"/>
    </xf>
  </cellXfs>
  <cellStyles count="1">
    <cellStyle name="Normal" xfId="0" builtinId="0"/>
  </cellStyles>
  <dxfs count="8">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13001625" y="311150"/>
    <xdr:ext cx="1685925" cy="419100"/>
    <xdr:pic>
      <xdr:nvPicPr>
        <xdr:cNvPr id="2" name="Logo CorpusImmo" descr="CorpusImmo, www.corpus.immo"/>
        <xdr:cNvPicPr>
          <a:picLocks noChangeAspect="1"/>
        </xdr:cNvPicPr>
      </xdr:nvPicPr>
      <xdr:blipFill>
        <a:blip r:embed="rId1"/>
        <a:stretch>
          <a:fillRect/>
        </a:stretch>
      </xdr:blipFill>
      <xdr:spPr>
        <a:xfrm>
          <a:off x="13001625"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9991725" y="311150"/>
    <xdr:ext cx="1685925" cy="419100"/>
    <xdr:pic>
      <xdr:nvPicPr>
        <xdr:cNvPr id="2" name="Logo CorpusImmo" descr="CorpusImmo, www.corpus.immo"/>
        <xdr:cNvPicPr>
          <a:picLocks noChangeAspect="1"/>
        </xdr:cNvPicPr>
      </xdr:nvPicPr>
      <xdr:blipFill>
        <a:blip r:embed="rId1"/>
        <a:stretch>
          <a:fillRect/>
        </a:stretch>
      </xdr:blipFill>
      <xdr:spPr>
        <a:xfrm>
          <a:off x="9991725"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8515350" y="311150"/>
    <xdr:ext cx="1685925" cy="419100"/>
    <xdr:pic>
      <xdr:nvPicPr>
        <xdr:cNvPr id="2" name="Logo CorpusImmo" descr="CorpusImmo, www.corpus.immo"/>
        <xdr:cNvPicPr>
          <a:picLocks noChangeAspect="1"/>
        </xdr:cNvPicPr>
      </xdr:nvPicPr>
      <xdr:blipFill>
        <a:blip r:embed="rId1"/>
        <a:stretch>
          <a:fillRect/>
        </a:stretch>
      </xdr:blipFill>
      <xdr:spPr>
        <a:xfrm>
          <a:off x="851535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2"/>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36" t="s">
        <v>4</v>
      </c>
      <c r="C7" s="37"/>
      <c r="D7" s="37"/>
      <c r="E7" s="37"/>
    </row>
    <row r="8" spans="2:6" ht="43.5" customHeight="1" x14ac:dyDescent="0.35">
      <c r="B8" s="36" t="s">
        <v>5</v>
      </c>
      <c r="C8" s="37"/>
      <c r="D8" s="37"/>
      <c r="E8" s="37"/>
    </row>
    <row r="9" spans="2:6" ht="30" customHeight="1" x14ac:dyDescent="0.35">
      <c r="B9" s="36" t="s">
        <v>6</v>
      </c>
      <c r="C9" s="37"/>
      <c r="D9" s="37"/>
      <c r="E9" s="37"/>
    </row>
    <row r="10" spans="2:6" ht="18" customHeight="1" x14ac:dyDescent="0.35">
      <c r="B10" s="5" t="s">
        <v>7</v>
      </c>
      <c r="C10" s="40" t="s">
        <v>8</v>
      </c>
      <c r="D10" s="37"/>
      <c r="E10" s="37"/>
    </row>
    <row r="11" spans="2:6" ht="16.5" customHeight="1" x14ac:dyDescent="0.35">
      <c r="B11" s="6" t="s">
        <v>9</v>
      </c>
      <c r="C11" s="38" t="s">
        <v>10</v>
      </c>
      <c r="D11" s="39"/>
      <c r="E11" s="39"/>
    </row>
    <row r="12" spans="2:6" ht="16.5" customHeight="1" x14ac:dyDescent="0.35">
      <c r="B12" s="6" t="s">
        <v>11</v>
      </c>
      <c r="C12" s="38" t="s">
        <v>12</v>
      </c>
      <c r="D12" s="39"/>
      <c r="E12" s="39"/>
    </row>
    <row r="13" spans="2:6" ht="30" customHeight="1" x14ac:dyDescent="0.35">
      <c r="B13" s="6" t="s">
        <v>13</v>
      </c>
      <c r="C13" s="38" t="s">
        <v>14</v>
      </c>
      <c r="D13" s="39"/>
      <c r="E13" s="39"/>
    </row>
    <row r="14" spans="2:6" ht="16.5" customHeight="1" x14ac:dyDescent="0.35">
      <c r="B14" s="6" t="s">
        <v>15</v>
      </c>
      <c r="C14" s="38" t="s">
        <v>16</v>
      </c>
      <c r="D14" s="39"/>
      <c r="E14" s="39"/>
    </row>
    <row r="15" spans="2:6" ht="16.5" customHeight="1" x14ac:dyDescent="0.35">
      <c r="B15" s="6" t="s">
        <v>17</v>
      </c>
      <c r="C15" s="38" t="s">
        <v>18</v>
      </c>
      <c r="D15" s="39"/>
      <c r="E15" s="39"/>
    </row>
    <row r="17" spans="2:5" ht="18" customHeight="1" x14ac:dyDescent="0.35">
      <c r="B17" s="1" t="s">
        <v>19</v>
      </c>
      <c r="C17" s="1"/>
      <c r="D17" s="1"/>
      <c r="E17" s="1"/>
    </row>
    <row r="18" spans="2:5" ht="28" customHeight="1" x14ac:dyDescent="0.35">
      <c r="B18" s="42" t="s">
        <v>20</v>
      </c>
      <c r="C18" s="37"/>
      <c r="D18" s="37"/>
      <c r="E18" s="37"/>
    </row>
    <row r="20" spans="2:5" ht="18" customHeight="1" x14ac:dyDescent="0.35">
      <c r="B20" s="1" t="s">
        <v>21</v>
      </c>
      <c r="C20" s="1"/>
      <c r="D20" s="1"/>
      <c r="E20" s="1"/>
    </row>
    <row r="21" spans="2:5" ht="18" customHeight="1" x14ac:dyDescent="0.35">
      <c r="B21" s="5" t="s">
        <v>22</v>
      </c>
      <c r="C21" s="5" t="s">
        <v>23</v>
      </c>
      <c r="D21" s="40" t="s">
        <v>24</v>
      </c>
      <c r="E21" s="37"/>
    </row>
    <row r="22" spans="2:5" ht="30" customHeight="1" x14ac:dyDescent="0.35">
      <c r="B22" s="6" t="s">
        <v>1</v>
      </c>
      <c r="C22" s="7" t="s">
        <v>25</v>
      </c>
      <c r="D22" s="38" t="s">
        <v>26</v>
      </c>
      <c r="E22" s="39"/>
    </row>
    <row r="23" spans="2:5" ht="57" customHeight="1" x14ac:dyDescent="0.35">
      <c r="B23" s="6" t="s">
        <v>27</v>
      </c>
      <c r="C23" s="7" t="s">
        <v>28</v>
      </c>
      <c r="D23" s="38" t="s">
        <v>29</v>
      </c>
      <c r="E23" s="39"/>
    </row>
    <row r="24" spans="2:5" ht="70.5" customHeight="1" x14ac:dyDescent="0.35">
      <c r="B24" s="6" t="s">
        <v>30</v>
      </c>
      <c r="C24" s="7" t="s">
        <v>31</v>
      </c>
      <c r="D24" s="38" t="s">
        <v>32</v>
      </c>
      <c r="E24" s="39"/>
    </row>
    <row r="25" spans="2:5" ht="16.5" customHeight="1" x14ac:dyDescent="0.35">
      <c r="B25" s="6" t="s">
        <v>33</v>
      </c>
      <c r="C25" s="7" t="s">
        <v>34</v>
      </c>
      <c r="D25" s="38" t="s">
        <v>35</v>
      </c>
      <c r="E25" s="39"/>
    </row>
    <row r="27" spans="2:5" ht="18" customHeight="1" x14ac:dyDescent="0.35">
      <c r="B27" s="1" t="s">
        <v>36</v>
      </c>
      <c r="C27" s="1"/>
      <c r="D27" s="1"/>
      <c r="E27" s="1"/>
    </row>
    <row r="28" spans="2:5" ht="18" customHeight="1" x14ac:dyDescent="0.35">
      <c r="B28" s="5" t="s">
        <v>37</v>
      </c>
      <c r="C28" s="5" t="s">
        <v>38</v>
      </c>
      <c r="D28" s="40" t="s">
        <v>39</v>
      </c>
      <c r="E28" s="37"/>
    </row>
    <row r="29" spans="2:5" ht="16.5" customHeight="1" x14ac:dyDescent="0.35">
      <c r="B29" s="6" t="s">
        <v>40</v>
      </c>
      <c r="C29" s="7" t="s">
        <v>41</v>
      </c>
      <c r="D29" s="38" t="s">
        <v>42</v>
      </c>
      <c r="E29" s="39"/>
    </row>
    <row r="30" spans="2:5" ht="16.5" customHeight="1" x14ac:dyDescent="0.35">
      <c r="B30" s="6" t="s">
        <v>43</v>
      </c>
      <c r="C30" s="7" t="s">
        <v>44</v>
      </c>
      <c r="D30" s="38" t="s">
        <v>45</v>
      </c>
      <c r="E30" s="39"/>
    </row>
    <row r="31" spans="2:5" ht="30" customHeight="1" x14ac:dyDescent="0.35">
      <c r="B31" s="6" t="s">
        <v>46</v>
      </c>
      <c r="C31" s="7" t="s">
        <v>47</v>
      </c>
      <c r="D31" s="38" t="s">
        <v>48</v>
      </c>
      <c r="E31" s="39"/>
    </row>
    <row r="32" spans="2:5" ht="30" customHeight="1" x14ac:dyDescent="0.35">
      <c r="B32" s="6" t="s">
        <v>49</v>
      </c>
      <c r="C32" s="7" t="s">
        <v>50</v>
      </c>
      <c r="D32" s="38" t="s">
        <v>51</v>
      </c>
      <c r="E32" s="39"/>
    </row>
    <row r="33" spans="2:5" ht="16.5" customHeight="1" x14ac:dyDescent="0.35">
      <c r="B33" s="6" t="s">
        <v>52</v>
      </c>
      <c r="C33" s="7" t="s">
        <v>53</v>
      </c>
      <c r="D33" s="38" t="s">
        <v>54</v>
      </c>
      <c r="E33" s="39"/>
    </row>
    <row r="34" spans="2:5" ht="30" customHeight="1" x14ac:dyDescent="0.35">
      <c r="B34" s="6" t="s">
        <v>55</v>
      </c>
      <c r="C34" s="7" t="s">
        <v>56</v>
      </c>
      <c r="D34" s="38" t="s">
        <v>57</v>
      </c>
      <c r="E34" s="39"/>
    </row>
    <row r="35" spans="2:5" ht="16.5" customHeight="1" x14ac:dyDescent="0.35">
      <c r="B35" s="6" t="s">
        <v>58</v>
      </c>
      <c r="C35" s="7" t="s">
        <v>59</v>
      </c>
      <c r="D35" s="38" t="s">
        <v>60</v>
      </c>
      <c r="E35" s="39"/>
    </row>
    <row r="36" spans="2:5" ht="30" customHeight="1" x14ac:dyDescent="0.35">
      <c r="B36" s="6" t="s">
        <v>61</v>
      </c>
      <c r="C36" s="7" t="s">
        <v>62</v>
      </c>
      <c r="D36" s="38" t="s">
        <v>63</v>
      </c>
      <c r="E36" s="39"/>
    </row>
    <row r="37" spans="2:5" ht="30" customHeight="1" x14ac:dyDescent="0.35">
      <c r="B37" s="6" t="s">
        <v>64</v>
      </c>
      <c r="C37" s="7" t="s">
        <v>65</v>
      </c>
      <c r="D37" s="38" t="s">
        <v>66</v>
      </c>
      <c r="E37" s="39"/>
    </row>
    <row r="38" spans="2:5" ht="43.5" customHeight="1" x14ac:dyDescent="0.35">
      <c r="B38" s="6" t="s">
        <v>67</v>
      </c>
      <c r="C38" s="7" t="s">
        <v>68</v>
      </c>
      <c r="D38" s="38" t="s">
        <v>69</v>
      </c>
      <c r="E38" s="39"/>
    </row>
    <row r="39" spans="2:5" ht="30" customHeight="1" x14ac:dyDescent="0.35">
      <c r="B39" s="36" t="s">
        <v>70</v>
      </c>
      <c r="C39" s="37"/>
      <c r="D39" s="37"/>
      <c r="E39" s="37"/>
    </row>
    <row r="41" spans="2:5" ht="18" customHeight="1" x14ac:dyDescent="0.35">
      <c r="B41" s="1" t="s">
        <v>71</v>
      </c>
      <c r="C41" s="1"/>
      <c r="D41" s="1"/>
      <c r="E41" s="1"/>
    </row>
    <row r="42" spans="2:5" ht="18" customHeight="1" x14ac:dyDescent="0.35">
      <c r="B42" s="5" t="s">
        <v>72</v>
      </c>
      <c r="C42" s="5" t="s">
        <v>73</v>
      </c>
      <c r="D42" s="5" t="s">
        <v>39</v>
      </c>
      <c r="E42" s="5" t="s">
        <v>74</v>
      </c>
    </row>
    <row r="43" spans="2:5" ht="219" customHeight="1" x14ac:dyDescent="0.35">
      <c r="B43" s="6" t="s">
        <v>75</v>
      </c>
      <c r="C43" s="7" t="s">
        <v>76</v>
      </c>
      <c r="D43" s="7" t="s">
        <v>77</v>
      </c>
      <c r="E43" s="7" t="s">
        <v>78</v>
      </c>
    </row>
    <row r="44" spans="2:5" ht="124.5" customHeight="1" x14ac:dyDescent="0.35">
      <c r="B44" s="6" t="s">
        <v>79</v>
      </c>
      <c r="C44" s="7" t="s">
        <v>80</v>
      </c>
      <c r="D44" s="7" t="s">
        <v>81</v>
      </c>
      <c r="E44" s="7" t="s">
        <v>82</v>
      </c>
    </row>
    <row r="45" spans="2:5" ht="84" customHeight="1" x14ac:dyDescent="0.35">
      <c r="B45" s="6" t="s">
        <v>83</v>
      </c>
      <c r="C45" s="7" t="s">
        <v>84</v>
      </c>
      <c r="D45" s="7" t="s">
        <v>85</v>
      </c>
      <c r="E45" s="7" t="s">
        <v>86</v>
      </c>
    </row>
    <row r="46" spans="2:5" ht="97.5" customHeight="1" x14ac:dyDescent="0.35">
      <c r="B46" s="6" t="s">
        <v>87</v>
      </c>
      <c r="C46" s="7" t="s">
        <v>88</v>
      </c>
      <c r="D46" s="7" t="s">
        <v>89</v>
      </c>
      <c r="E46" s="7" t="s">
        <v>90</v>
      </c>
    </row>
    <row r="47" spans="2:5" ht="124.5" customHeight="1" x14ac:dyDescent="0.35">
      <c r="B47" s="6" t="s">
        <v>91</v>
      </c>
      <c r="C47" s="7" t="s">
        <v>92</v>
      </c>
      <c r="D47" s="7" t="s">
        <v>93</v>
      </c>
      <c r="E47" s="7" t="s">
        <v>94</v>
      </c>
    </row>
    <row r="48" spans="2:5" ht="111" customHeight="1" x14ac:dyDescent="0.35">
      <c r="B48" s="6" t="s">
        <v>95</v>
      </c>
      <c r="C48" s="7" t="s">
        <v>96</v>
      </c>
      <c r="D48" s="7" t="s">
        <v>97</v>
      </c>
      <c r="E48" s="7" t="s">
        <v>98</v>
      </c>
    </row>
    <row r="49" spans="2:5" ht="151.5" customHeight="1" x14ac:dyDescent="0.35">
      <c r="B49" s="6" t="s">
        <v>99</v>
      </c>
      <c r="C49" s="7" t="s">
        <v>100</v>
      </c>
      <c r="D49" s="7" t="s">
        <v>101</v>
      </c>
      <c r="E49" s="7" t="s">
        <v>102</v>
      </c>
    </row>
    <row r="50" spans="2:5" ht="57" customHeight="1" x14ac:dyDescent="0.35">
      <c r="B50" s="6" t="s">
        <v>103</v>
      </c>
      <c r="C50" s="7" t="s">
        <v>104</v>
      </c>
      <c r="D50" s="7" t="s">
        <v>105</v>
      </c>
      <c r="E50" s="7" t="s">
        <v>106</v>
      </c>
    </row>
    <row r="52" spans="2:5" ht="18" customHeight="1" x14ac:dyDescent="0.35">
      <c r="B52" s="1" t="s">
        <v>107</v>
      </c>
      <c r="C52" s="1"/>
      <c r="D52" s="1"/>
      <c r="E52" s="1"/>
    </row>
    <row r="53" spans="2:5" ht="30" customHeight="1" x14ac:dyDescent="0.35">
      <c r="B53" s="36" t="s">
        <v>108</v>
      </c>
      <c r="C53" s="37"/>
      <c r="D53" s="37"/>
      <c r="E53" s="37"/>
    </row>
    <row r="54" spans="2:5" ht="30" customHeight="1" x14ac:dyDescent="0.35">
      <c r="B54" s="36" t="s">
        <v>109</v>
      </c>
      <c r="C54" s="37"/>
      <c r="D54" s="37"/>
      <c r="E54" s="37"/>
    </row>
    <row r="55" spans="2:5" ht="43.5" customHeight="1" x14ac:dyDescent="0.35">
      <c r="B55" s="36" t="s">
        <v>110</v>
      </c>
      <c r="C55" s="37"/>
      <c r="D55" s="37"/>
      <c r="E55" s="37"/>
    </row>
    <row r="56" spans="2:5" ht="57" customHeight="1" x14ac:dyDescent="0.35">
      <c r="B56" s="36" t="s">
        <v>111</v>
      </c>
      <c r="C56" s="37"/>
      <c r="D56" s="37"/>
      <c r="E56" s="37"/>
    </row>
    <row r="57" spans="2:5" ht="57" customHeight="1" x14ac:dyDescent="0.35">
      <c r="B57" s="36" t="s">
        <v>112</v>
      </c>
      <c r="C57" s="37"/>
      <c r="D57" s="37"/>
      <c r="E57" s="37"/>
    </row>
    <row r="58" spans="2:5" ht="43.5" customHeight="1" x14ac:dyDescent="0.35">
      <c r="B58" s="36" t="s">
        <v>113</v>
      </c>
      <c r="C58" s="37"/>
      <c r="D58" s="37"/>
      <c r="E58" s="37"/>
    </row>
    <row r="60" spans="2:5" ht="18" customHeight="1" x14ac:dyDescent="0.35">
      <c r="B60" s="1" t="s">
        <v>114</v>
      </c>
      <c r="C60" s="1"/>
      <c r="D60" s="1"/>
      <c r="E60" s="1"/>
    </row>
    <row r="61" spans="2:5" ht="18" customHeight="1" x14ac:dyDescent="0.35">
      <c r="B61" s="5" t="s">
        <v>115</v>
      </c>
      <c r="C61" s="5" t="s">
        <v>116</v>
      </c>
      <c r="D61" s="5" t="s">
        <v>117</v>
      </c>
      <c r="E61" s="5" t="s">
        <v>118</v>
      </c>
    </row>
    <row r="62" spans="2:5" ht="30" customHeight="1" x14ac:dyDescent="0.35">
      <c r="B62" s="6" t="s">
        <v>119</v>
      </c>
      <c r="C62" s="7" t="s">
        <v>120</v>
      </c>
      <c r="D62" s="7" t="s">
        <v>121</v>
      </c>
      <c r="E62" s="7" t="s">
        <v>122</v>
      </c>
    </row>
    <row r="63" spans="2:5" ht="30" customHeight="1" x14ac:dyDescent="0.35">
      <c r="B63" s="6" t="s">
        <v>123</v>
      </c>
      <c r="C63" s="7" t="s">
        <v>88</v>
      </c>
      <c r="D63" s="7" t="s">
        <v>124</v>
      </c>
      <c r="E63" s="7" t="s">
        <v>125</v>
      </c>
    </row>
    <row r="64" spans="2:5" ht="16.5" customHeight="1" x14ac:dyDescent="0.35">
      <c r="B64" s="6" t="s">
        <v>126</v>
      </c>
      <c r="C64" s="7" t="s">
        <v>127</v>
      </c>
      <c r="D64" s="7" t="s">
        <v>128</v>
      </c>
      <c r="E64" s="7" t="s">
        <v>129</v>
      </c>
    </row>
    <row r="65" spans="2:5" ht="43.5" customHeight="1" x14ac:dyDescent="0.35">
      <c r="B65" s="6" t="s">
        <v>130</v>
      </c>
      <c r="C65" s="7" t="s">
        <v>131</v>
      </c>
      <c r="D65" s="7" t="s">
        <v>132</v>
      </c>
      <c r="E65" s="7" t="s">
        <v>133</v>
      </c>
    </row>
    <row r="66" spans="2:5" ht="30" customHeight="1" x14ac:dyDescent="0.35">
      <c r="B66" s="6" t="s">
        <v>134</v>
      </c>
      <c r="C66" s="7" t="s">
        <v>135</v>
      </c>
      <c r="D66" s="7" t="s">
        <v>136</v>
      </c>
      <c r="E66" s="7" t="s">
        <v>137</v>
      </c>
    </row>
    <row r="67" spans="2:5" ht="43.5" customHeight="1" x14ac:dyDescent="0.35">
      <c r="B67" s="6" t="s">
        <v>138</v>
      </c>
      <c r="C67" s="7" t="s">
        <v>139</v>
      </c>
      <c r="D67" s="7" t="s">
        <v>140</v>
      </c>
      <c r="E67" s="7" t="s">
        <v>141</v>
      </c>
    </row>
    <row r="68" spans="2:5" ht="30" customHeight="1" x14ac:dyDescent="0.35">
      <c r="B68" s="6" t="s">
        <v>142</v>
      </c>
      <c r="C68" s="7" t="s">
        <v>143</v>
      </c>
      <c r="D68" s="7" t="s">
        <v>144</v>
      </c>
      <c r="E68" s="7" t="s">
        <v>145</v>
      </c>
    </row>
    <row r="69" spans="2:5" ht="84" customHeight="1" x14ac:dyDescent="0.35">
      <c r="B69" s="6" t="s">
        <v>146</v>
      </c>
      <c r="C69" s="7" t="s">
        <v>147</v>
      </c>
      <c r="D69" s="7" t="s">
        <v>148</v>
      </c>
      <c r="E69" s="7" t="s">
        <v>149</v>
      </c>
    </row>
    <row r="71" spans="2:5" ht="18" customHeight="1" x14ac:dyDescent="0.35">
      <c r="B71" s="1" t="s">
        <v>150</v>
      </c>
      <c r="C71" s="1"/>
      <c r="D71" s="1"/>
      <c r="E71" s="1"/>
    </row>
    <row r="72" spans="2:5" ht="30" customHeight="1" x14ac:dyDescent="0.35">
      <c r="B72" s="36" t="s">
        <v>151</v>
      </c>
      <c r="C72" s="37"/>
      <c r="D72" s="37"/>
      <c r="E72" s="37"/>
    </row>
    <row r="73" spans="2:5" ht="30" customHeight="1" x14ac:dyDescent="0.35">
      <c r="B73" s="36" t="s">
        <v>152</v>
      </c>
      <c r="C73" s="37"/>
      <c r="D73" s="37"/>
      <c r="E73" s="37"/>
    </row>
    <row r="74" spans="2:5" ht="18" customHeight="1" x14ac:dyDescent="0.35">
      <c r="B74" s="5" t="s">
        <v>153</v>
      </c>
      <c r="C74" s="5" t="s">
        <v>154</v>
      </c>
      <c r="D74" s="5" t="s">
        <v>155</v>
      </c>
      <c r="E74" s="5" t="s">
        <v>156</v>
      </c>
    </row>
    <row r="75" spans="2:5" ht="43.5" customHeight="1" x14ac:dyDescent="0.35">
      <c r="B75" s="6" t="s">
        <v>157</v>
      </c>
      <c r="C75" s="7" t="s">
        <v>158</v>
      </c>
      <c r="D75" s="7" t="s">
        <v>159</v>
      </c>
      <c r="E75" s="7" t="s">
        <v>160</v>
      </c>
    </row>
    <row r="76" spans="2:5" ht="43.5" customHeight="1" x14ac:dyDescent="0.35">
      <c r="B76" s="6" t="s">
        <v>161</v>
      </c>
      <c r="C76" s="7" t="s">
        <v>162</v>
      </c>
      <c r="D76" s="7" t="s">
        <v>163</v>
      </c>
      <c r="E76" s="7" t="s">
        <v>164</v>
      </c>
    </row>
    <row r="77" spans="2:5" ht="43.5" customHeight="1" x14ac:dyDescent="0.35">
      <c r="B77" s="6" t="s">
        <v>165</v>
      </c>
      <c r="C77" s="7" t="s">
        <v>166</v>
      </c>
      <c r="D77" s="7" t="s">
        <v>167</v>
      </c>
      <c r="E77" s="7" t="s">
        <v>168</v>
      </c>
    </row>
    <row r="78" spans="2:5" ht="30" customHeight="1" x14ac:dyDescent="0.35">
      <c r="B78" s="6" t="s">
        <v>169</v>
      </c>
      <c r="C78" s="7" t="s">
        <v>170</v>
      </c>
      <c r="D78" s="7" t="s">
        <v>171</v>
      </c>
      <c r="E78" s="7" t="s">
        <v>172</v>
      </c>
    </row>
    <row r="79" spans="2:5" ht="30" customHeight="1" x14ac:dyDescent="0.35">
      <c r="B79" s="6" t="s">
        <v>173</v>
      </c>
      <c r="C79" s="7" t="s">
        <v>174</v>
      </c>
      <c r="D79" s="7" t="s">
        <v>175</v>
      </c>
      <c r="E79" s="7" t="s">
        <v>176</v>
      </c>
    </row>
    <row r="80" spans="2:5" ht="30" customHeight="1" x14ac:dyDescent="0.35">
      <c r="B80" s="6" t="s">
        <v>177</v>
      </c>
      <c r="C80" s="7" t="s">
        <v>178</v>
      </c>
      <c r="D80" s="7" t="s">
        <v>179</v>
      </c>
      <c r="E80" s="7" t="s">
        <v>180</v>
      </c>
    </row>
    <row r="81" spans="2:5" ht="30" customHeight="1" x14ac:dyDescent="0.35">
      <c r="B81" s="6" t="s">
        <v>181</v>
      </c>
      <c r="C81" s="7" t="s">
        <v>182</v>
      </c>
      <c r="D81" s="7" t="s">
        <v>183</v>
      </c>
      <c r="E81" s="7" t="s">
        <v>184</v>
      </c>
    </row>
    <row r="82" spans="2:5" ht="30" customHeight="1" x14ac:dyDescent="0.35">
      <c r="B82" s="6" t="s">
        <v>185</v>
      </c>
      <c r="C82" s="7" t="s">
        <v>76</v>
      </c>
      <c r="D82" s="7" t="s">
        <v>186</v>
      </c>
      <c r="E82" s="7" t="s">
        <v>187</v>
      </c>
    </row>
    <row r="84" spans="2:5" ht="18" customHeight="1" x14ac:dyDescent="0.35">
      <c r="B84" s="1" t="s">
        <v>188</v>
      </c>
      <c r="C84" s="1"/>
      <c r="D84" s="1"/>
      <c r="E84" s="1"/>
    </row>
    <row r="85" spans="2:5" ht="18" customHeight="1" x14ac:dyDescent="0.35">
      <c r="B85" s="5" t="s">
        <v>189</v>
      </c>
      <c r="C85" s="40" t="s">
        <v>39</v>
      </c>
      <c r="D85" s="37"/>
      <c r="E85" s="37"/>
    </row>
    <row r="86" spans="2:5" ht="43.5" customHeight="1" x14ac:dyDescent="0.35">
      <c r="B86" s="6" t="s">
        <v>190</v>
      </c>
      <c r="C86" s="38" t="s">
        <v>191</v>
      </c>
      <c r="D86" s="39"/>
      <c r="E86" s="39"/>
    </row>
    <row r="87" spans="2:5" ht="30" customHeight="1" x14ac:dyDescent="0.35">
      <c r="B87" s="6" t="s">
        <v>192</v>
      </c>
      <c r="C87" s="38" t="s">
        <v>193</v>
      </c>
      <c r="D87" s="39"/>
      <c r="E87" s="39"/>
    </row>
    <row r="88" spans="2:5" ht="57" customHeight="1" x14ac:dyDescent="0.35">
      <c r="B88" s="6" t="s">
        <v>194</v>
      </c>
      <c r="C88" s="38" t="s">
        <v>195</v>
      </c>
      <c r="D88" s="39"/>
      <c r="E88" s="39"/>
    </row>
    <row r="90" spans="2:5" ht="18" customHeight="1" x14ac:dyDescent="0.35">
      <c r="B90" s="1" t="s">
        <v>196</v>
      </c>
      <c r="C90" s="1"/>
      <c r="D90" s="1"/>
      <c r="E90" s="1"/>
    </row>
    <row r="91" spans="2:5" ht="18" customHeight="1" x14ac:dyDescent="0.35">
      <c r="B91" s="5" t="s">
        <v>197</v>
      </c>
      <c r="C91" s="40" t="s">
        <v>198</v>
      </c>
      <c r="D91" s="37"/>
      <c r="E91" s="37"/>
    </row>
    <row r="92" spans="2:5" ht="30" customHeight="1" x14ac:dyDescent="0.35">
      <c r="B92" s="6" t="s">
        <v>199</v>
      </c>
      <c r="C92" s="38" t="s">
        <v>200</v>
      </c>
      <c r="D92" s="39"/>
      <c r="E92" s="39"/>
    </row>
    <row r="93" spans="2:5" ht="43.5" customHeight="1" x14ac:dyDescent="0.35">
      <c r="B93" s="6" t="s">
        <v>201</v>
      </c>
      <c r="C93" s="38" t="s">
        <v>202</v>
      </c>
      <c r="D93" s="39"/>
      <c r="E93" s="39"/>
    </row>
    <row r="94" spans="2:5" ht="43.5" customHeight="1" x14ac:dyDescent="0.35">
      <c r="B94" s="6" t="s">
        <v>203</v>
      </c>
      <c r="C94" s="38" t="s">
        <v>204</v>
      </c>
      <c r="D94" s="39"/>
      <c r="E94" s="39"/>
    </row>
    <row r="95" spans="2:5" ht="43.5" customHeight="1" x14ac:dyDescent="0.35">
      <c r="B95" s="6" t="s">
        <v>205</v>
      </c>
      <c r="C95" s="38" t="s">
        <v>206</v>
      </c>
      <c r="D95" s="39"/>
      <c r="E95" s="39"/>
    </row>
    <row r="96" spans="2:5" ht="30" customHeight="1" x14ac:dyDescent="0.35">
      <c r="B96" s="6" t="s">
        <v>207</v>
      </c>
      <c r="C96" s="38" t="s">
        <v>208</v>
      </c>
      <c r="D96" s="39"/>
      <c r="E96" s="39"/>
    </row>
    <row r="97" spans="2:5" ht="30" customHeight="1" x14ac:dyDescent="0.35">
      <c r="B97" s="6" t="s">
        <v>209</v>
      </c>
      <c r="C97" s="38" t="s">
        <v>210</v>
      </c>
      <c r="D97" s="39"/>
      <c r="E97" s="39"/>
    </row>
    <row r="98" spans="2:5" ht="30" customHeight="1" x14ac:dyDescent="0.35">
      <c r="B98" s="6" t="s">
        <v>211</v>
      </c>
      <c r="C98" s="38" t="s">
        <v>212</v>
      </c>
      <c r="D98" s="39"/>
      <c r="E98" s="39"/>
    </row>
    <row r="100" spans="2:5" ht="16.5" customHeight="1" x14ac:dyDescent="0.35">
      <c r="B100" s="41" t="s">
        <v>213</v>
      </c>
      <c r="C100" s="37"/>
      <c r="D100" s="37"/>
      <c r="E100" s="37"/>
    </row>
    <row r="102" spans="2:5" ht="36" customHeight="1" x14ac:dyDescent="0.35">
      <c r="B102" s="43" t="s">
        <v>214</v>
      </c>
      <c r="C102" s="37"/>
      <c r="D102" s="37"/>
      <c r="E102" s="37"/>
    </row>
  </sheetData>
  <sheetProtection sheet="1"/>
  <mergeCells count="49">
    <mergeCell ref="B102:E102"/>
    <mergeCell ref="C13:E13"/>
    <mergeCell ref="B58:E58"/>
    <mergeCell ref="D37:E37"/>
    <mergeCell ref="C87:E87"/>
    <mergeCell ref="C96:E96"/>
    <mergeCell ref="D28:E28"/>
    <mergeCell ref="B39:E39"/>
    <mergeCell ref="C86:E86"/>
    <mergeCell ref="C92:E92"/>
    <mergeCell ref="C15:E15"/>
    <mergeCell ref="C85:E85"/>
    <mergeCell ref="D25:E25"/>
    <mergeCell ref="C14:E14"/>
    <mergeCell ref="D24:E24"/>
    <mergeCell ref="D30:E30"/>
    <mergeCell ref="B7:E7"/>
    <mergeCell ref="D32:E32"/>
    <mergeCell ref="B72:E72"/>
    <mergeCell ref="C91:E91"/>
    <mergeCell ref="B18:E18"/>
    <mergeCell ref="B56:E56"/>
    <mergeCell ref="B8:E8"/>
    <mergeCell ref="B53:E53"/>
    <mergeCell ref="B57:E57"/>
    <mergeCell ref="D33:E33"/>
    <mergeCell ref="B73:E73"/>
    <mergeCell ref="D29:E29"/>
    <mergeCell ref="D23:E23"/>
    <mergeCell ref="D38:E38"/>
    <mergeCell ref="C88:E88"/>
    <mergeCell ref="D35:E35"/>
    <mergeCell ref="C95:E95"/>
    <mergeCell ref="D21:E21"/>
    <mergeCell ref="C11:E11"/>
    <mergeCell ref="B54:E54"/>
    <mergeCell ref="B100:E100"/>
    <mergeCell ref="C98:E98"/>
    <mergeCell ref="C97:E97"/>
    <mergeCell ref="B9:E9"/>
    <mergeCell ref="C94:E94"/>
    <mergeCell ref="C93:E93"/>
    <mergeCell ref="D34:E34"/>
    <mergeCell ref="B55:E55"/>
    <mergeCell ref="D22:E22"/>
    <mergeCell ref="D36:E36"/>
    <mergeCell ref="D31:E31"/>
    <mergeCell ref="C12:E12"/>
    <mergeCell ref="C10:E10"/>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5AB0"/>
  </sheetPr>
  <dimension ref="B1:P65"/>
  <sheetViews>
    <sheetView showGridLines="0" workbookViewId="0">
      <pane xSplit="2" ySplit="5" topLeftCell="C6" activePane="bottomRight" state="frozen"/>
      <selection pane="topRight" activeCell="B1" sqref="B1"/>
      <selection pane="bottomLeft"/>
      <selection pane="bottomRight" activeCell="K33" sqref="K33"/>
    </sheetView>
  </sheetViews>
  <sheetFormatPr baseColWidth="10" defaultColWidth="8.7265625" defaultRowHeight="14.5" x14ac:dyDescent="0.35"/>
  <cols>
    <col min="1" max="1" width="2" customWidth="1"/>
    <col min="2" max="2" width="26" customWidth="1"/>
    <col min="3" max="3" width="22" customWidth="1"/>
    <col min="4" max="4" width="13" customWidth="1"/>
    <col min="5" max="5" width="10" customWidth="1"/>
    <col min="6" max="6" width="13" customWidth="1"/>
    <col min="7" max="7" width="7" customWidth="1"/>
    <col min="8" max="8" width="9" customWidth="1"/>
    <col min="9" max="9" width="7" customWidth="1"/>
    <col min="10" max="10" width="10" customWidth="1"/>
    <col min="11" max="11" width="11" customWidth="1"/>
    <col min="12" max="13" width="12" customWidth="1"/>
    <col min="14" max="14" width="13" customWidth="1"/>
    <col min="15" max="15" width="11" customWidth="1"/>
    <col min="16" max="16" width="32" customWidth="1"/>
  </cols>
  <sheetData>
    <row r="1" spans="2:16" ht="20" customHeight="1" x14ac:dyDescent="0.35">
      <c r="B1" s="1" t="s">
        <v>0</v>
      </c>
      <c r="C1" s="1"/>
      <c r="D1" s="1"/>
      <c r="E1" s="1"/>
      <c r="F1" s="1"/>
      <c r="G1" s="1"/>
      <c r="H1" s="1"/>
      <c r="I1" s="1"/>
      <c r="J1" s="1"/>
      <c r="K1" s="1"/>
      <c r="L1" s="1"/>
      <c r="M1" s="1"/>
      <c r="N1" s="1"/>
      <c r="O1" s="1"/>
      <c r="P1" s="1"/>
    </row>
    <row r="2" spans="2:16" ht="26" customHeight="1" x14ac:dyDescent="0.35">
      <c r="B2" s="2" t="s">
        <v>215</v>
      </c>
    </row>
    <row r="3" spans="2:16" x14ac:dyDescent="0.35">
      <c r="B3" s="3" t="s">
        <v>216</v>
      </c>
    </row>
    <row r="5" spans="2:16" x14ac:dyDescent="0.35">
      <c r="B5" s="9" t="s">
        <v>217</v>
      </c>
    </row>
    <row r="7" spans="2:16" ht="18" customHeight="1" x14ac:dyDescent="0.35">
      <c r="B7" s="1" t="s">
        <v>218</v>
      </c>
      <c r="C7" s="1"/>
      <c r="D7" s="1"/>
      <c r="E7" s="1"/>
      <c r="F7" s="1"/>
      <c r="G7" s="1"/>
      <c r="H7" s="1"/>
      <c r="I7" s="1"/>
      <c r="J7" s="1"/>
      <c r="K7" s="1"/>
      <c r="L7" s="1"/>
      <c r="M7" s="1"/>
      <c r="N7" s="1"/>
      <c r="O7" s="1"/>
      <c r="P7" s="1"/>
    </row>
    <row r="8" spans="2:16" x14ac:dyDescent="0.35">
      <c r="B8" s="10" t="s">
        <v>219</v>
      </c>
      <c r="C8" s="11" t="s">
        <v>220</v>
      </c>
      <c r="D8" s="9" t="s">
        <v>221</v>
      </c>
    </row>
    <row r="9" spans="2:16" x14ac:dyDescent="0.35">
      <c r="B9" s="10" t="s">
        <v>222</v>
      </c>
      <c r="C9" s="11" t="s">
        <v>223</v>
      </c>
      <c r="D9" s="9" t="s">
        <v>224</v>
      </c>
    </row>
    <row r="10" spans="2:16" x14ac:dyDescent="0.35">
      <c r="B10" s="10" t="s">
        <v>225</v>
      </c>
      <c r="C10" s="12">
        <v>75</v>
      </c>
      <c r="D10" s="9" t="s">
        <v>226</v>
      </c>
    </row>
    <row r="11" spans="2:16" x14ac:dyDescent="0.35">
      <c r="B11" s="10" t="s">
        <v>227</v>
      </c>
      <c r="C11" s="11" t="s">
        <v>228</v>
      </c>
      <c r="D11" s="9" t="s">
        <v>229</v>
      </c>
    </row>
    <row r="12" spans="2:16" x14ac:dyDescent="0.35">
      <c r="B12" s="10" t="s">
        <v>230</v>
      </c>
      <c r="C12" s="13">
        <v>2</v>
      </c>
      <c r="D12" s="9" t="s">
        <v>231</v>
      </c>
    </row>
    <row r="13" spans="2:16" x14ac:dyDescent="0.35">
      <c r="B13" s="10" t="s">
        <v>232</v>
      </c>
      <c r="C13" s="13">
        <v>1</v>
      </c>
      <c r="D13" s="9" t="s">
        <v>233</v>
      </c>
    </row>
    <row r="14" spans="2:16" x14ac:dyDescent="0.35">
      <c r="B14" s="10" t="s">
        <v>234</v>
      </c>
      <c r="C14" s="11" t="s">
        <v>235</v>
      </c>
      <c r="D14" s="9" t="s">
        <v>236</v>
      </c>
    </row>
    <row r="15" spans="2:16" x14ac:dyDescent="0.35">
      <c r="B15" s="10" t="s">
        <v>237</v>
      </c>
      <c r="C15" s="13">
        <v>0</v>
      </c>
      <c r="D15" s="9" t="s">
        <v>238</v>
      </c>
    </row>
    <row r="16" spans="2:16" x14ac:dyDescent="0.35">
      <c r="B16" s="10" t="s">
        <v>239</v>
      </c>
      <c r="C16" s="13">
        <v>1</v>
      </c>
      <c r="D16" s="9" t="s">
        <v>240</v>
      </c>
    </row>
    <row r="17" spans="2:16" x14ac:dyDescent="0.35">
      <c r="B17" s="10" t="s">
        <v>241</v>
      </c>
      <c r="C17" s="14">
        <v>46250</v>
      </c>
      <c r="D17" s="9" t="s">
        <v>242</v>
      </c>
    </row>
    <row r="18" spans="2:16" x14ac:dyDescent="0.35">
      <c r="B18" s="10" t="s">
        <v>243</v>
      </c>
      <c r="C18" s="15" t="str">
        <f>IF(OR(NOT(ISNUMBER($C$10)),$C$10&lt;=0),Référentiel!$D$49&amp;" : surface habitable",IF(ISNA(MATCH($C$9,Référentiel!$C$12:$D$12,0)),Référentiel!$D$49&amp;" : type de bien",IF(ISNA(MATCH($C$11,Référentiel!$B$47:$B$50,0)),Référentiel!$D$49&amp;" : état",IF(OR(NOT(ISNUMBER($C$12)),$C$12&lt;Référentiel!$C$41,$C$12&gt;Référentiel!$C$42),Référentiel!$D$49&amp;" : étage",IF(OR(NOT(ISNUMBER($C$13)),$C$13&lt;0,$C$13&gt;1),Référentiel!$D$49&amp;" : extérieur",IF(ISNA(MATCH($C$14,Référentiel!$C$47:$C$53,0)),Référentiel!$D$49&amp;" : étiquette DPE",IF(OR(NOT(ISNUMBER($C$15)),$C$15&lt;0,$C$15&gt;1),Référentiel!$D$49&amp;" : stationnement",IF(OR(NOT(ISNUMBER($C$16)),$C$16&lt;0,$C$16&gt;1),Référentiel!$D$49&amp;" : ascenseur",IF(NOT(ISNUMBER($C$17)),Référentiel!$D$49&amp;" : date de l'avis","Toutes les saisies du bien sont renseignées.")))))))))</f>
        <v>Toutes les saisies du bien sont renseignées.</v>
      </c>
      <c r="D18" s="9"/>
      <c r="M18" s="9" t="s">
        <v>244</v>
      </c>
    </row>
    <row r="19" spans="2:16" x14ac:dyDescent="0.35">
      <c r="B19" s="10" t="s">
        <v>245</v>
      </c>
      <c r="C19" s="16" t="str">
        <f>IF(LEFT($C$18,LEN(Référentiel!$D$49))&lt;&gt;Référentiel!$D$49,"OK","À CORRIGER")</f>
        <v>OK</v>
      </c>
      <c r="D19" s="9" t="s">
        <v>246</v>
      </c>
    </row>
    <row r="21" spans="2:16" ht="18" customHeight="1" x14ac:dyDescent="0.35">
      <c r="B21" s="1" t="s">
        <v>247</v>
      </c>
      <c r="C21" s="1"/>
      <c r="D21" s="1"/>
      <c r="E21" s="1"/>
      <c r="F21" s="1"/>
      <c r="G21" s="1"/>
      <c r="H21" s="1"/>
      <c r="I21" s="1"/>
      <c r="J21" s="1"/>
      <c r="K21" s="1"/>
      <c r="L21" s="1"/>
      <c r="M21" s="1"/>
      <c r="N21" s="1"/>
      <c r="O21" s="1"/>
      <c r="P21" s="1"/>
    </row>
    <row r="22" spans="2:16" ht="30" customHeight="1" x14ac:dyDescent="0.35">
      <c r="B22" s="17" t="s">
        <v>219</v>
      </c>
      <c r="C22" s="17" t="s">
        <v>248</v>
      </c>
      <c r="D22" s="17" t="s">
        <v>249</v>
      </c>
      <c r="E22" s="17" t="s">
        <v>250</v>
      </c>
      <c r="F22" s="17" t="s">
        <v>227</v>
      </c>
      <c r="G22" s="17" t="s">
        <v>230</v>
      </c>
      <c r="H22" s="17" t="s">
        <v>251</v>
      </c>
      <c r="I22" s="17" t="s">
        <v>252</v>
      </c>
      <c r="J22" s="17" t="s">
        <v>253</v>
      </c>
      <c r="K22" s="17" t="s">
        <v>254</v>
      </c>
      <c r="L22" s="17" t="s">
        <v>255</v>
      </c>
      <c r="M22" s="17" t="s">
        <v>256</v>
      </c>
      <c r="N22" s="17" t="s">
        <v>257</v>
      </c>
      <c r="O22" s="17" t="s">
        <v>258</v>
      </c>
      <c r="P22" s="17" t="s">
        <v>123</v>
      </c>
    </row>
    <row r="23" spans="2:16" x14ac:dyDescent="0.35">
      <c r="B23" s="11" t="s">
        <v>259</v>
      </c>
      <c r="C23" s="14">
        <v>46095</v>
      </c>
      <c r="D23" s="18">
        <v>318000</v>
      </c>
      <c r="E23" s="12">
        <v>72</v>
      </c>
      <c r="F23" s="11" t="s">
        <v>228</v>
      </c>
      <c r="G23" s="13">
        <v>3</v>
      </c>
      <c r="H23" s="13">
        <v>1</v>
      </c>
      <c r="I23" s="11" t="s">
        <v>235</v>
      </c>
      <c r="J23" s="13">
        <v>1</v>
      </c>
      <c r="K23" s="13">
        <v>85</v>
      </c>
      <c r="L23" s="19">
        <f t="shared" ref="L23:L30" si="0">IF(AND(ISNUMBER(D23),D23&gt;0,ISNUMBER(E23),E23&gt;0),D23/E23,0)</f>
        <v>4416.666666666667</v>
      </c>
      <c r="M23" s="20">
        <f>IF(OR($C$19&lt;&gt;"OK",NOT(ISNUMBER(C23)),ISNA(MATCH(F23,Référentiel!$B$47:$B$50,0)),NOT(ISNUMBER(G23)),NOT(ISNUMBER(H23)),ISNA(MATCH(I23,Référentiel!$C$47:$C$53,0)),NOT(ISNUMBER(J23))),0,(MATCH($C$11,Référentiel!$B$47:$B$50,0)-MATCH(F23,Référentiel!$B$47:$B$50,0))*Référentiel!$C$23+($C$12-G23)*Référentiel!$C$24*IF($C$16=0,-1,1)+($C$13-H23)*Référentiel!$C$25+(INDEX(Référentiel!$C$13:$D$19,MATCH($C$14,Référentiel!$C$47:$C$53,0),MATCH($C$9,Référentiel!$C$12:$D$12,0))-INDEX(Référentiel!$C$13:$D$19,MATCH(I23,Référentiel!$C$47:$C$53,0),MATCH($C$9,Référentiel!$C$12:$D$12,0)))+($C$15-J23)*Référentiel!$C$26+(($C$17-C23)/(365.25/12))*(Référentiel!$C$9/12))</f>
        <v>-5.1575633127994527E-2</v>
      </c>
      <c r="N23" s="19">
        <f t="shared" ref="N23:N30" si="1">IF(L23&gt;0,L23*(1+M23),0)</f>
        <v>4188.8742870180249</v>
      </c>
      <c r="O23" s="21">
        <f>IF(P23=Référentiel!$D$47,K23,0)</f>
        <v>85</v>
      </c>
      <c r="P23" s="22" t="str">
        <f>IF(COUNTA(B23:K23)=0,"",IF($C$19&lt;&gt;"OK",Référentiel!$D$49&amp;" : le bien est incomplet",IF(OR(NOT(ISNUMBER(D23)),D23&lt;=0),Référentiel!$D$49&amp;" : prix net vendeur manquant",IF(OR(NOT(ISNUMBER(E23)),E23&lt;=0),Référentiel!$D$49&amp;" : surface manquante",IF(NOT(ISNUMBER(C23)),Référentiel!$D$49&amp;" : date de vente non exploitable",IF(C23&gt;$C$17,Référentiel!$D$49&amp;" : vente postérieure à la date de l'avis",IF(ISNA(MATCH(F23,Référentiel!$B$47:$B$50,0)),Référentiel!$D$49&amp;" : état hors liste",IF(OR(NOT(ISNUMBER(G23)),G23&lt;Référentiel!$C$41,G23&gt;Référentiel!$C$42),Référentiel!$D$49&amp;" : étage hors bornes",IF(OR(NOT(ISNUMBER(H23)),H23&lt;0,H23&gt;1),Référentiel!$D$49&amp;" : extérieur, saisir 1 ou 0",IF(ISNA(MATCH(I23,Référentiel!$C$47:$C$53,0)),Référentiel!$D$49&amp;" : DPE hors liste",IF(OR(NOT(ISNUMBER(J23)),J23&lt;0,J23&gt;1),Référentiel!$D$49&amp;" : stationnement, saisir 1 ou 0",IF(OR(NOT(ISNUMBER(K23)),K23&lt;0,K23&gt;Référentiel!$C$43),Référentiel!$D$49&amp;" : similarité hors de 0 à "&amp;TEXT(Référentiel!$C$43,"0"),IF(K23=0,Référentiel!$D$49&amp;" : similarité nulle, le comparable ne pèserait rien",IF(($C$17-C23)/(365.25/12)&gt;Référentiel!$C$35,Référentiel!$D$48&amp;" : vente de "&amp;TEXT(ROUND(($C$17-C23)/(365.25/12),0),"0")&amp;" mois, au-delà du plafond",IF(ABS(M23)&gt;Référentiel!$C$32,Référentiel!$D$48&amp;" : ajustement de "&amp;ROUND(M23*100,1)&amp;" %"&amp;", au-delà du plafond",Référentiel!$D$47)))))))))))))))</f>
        <v>Retenu</v>
      </c>
    </row>
    <row r="24" spans="2:16" x14ac:dyDescent="0.35">
      <c r="B24" s="11" t="s">
        <v>260</v>
      </c>
      <c r="C24" s="14">
        <v>45993</v>
      </c>
      <c r="D24" s="18">
        <v>349000</v>
      </c>
      <c r="E24" s="12">
        <v>78</v>
      </c>
      <c r="F24" s="11" t="s">
        <v>261</v>
      </c>
      <c r="G24" s="13">
        <v>1</v>
      </c>
      <c r="H24" s="13">
        <v>1</v>
      </c>
      <c r="I24" s="11" t="s">
        <v>262</v>
      </c>
      <c r="J24" s="13">
        <v>1</v>
      </c>
      <c r="K24" s="13">
        <v>70</v>
      </c>
      <c r="L24" s="19">
        <f t="shared" si="0"/>
        <v>4474.3589743589746</v>
      </c>
      <c r="M24" s="20">
        <f>IF(OR($C$19&lt;&gt;"OK",NOT(ISNUMBER(C24)),ISNA(MATCH(F24,Référentiel!$B$47:$B$50,0)),NOT(ISNUMBER(G24)),NOT(ISNUMBER(H24)),ISNA(MATCH(I24,Référentiel!$C$47:$C$53,0)),NOT(ISNUMBER(J24))),0,(MATCH($C$11,Référentiel!$B$47:$B$50,0)-MATCH(F24,Référentiel!$B$47:$B$50,0))*Référentiel!$C$23+($C$12-G24)*Référentiel!$C$24*IF($C$16=0,-1,1)+($C$13-H24)*Référentiel!$C$25+(INDEX(Référentiel!$C$13:$D$19,MATCH($C$14,Référentiel!$C$47:$C$53,0),MATCH($C$9,Référentiel!$C$12:$D$12,0))-INDEX(Référentiel!$C$13:$D$19,MATCH(I24,Référentiel!$C$47:$C$53,0),MATCH($C$9,Référentiel!$C$12:$D$12,0)))+($C$15-J24)*Référentiel!$C$26+(($C$17-C24)/(365.25/12))*(Référentiel!$C$9/12))</f>
        <v>-0.14729637234770704</v>
      </c>
      <c r="N24" s="19">
        <f t="shared" si="1"/>
        <v>3815.3021288544905</v>
      </c>
      <c r="O24" s="21">
        <f>IF(P24=Référentiel!$D$47,K24,0)</f>
        <v>70</v>
      </c>
      <c r="P24" s="22" t="str">
        <f>IF(COUNTA(B24:K24)=0,"",IF($C$19&lt;&gt;"OK",Référentiel!$D$49&amp;" : le bien est incomplet",IF(OR(NOT(ISNUMBER(D24)),D24&lt;=0),Référentiel!$D$49&amp;" : prix net vendeur manquant",IF(OR(NOT(ISNUMBER(E24)),E24&lt;=0),Référentiel!$D$49&amp;" : surface manquante",IF(NOT(ISNUMBER(C24)),Référentiel!$D$49&amp;" : date de vente non exploitable",IF(C24&gt;$C$17,Référentiel!$D$49&amp;" : vente postérieure à la date de l'avis",IF(ISNA(MATCH(F24,Référentiel!$B$47:$B$50,0)),Référentiel!$D$49&amp;" : état hors liste",IF(OR(NOT(ISNUMBER(G24)),G24&lt;Référentiel!$C$41,G24&gt;Référentiel!$C$42),Référentiel!$D$49&amp;" : étage hors bornes",IF(OR(NOT(ISNUMBER(H24)),H24&lt;0,H24&gt;1),Référentiel!$D$49&amp;" : extérieur, saisir 1 ou 0",IF(ISNA(MATCH(I24,Référentiel!$C$47:$C$53,0)),Référentiel!$D$49&amp;" : DPE hors liste",IF(OR(NOT(ISNUMBER(J24)),J24&lt;0,J24&gt;1),Référentiel!$D$49&amp;" : stationnement, saisir 1 ou 0",IF(OR(NOT(ISNUMBER(K24)),K24&lt;0,K24&gt;Référentiel!$C$43),Référentiel!$D$49&amp;" : similarité hors de 0 à "&amp;TEXT(Référentiel!$C$43,"0"),IF(K24=0,Référentiel!$D$49&amp;" : similarité nulle, le comparable ne pèserait rien",IF(($C$17-C24)/(365.25/12)&gt;Référentiel!$C$35,Référentiel!$D$48&amp;" : vente de "&amp;TEXT(ROUND(($C$17-C24)/(365.25/12),0),"0")&amp;" mois, au-delà du plafond",IF(ABS(M24)&gt;Référentiel!$C$32,Référentiel!$D$48&amp;" : ajustement de "&amp;ROUND(M24*100,1)&amp;" %"&amp;", au-delà du plafond",Référentiel!$D$47)))))))))))))))</f>
        <v>Retenu</v>
      </c>
    </row>
    <row r="25" spans="2:16" x14ac:dyDescent="0.35">
      <c r="B25" s="11" t="s">
        <v>263</v>
      </c>
      <c r="C25" s="14">
        <v>46043</v>
      </c>
      <c r="D25" s="18">
        <v>289000</v>
      </c>
      <c r="E25" s="12">
        <v>68</v>
      </c>
      <c r="F25" s="11" t="s">
        <v>264</v>
      </c>
      <c r="G25" s="13">
        <v>4</v>
      </c>
      <c r="H25" s="13">
        <v>0</v>
      </c>
      <c r="I25" s="11" t="s">
        <v>265</v>
      </c>
      <c r="J25" s="13">
        <v>0</v>
      </c>
      <c r="K25" s="13">
        <v>80</v>
      </c>
      <c r="L25" s="19">
        <f t="shared" si="0"/>
        <v>4250</v>
      </c>
      <c r="M25" s="20">
        <f>IF(OR($C$19&lt;&gt;"OK",NOT(ISNUMBER(C25)),ISNA(MATCH(F25,Référentiel!$B$47:$B$50,0)),NOT(ISNUMBER(G25)),NOT(ISNUMBER(H25)),ISNA(MATCH(I25,Référentiel!$C$47:$C$53,0)),NOT(ISNUMBER(J25))),0,(MATCH($C$11,Référentiel!$B$47:$B$50,0)-MATCH(F25,Référentiel!$B$47:$B$50,0))*Référentiel!$C$23+($C$12-G25)*Référentiel!$C$24*IF($C$16=0,-1,1)+($C$13-H25)*Référentiel!$C$25+(INDEX(Référentiel!$C$13:$D$19,MATCH($C$14,Référentiel!$C$47:$C$53,0),MATCH($C$9,Référentiel!$C$12:$D$12,0))-INDEX(Référentiel!$C$13:$D$19,MATCH(I25,Référentiel!$C$47:$C$53,0),MATCH($C$9,Référentiel!$C$12:$D$12,0)))+($C$15-J25)*Référentiel!$C$26+(($C$17-C25)/(365.25/12))*(Référentiel!$C$9/12))</f>
        <v>0.12656673511293634</v>
      </c>
      <c r="N25" s="19">
        <f t="shared" si="1"/>
        <v>4787.9086242299791</v>
      </c>
      <c r="O25" s="21">
        <f>IF(P25=Référentiel!$D$47,K25,0)</f>
        <v>80</v>
      </c>
      <c r="P25" s="22" t="str">
        <f>IF(COUNTA(B25:K25)=0,"",IF($C$19&lt;&gt;"OK",Référentiel!$D$49&amp;" : le bien est incomplet",IF(OR(NOT(ISNUMBER(D25)),D25&lt;=0),Référentiel!$D$49&amp;" : prix net vendeur manquant",IF(OR(NOT(ISNUMBER(E25)),E25&lt;=0),Référentiel!$D$49&amp;" : surface manquante",IF(NOT(ISNUMBER(C25)),Référentiel!$D$49&amp;" : date de vente non exploitable",IF(C25&gt;$C$17,Référentiel!$D$49&amp;" : vente postérieure à la date de l'avis",IF(ISNA(MATCH(F25,Référentiel!$B$47:$B$50,0)),Référentiel!$D$49&amp;" : état hors liste",IF(OR(NOT(ISNUMBER(G25)),G25&lt;Référentiel!$C$41,G25&gt;Référentiel!$C$42),Référentiel!$D$49&amp;" : étage hors bornes",IF(OR(NOT(ISNUMBER(H25)),H25&lt;0,H25&gt;1),Référentiel!$D$49&amp;" : extérieur, saisir 1 ou 0",IF(ISNA(MATCH(I25,Référentiel!$C$47:$C$53,0)),Référentiel!$D$49&amp;" : DPE hors liste",IF(OR(NOT(ISNUMBER(J25)),J25&lt;0,J25&gt;1),Référentiel!$D$49&amp;" : stationnement, saisir 1 ou 0",IF(OR(NOT(ISNUMBER(K25)),K25&lt;0,K25&gt;Référentiel!$C$43),Référentiel!$D$49&amp;" : similarité hors de 0 à "&amp;TEXT(Référentiel!$C$43,"0"),IF(K25=0,Référentiel!$D$49&amp;" : similarité nulle, le comparable ne pèserait rien",IF(($C$17-C25)/(365.25/12)&gt;Référentiel!$C$35,Référentiel!$D$48&amp;" : vente de "&amp;TEXT(ROUND(($C$17-C25)/(365.25/12),0),"0")&amp;" mois, au-delà du plafond",IF(ABS(M25)&gt;Référentiel!$C$32,Référentiel!$D$48&amp;" : ajustement de "&amp;ROUND(M25*100,1)&amp;" %"&amp;", au-delà du plafond",Référentiel!$D$47)))))))))))))))</f>
        <v>Retenu</v>
      </c>
    </row>
    <row r="26" spans="2:16" x14ac:dyDescent="0.35">
      <c r="B26" s="11" t="s">
        <v>266</v>
      </c>
      <c r="C26" s="14">
        <v>46151</v>
      </c>
      <c r="D26" s="18">
        <v>372000</v>
      </c>
      <c r="E26" s="12">
        <v>81</v>
      </c>
      <c r="F26" s="11" t="s">
        <v>228</v>
      </c>
      <c r="G26" s="13">
        <v>2</v>
      </c>
      <c r="H26" s="13">
        <v>1</v>
      </c>
      <c r="I26" s="11" t="s">
        <v>262</v>
      </c>
      <c r="J26" s="13">
        <v>1</v>
      </c>
      <c r="K26" s="13">
        <v>75</v>
      </c>
      <c r="L26" s="19">
        <f t="shared" si="0"/>
        <v>4592.5925925925922</v>
      </c>
      <c r="M26" s="20">
        <f>IF(OR($C$19&lt;&gt;"OK",NOT(ISNUMBER(C26)),ISNA(MATCH(F26,Référentiel!$B$47:$B$50,0)),NOT(ISNUMBER(G26)),NOT(ISNUMBER(H26)),ISNA(MATCH(I26,Référentiel!$C$47:$C$53,0)),NOT(ISNUMBER(J26))),0,(MATCH($C$11,Référentiel!$B$47:$B$50,0)-MATCH(F26,Référentiel!$B$47:$B$50,0))*Référentiel!$C$23+($C$12-G26)*Référentiel!$C$24*IF($C$16=0,-1,1)+($C$13-H26)*Référentiel!$C$25+(INDEX(Référentiel!$C$13:$D$19,MATCH($C$14,Référentiel!$C$47:$C$53,0),MATCH($C$9,Référentiel!$C$12:$D$12,0))-INDEX(Référentiel!$C$13:$D$19,MATCH(I26,Référentiel!$C$47:$C$53,0),MATCH($C$9,Référentiel!$C$12:$D$12,0)))+($C$15-J26)*Référentiel!$C$26+(($C$17-C26)/(365.25/12))*(Référentiel!$C$9/12))</f>
        <v>-9.9728952772073928E-2</v>
      </c>
      <c r="N26" s="19">
        <f t="shared" si="1"/>
        <v>4134.5781428245491</v>
      </c>
      <c r="O26" s="21">
        <f>IF(P26=Référentiel!$D$47,K26,0)</f>
        <v>75</v>
      </c>
      <c r="P26" s="22" t="str">
        <f>IF(COUNTA(B26:K26)=0,"",IF($C$19&lt;&gt;"OK",Référentiel!$D$49&amp;" : le bien est incomplet",IF(OR(NOT(ISNUMBER(D26)),D26&lt;=0),Référentiel!$D$49&amp;" : prix net vendeur manquant",IF(OR(NOT(ISNUMBER(E26)),E26&lt;=0),Référentiel!$D$49&amp;" : surface manquante",IF(NOT(ISNUMBER(C26)),Référentiel!$D$49&amp;" : date de vente non exploitable",IF(C26&gt;$C$17,Référentiel!$D$49&amp;" : vente postérieure à la date de l'avis",IF(ISNA(MATCH(F26,Référentiel!$B$47:$B$50,0)),Référentiel!$D$49&amp;" : état hors liste",IF(OR(NOT(ISNUMBER(G26)),G26&lt;Référentiel!$C$41,G26&gt;Référentiel!$C$42),Référentiel!$D$49&amp;" : étage hors bornes",IF(OR(NOT(ISNUMBER(H26)),H26&lt;0,H26&gt;1),Référentiel!$D$49&amp;" : extérieur, saisir 1 ou 0",IF(ISNA(MATCH(I26,Référentiel!$C$47:$C$53,0)),Référentiel!$D$49&amp;" : DPE hors liste",IF(OR(NOT(ISNUMBER(J26)),J26&lt;0,J26&gt;1),Référentiel!$D$49&amp;" : stationnement, saisir 1 ou 0",IF(OR(NOT(ISNUMBER(K26)),K26&lt;0,K26&gt;Référentiel!$C$43),Référentiel!$D$49&amp;" : similarité hors de 0 à "&amp;TEXT(Référentiel!$C$43,"0"),IF(K26=0,Référentiel!$D$49&amp;" : similarité nulle, le comparable ne pèserait rien",IF(($C$17-C26)/(365.25/12)&gt;Référentiel!$C$35,Référentiel!$D$48&amp;" : vente de "&amp;TEXT(ROUND(($C$17-C26)/(365.25/12),0),"0")&amp;" mois, au-delà du plafond",IF(ABS(M26)&gt;Référentiel!$C$32,Référentiel!$D$48&amp;" : ajustement de "&amp;ROUND(M26*100,1)&amp;" %"&amp;", au-delà du plafond",Référentiel!$D$47)))))))))))))))</f>
        <v>Retenu</v>
      </c>
    </row>
    <row r="27" spans="2:16" x14ac:dyDescent="0.35">
      <c r="B27" s="11" t="s">
        <v>267</v>
      </c>
      <c r="C27" s="14">
        <v>45948</v>
      </c>
      <c r="D27" s="18">
        <v>275000</v>
      </c>
      <c r="E27" s="12">
        <v>65</v>
      </c>
      <c r="F27" s="11" t="s">
        <v>268</v>
      </c>
      <c r="G27" s="13">
        <v>5</v>
      </c>
      <c r="H27" s="13">
        <v>0</v>
      </c>
      <c r="I27" s="11" t="s">
        <v>269</v>
      </c>
      <c r="J27" s="13">
        <v>0</v>
      </c>
      <c r="K27" s="13">
        <v>60</v>
      </c>
      <c r="L27" s="19">
        <f t="shared" si="0"/>
        <v>4230.7692307692305</v>
      </c>
      <c r="M27" s="20">
        <f>IF(OR($C$19&lt;&gt;"OK",NOT(ISNUMBER(C27)),ISNA(MATCH(F27,Référentiel!$B$47:$B$50,0)),NOT(ISNUMBER(G27)),NOT(ISNUMBER(H27)),ISNA(MATCH(I27,Référentiel!$C$47:$C$53,0)),NOT(ISNUMBER(J27))),0,(MATCH($C$11,Référentiel!$B$47:$B$50,0)-MATCH(F27,Référentiel!$B$47:$B$50,0))*Référentiel!$C$23+($C$12-G27)*Référentiel!$C$24*IF($C$16=0,-1,1)+($C$13-H27)*Référentiel!$C$25+(INDEX(Référentiel!$C$13:$D$19,MATCH($C$14,Référentiel!$C$47:$C$53,0),MATCH($C$9,Référentiel!$C$12:$D$12,0))-INDEX(Référentiel!$C$13:$D$19,MATCH(I27,Référentiel!$C$47:$C$53,0),MATCH($C$9,Référentiel!$C$12:$D$12,0)))+($C$15-J27)*Référentiel!$C$26+(($C$17-C27)/(365.25/12))*(Référentiel!$C$9/12))</f>
        <v>0.21482683093771393</v>
      </c>
      <c r="N27" s="19">
        <f t="shared" si="1"/>
        <v>5139.6519770441737</v>
      </c>
      <c r="O27" s="21">
        <f>IF(P27=Référentiel!$D$47,K27,0)</f>
        <v>60</v>
      </c>
      <c r="P27" s="22" t="str">
        <f>IF(COUNTA(B27:K27)=0,"",IF($C$19&lt;&gt;"OK",Référentiel!$D$49&amp;" : le bien est incomplet",IF(OR(NOT(ISNUMBER(D27)),D27&lt;=0),Référentiel!$D$49&amp;" : prix net vendeur manquant",IF(OR(NOT(ISNUMBER(E27)),E27&lt;=0),Référentiel!$D$49&amp;" : surface manquante",IF(NOT(ISNUMBER(C27)),Référentiel!$D$49&amp;" : date de vente non exploitable",IF(C27&gt;$C$17,Référentiel!$D$49&amp;" : vente postérieure à la date de l'avis",IF(ISNA(MATCH(F27,Référentiel!$B$47:$B$50,0)),Référentiel!$D$49&amp;" : état hors liste",IF(OR(NOT(ISNUMBER(G27)),G27&lt;Référentiel!$C$41,G27&gt;Référentiel!$C$42),Référentiel!$D$49&amp;" : étage hors bornes",IF(OR(NOT(ISNUMBER(H27)),H27&lt;0,H27&gt;1),Référentiel!$D$49&amp;" : extérieur, saisir 1 ou 0",IF(ISNA(MATCH(I27,Référentiel!$C$47:$C$53,0)),Référentiel!$D$49&amp;" : DPE hors liste",IF(OR(NOT(ISNUMBER(J27)),J27&lt;0,J27&gt;1),Référentiel!$D$49&amp;" : stationnement, saisir 1 ou 0",IF(OR(NOT(ISNUMBER(K27)),K27&lt;0,K27&gt;Référentiel!$C$43),Référentiel!$D$49&amp;" : similarité hors de 0 à "&amp;TEXT(Référentiel!$C$43,"0"),IF(K27=0,Référentiel!$D$49&amp;" : similarité nulle, le comparable ne pèserait rien",IF(($C$17-C27)/(365.25/12)&gt;Référentiel!$C$35,Référentiel!$D$48&amp;" : vente de "&amp;TEXT(ROUND(($C$17-C27)/(365.25/12),0),"0")&amp;" mois, au-delà du plafond",IF(ABS(M27)&gt;Référentiel!$C$32,Référentiel!$D$48&amp;" : ajustement de "&amp;ROUND(M27*100,1)&amp;" %"&amp;", au-delà du plafond",Référentiel!$D$47)))))))))))))))</f>
        <v>Retenu</v>
      </c>
    </row>
    <row r="28" spans="2:16" x14ac:dyDescent="0.35">
      <c r="B28" s="11" t="s">
        <v>270</v>
      </c>
      <c r="C28" s="14">
        <v>46080</v>
      </c>
      <c r="D28" s="18">
        <v>331000</v>
      </c>
      <c r="E28" s="12">
        <v>74</v>
      </c>
      <c r="F28" s="11" t="s">
        <v>228</v>
      </c>
      <c r="G28" s="13">
        <v>3</v>
      </c>
      <c r="H28" s="13">
        <v>1</v>
      </c>
      <c r="I28" s="11" t="s">
        <v>235</v>
      </c>
      <c r="J28" s="13">
        <v>1</v>
      </c>
      <c r="K28" s="13">
        <v>90</v>
      </c>
      <c r="L28" s="19">
        <f t="shared" si="0"/>
        <v>4472.9729729729734</v>
      </c>
      <c r="M28" s="20">
        <f>IF(OR($C$19&lt;&gt;"OK",NOT(ISNUMBER(C28)),ISNA(MATCH(F28,Référentiel!$B$47:$B$50,0)),NOT(ISNUMBER(G28)),NOT(ISNUMBER(H28)),ISNA(MATCH(I28,Référentiel!$C$47:$C$53,0)),NOT(ISNUMBER(J28))),0,(MATCH($C$11,Référentiel!$B$47:$B$50,0)-MATCH(F28,Référentiel!$B$47:$B$50,0))*Référentiel!$C$23+($C$12-G28)*Référentiel!$C$24*IF($C$16=0,-1,1)+($C$13-H28)*Référentiel!$C$25+(INDEX(Référentiel!$C$13:$D$19,MATCH($C$14,Référentiel!$C$47:$C$53,0),MATCH($C$9,Référentiel!$C$12:$D$12,0))-INDEX(Référentiel!$C$13:$D$19,MATCH(I28,Référentiel!$C$47:$C$53,0),MATCH($C$9,Référentiel!$C$12:$D$12,0)))+($C$15-J28)*Référentiel!$C$26+(($C$17-C28)/(365.25/12))*(Référentiel!$C$9/12))</f>
        <v>-5.153456536618755E-2</v>
      </c>
      <c r="N28" s="19">
        <f t="shared" si="1"/>
        <v>4242.4602549161073</v>
      </c>
      <c r="O28" s="21">
        <f>IF(P28=Référentiel!$D$47,K28,0)</f>
        <v>90</v>
      </c>
      <c r="P28" s="22" t="str">
        <f>IF(COUNTA(B28:K28)=0,"",IF($C$19&lt;&gt;"OK",Référentiel!$D$49&amp;" : le bien est incomplet",IF(OR(NOT(ISNUMBER(D28)),D28&lt;=0),Référentiel!$D$49&amp;" : prix net vendeur manquant",IF(OR(NOT(ISNUMBER(E28)),E28&lt;=0),Référentiel!$D$49&amp;" : surface manquante",IF(NOT(ISNUMBER(C28)),Référentiel!$D$49&amp;" : date de vente non exploitable",IF(C28&gt;$C$17,Référentiel!$D$49&amp;" : vente postérieure à la date de l'avis",IF(ISNA(MATCH(F28,Référentiel!$B$47:$B$50,0)),Référentiel!$D$49&amp;" : état hors liste",IF(OR(NOT(ISNUMBER(G28)),G28&lt;Référentiel!$C$41,G28&gt;Référentiel!$C$42),Référentiel!$D$49&amp;" : étage hors bornes",IF(OR(NOT(ISNUMBER(H28)),H28&lt;0,H28&gt;1),Référentiel!$D$49&amp;" : extérieur, saisir 1 ou 0",IF(ISNA(MATCH(I28,Référentiel!$C$47:$C$53,0)),Référentiel!$D$49&amp;" : DPE hors liste",IF(OR(NOT(ISNUMBER(J28)),J28&lt;0,J28&gt;1),Référentiel!$D$49&amp;" : stationnement, saisir 1 ou 0",IF(OR(NOT(ISNUMBER(K28)),K28&lt;0,K28&gt;Référentiel!$C$43),Référentiel!$D$49&amp;" : similarité hors de 0 à "&amp;TEXT(Référentiel!$C$43,"0"),IF(K28=0,Référentiel!$D$49&amp;" : similarité nulle, le comparable ne pèserait rien",IF(($C$17-C28)/(365.25/12)&gt;Référentiel!$C$35,Référentiel!$D$48&amp;" : vente de "&amp;TEXT(ROUND(($C$17-C28)/(365.25/12),0),"0")&amp;" mois, au-delà du plafond",IF(ABS(M28)&gt;Référentiel!$C$32,Référentiel!$D$48&amp;" : ajustement de "&amp;ROUND(M28*100,1)&amp;" %"&amp;", au-delà du plafond",Référentiel!$D$47)))))))))))))))</f>
        <v>Retenu</v>
      </c>
    </row>
    <row r="29" spans="2:16" x14ac:dyDescent="0.35">
      <c r="B29" s="11"/>
      <c r="C29" s="14"/>
      <c r="D29" s="18"/>
      <c r="E29" s="12"/>
      <c r="F29" s="11"/>
      <c r="G29" s="13"/>
      <c r="H29" s="13"/>
      <c r="I29" s="11"/>
      <c r="J29" s="13"/>
      <c r="K29" s="13"/>
      <c r="L29" s="19">
        <f t="shared" si="0"/>
        <v>0</v>
      </c>
      <c r="M29" s="20">
        <f>IF(OR($C$19&lt;&gt;"OK",NOT(ISNUMBER(C29)),ISNA(MATCH(F29,Référentiel!$B$47:$B$50,0)),NOT(ISNUMBER(G29)),NOT(ISNUMBER(H29)),ISNA(MATCH(I29,Référentiel!$C$47:$C$53,0)),NOT(ISNUMBER(J29))),0,(MATCH($C$11,Référentiel!$B$47:$B$50,0)-MATCH(F29,Référentiel!$B$47:$B$50,0))*Référentiel!$C$23+($C$12-G29)*Référentiel!$C$24*IF($C$16=0,-1,1)+($C$13-H29)*Référentiel!$C$25+(INDEX(Référentiel!$C$13:$D$19,MATCH($C$14,Référentiel!$C$47:$C$53,0),MATCH($C$9,Référentiel!$C$12:$D$12,0))-INDEX(Référentiel!$C$13:$D$19,MATCH(I29,Référentiel!$C$47:$C$53,0),MATCH($C$9,Référentiel!$C$12:$D$12,0)))+($C$15-J29)*Référentiel!$C$26+(($C$17-C29)/(365.25/12))*(Référentiel!$C$9/12))</f>
        <v>0</v>
      </c>
      <c r="N29" s="19">
        <f t="shared" si="1"/>
        <v>0</v>
      </c>
      <c r="O29" s="21">
        <f>IF(P29=Référentiel!$D$47,K29,0)</f>
        <v>0</v>
      </c>
      <c r="P29" s="22" t="str">
        <f>IF(COUNTA(B29:K29)=0,"",IF($C$19&lt;&gt;"OK",Référentiel!$D$49&amp;" : le bien est incomplet",IF(OR(NOT(ISNUMBER(D29)),D29&lt;=0),Référentiel!$D$49&amp;" : prix net vendeur manquant",IF(OR(NOT(ISNUMBER(E29)),E29&lt;=0),Référentiel!$D$49&amp;" : surface manquante",IF(NOT(ISNUMBER(C29)),Référentiel!$D$49&amp;" : date de vente non exploitable",IF(C29&gt;$C$17,Référentiel!$D$49&amp;" : vente postérieure à la date de l'avis",IF(ISNA(MATCH(F29,Référentiel!$B$47:$B$50,0)),Référentiel!$D$49&amp;" : état hors liste",IF(OR(NOT(ISNUMBER(G29)),G29&lt;Référentiel!$C$41,G29&gt;Référentiel!$C$42),Référentiel!$D$49&amp;" : étage hors bornes",IF(OR(NOT(ISNUMBER(H29)),H29&lt;0,H29&gt;1),Référentiel!$D$49&amp;" : extérieur, saisir 1 ou 0",IF(ISNA(MATCH(I29,Référentiel!$C$47:$C$53,0)),Référentiel!$D$49&amp;" : DPE hors liste",IF(OR(NOT(ISNUMBER(J29)),J29&lt;0,J29&gt;1),Référentiel!$D$49&amp;" : stationnement, saisir 1 ou 0",IF(OR(NOT(ISNUMBER(K29)),K29&lt;0,K29&gt;Référentiel!$C$43),Référentiel!$D$49&amp;" : similarité hors de 0 à "&amp;TEXT(Référentiel!$C$43,"0"),IF(K29=0,Référentiel!$D$49&amp;" : similarité nulle, le comparable ne pèserait rien",IF(($C$17-C29)/(365.25/12)&gt;Référentiel!$C$35,Référentiel!$D$48&amp;" : vente de "&amp;TEXT(ROUND(($C$17-C29)/(365.25/12),0),"0")&amp;" mois, au-delà du plafond",IF(ABS(M29)&gt;Référentiel!$C$32,Référentiel!$D$48&amp;" : ajustement de "&amp;ROUND(M29*100,1)&amp;" %"&amp;", au-delà du plafond",Référentiel!$D$47)))))))))))))))</f>
        <v/>
      </c>
    </row>
    <row r="30" spans="2:16" x14ac:dyDescent="0.35">
      <c r="B30" s="11"/>
      <c r="C30" s="14"/>
      <c r="D30" s="18"/>
      <c r="E30" s="12"/>
      <c r="F30" s="11"/>
      <c r="G30" s="13"/>
      <c r="H30" s="13"/>
      <c r="I30" s="11"/>
      <c r="J30" s="13"/>
      <c r="K30" s="13"/>
      <c r="L30" s="19">
        <f t="shared" si="0"/>
        <v>0</v>
      </c>
      <c r="M30" s="20">
        <f>IF(OR($C$19&lt;&gt;"OK",NOT(ISNUMBER(C30)),ISNA(MATCH(F30,Référentiel!$B$47:$B$50,0)),NOT(ISNUMBER(G30)),NOT(ISNUMBER(H30)),ISNA(MATCH(I30,Référentiel!$C$47:$C$53,0)),NOT(ISNUMBER(J30))),0,(MATCH($C$11,Référentiel!$B$47:$B$50,0)-MATCH(F30,Référentiel!$B$47:$B$50,0))*Référentiel!$C$23+($C$12-G30)*Référentiel!$C$24*IF($C$16=0,-1,1)+($C$13-H30)*Référentiel!$C$25+(INDEX(Référentiel!$C$13:$D$19,MATCH($C$14,Référentiel!$C$47:$C$53,0),MATCH($C$9,Référentiel!$C$12:$D$12,0))-INDEX(Référentiel!$C$13:$D$19,MATCH(I30,Référentiel!$C$47:$C$53,0),MATCH($C$9,Référentiel!$C$12:$D$12,0)))+($C$15-J30)*Référentiel!$C$26+(($C$17-C30)/(365.25/12))*(Référentiel!$C$9/12))</f>
        <v>0</v>
      </c>
      <c r="N30" s="19">
        <f t="shared" si="1"/>
        <v>0</v>
      </c>
      <c r="O30" s="21">
        <f>IF(P30=Référentiel!$D$47,K30,0)</f>
        <v>0</v>
      </c>
      <c r="P30" s="22" t="str">
        <f>IF(COUNTA(B30:K30)=0,"",IF($C$19&lt;&gt;"OK",Référentiel!$D$49&amp;" : le bien est incomplet",IF(OR(NOT(ISNUMBER(D30)),D30&lt;=0),Référentiel!$D$49&amp;" : prix net vendeur manquant",IF(OR(NOT(ISNUMBER(E30)),E30&lt;=0),Référentiel!$D$49&amp;" : surface manquante",IF(NOT(ISNUMBER(C30)),Référentiel!$D$49&amp;" : date de vente non exploitable",IF(C30&gt;$C$17,Référentiel!$D$49&amp;" : vente postérieure à la date de l'avis",IF(ISNA(MATCH(F30,Référentiel!$B$47:$B$50,0)),Référentiel!$D$49&amp;" : état hors liste",IF(OR(NOT(ISNUMBER(G30)),G30&lt;Référentiel!$C$41,G30&gt;Référentiel!$C$42),Référentiel!$D$49&amp;" : étage hors bornes",IF(OR(NOT(ISNUMBER(H30)),H30&lt;0,H30&gt;1),Référentiel!$D$49&amp;" : extérieur, saisir 1 ou 0",IF(ISNA(MATCH(I30,Référentiel!$C$47:$C$53,0)),Référentiel!$D$49&amp;" : DPE hors liste",IF(OR(NOT(ISNUMBER(J30)),J30&lt;0,J30&gt;1),Référentiel!$D$49&amp;" : stationnement, saisir 1 ou 0",IF(OR(NOT(ISNUMBER(K30)),K30&lt;0,K30&gt;Référentiel!$C$43),Référentiel!$D$49&amp;" : similarité hors de 0 à "&amp;TEXT(Référentiel!$C$43,"0"),IF(K30=0,Référentiel!$D$49&amp;" : similarité nulle, le comparable ne pèserait rien",IF(($C$17-C30)/(365.25/12)&gt;Référentiel!$C$35,Référentiel!$D$48&amp;" : vente de "&amp;TEXT(ROUND(($C$17-C30)/(365.25/12),0),"0")&amp;" mois, au-delà du plafond",IF(ABS(M30)&gt;Référentiel!$C$32,Référentiel!$D$48&amp;" : ajustement de "&amp;ROUND(M30*100,1)&amp;" %"&amp;", au-delà du plafond",Référentiel!$D$47)))))))))))))))</f>
        <v/>
      </c>
    </row>
    <row r="32" spans="2:16" ht="18" customHeight="1" x14ac:dyDescent="0.35">
      <c r="B32" s="1" t="s">
        <v>271</v>
      </c>
      <c r="C32" s="1"/>
      <c r="D32" s="1"/>
      <c r="E32" s="1"/>
      <c r="F32" s="1"/>
      <c r="G32" s="1"/>
      <c r="H32" s="1"/>
      <c r="I32" s="1"/>
      <c r="J32" s="1"/>
      <c r="K32" s="1"/>
      <c r="L32" s="1"/>
      <c r="M32" s="1"/>
      <c r="N32" s="1"/>
      <c r="O32" s="1"/>
      <c r="P32" s="1"/>
    </row>
    <row r="33" spans="2:16" x14ac:dyDescent="0.35">
      <c r="B33" s="10" t="s">
        <v>272</v>
      </c>
      <c r="C33" s="23">
        <f>SUMPRODUCT(--($P$23:$P$30&lt;&gt;""))</f>
        <v>6</v>
      </c>
      <c r="D33" s="9" t="s">
        <v>273</v>
      </c>
    </row>
    <row r="34" spans="2:16" ht="21" customHeight="1" x14ac:dyDescent="0.35">
      <c r="B34" s="24" t="s">
        <v>119</v>
      </c>
      <c r="C34" s="25">
        <f>COUNTIF($P$23:$P$30,Référentiel!$D$47)</f>
        <v>6</v>
      </c>
      <c r="D34" s="9" t="s">
        <v>274</v>
      </c>
    </row>
    <row r="35" spans="2:16" x14ac:dyDescent="0.35">
      <c r="B35" s="10" t="s">
        <v>275</v>
      </c>
      <c r="C35" s="23">
        <f>COUNTIF($P$23:$P$30,Référentiel!$D$49&amp;"*")</f>
        <v>0</v>
      </c>
      <c r="D35" s="9" t="s">
        <v>276</v>
      </c>
    </row>
    <row r="36" spans="2:16" x14ac:dyDescent="0.35">
      <c r="B36" s="10" t="s">
        <v>277</v>
      </c>
      <c r="C36" s="23">
        <f>COUNTIF($P$23:$P$30,Référentiel!$D$48&amp;"*")</f>
        <v>0</v>
      </c>
      <c r="D36" s="9" t="s">
        <v>278</v>
      </c>
    </row>
    <row r="37" spans="2:16" x14ac:dyDescent="0.35">
      <c r="B37" s="10" t="s">
        <v>279</v>
      </c>
      <c r="C37" s="15" t="str">
        <f>IF($C$35=0,"Aucune ligne à compléter.","Comparable "&amp;TEXT(MATCH(Référentiel!$D$49&amp;"*",$P$23:$P$30,0),"0")&amp;IF(INDEX($B$23:$B$30,MATCH(Référentiel!$D$49&amp;"*",$P$23:$P$30,0))=""," "," ("&amp;INDEX($B$23:$B$30,MATCH(Référentiel!$D$49&amp;"*",$P$23:$P$30,0))&amp;") ")&amp;": "&amp;INDEX($P$23:$P$30,MATCH(Référentiel!$D$49&amp;"*",$P$23:$P$30,0))&amp;IF($C$35&gt;1," Et "&amp;TEXT($C$35-1,"0")&amp;" autre(s) ligne(s) à compléter.",""))</f>
        <v>Aucune ligne à compléter.</v>
      </c>
      <c r="D37" s="9"/>
      <c r="M37" s="9" t="s">
        <v>280</v>
      </c>
    </row>
    <row r="38" spans="2:16" x14ac:dyDescent="0.35">
      <c r="B38" s="10" t="s">
        <v>281</v>
      </c>
      <c r="C38" s="16" t="str">
        <f>IF($C$35=0,"OK","À CORRIGER")</f>
        <v>OK</v>
      </c>
      <c r="D38" s="9" t="s">
        <v>282</v>
      </c>
    </row>
    <row r="39" spans="2:16" x14ac:dyDescent="0.35">
      <c r="B39" s="10" t="s">
        <v>283</v>
      </c>
      <c r="C39" s="26">
        <f>IF(COUNTIF($L$23:$L$30,"&gt;0")&gt;0,SUMIF($L$23:$L$30,"&gt;0")/COUNTIF($L$23:$L$30,"&gt;0"),0)</f>
        <v>4406.2267395600729</v>
      </c>
      <c r="D39" s="9" t="s">
        <v>284</v>
      </c>
    </row>
    <row r="40" spans="2:16" x14ac:dyDescent="0.35">
      <c r="B40" s="10" t="s">
        <v>285</v>
      </c>
      <c r="C40" s="27">
        <f>IF($C$39&gt;0,MAX(SUMPRODUCT(MAX(($L$23:$L$30&gt;0)*($L$23:$L$30-$C$39))),SUMPRODUCT(MAX(($L$23:$L$30&gt;0)*($C$39-$L$23:$L$30))))/$C$39,0)</f>
        <v>4.2296019712123663E-2</v>
      </c>
      <c r="D40" s="9" t="s">
        <v>286</v>
      </c>
    </row>
    <row r="41" spans="2:16" x14ac:dyDescent="0.35">
      <c r="B41" s="10" t="s">
        <v>287</v>
      </c>
      <c r="C41" s="15" t="str">
        <f>IF(OR($C$39&lt;=0,$C$40&lt;=Référentiel!$C$40),"Prix au m² cohérents entre eux.","Comparable "&amp;TEXT(SUMPRODUCT(MAX(((($L$23:$L$30-$C$39)=MAX(SUMPRODUCT(MAX(($L$23:$L$30&gt;0)*($L$23:$L$30-$C$39))),SUMPRODUCT(MAX(($L$23:$L$30&gt;0)*($C$39-$L$23:$L$30)))))+(($C$39-$L$23:$L$30)=MAX(SUMPRODUCT(MAX(($L$23:$L$30&gt;0)*($L$23:$L$30-$C$39))),SUMPRODUCT(MAX(($L$23:$L$30&gt;0)*($C$39-$L$23:$L$30))))))*($L$23:$L$30&gt;0)*ROW($L$23:$L$30)))-ROW($L$23)+1,"0")&amp;IF(INDEX($B$23:$B$30,SUMPRODUCT(MAX(((($L$23:$L$30-$C$39)=MAX(SUMPRODUCT(MAX(($L$23:$L$30&gt;0)*($L$23:$L$30-$C$39))),SUMPRODUCT(MAX(($L$23:$L$30&gt;0)*($C$39-$L$23:$L$30)))))+(($C$39-$L$23:$L$30)=MAX(SUMPRODUCT(MAX(($L$23:$L$30&gt;0)*($L$23:$L$30-$C$39))),SUMPRODUCT(MAX(($L$23:$L$30&gt;0)*($C$39-$L$23:$L$30))))))*($L$23:$L$30&gt;0)*ROW($L$23:$L$30)))-ROW($L$23)+1)=""," "," ("&amp;INDEX($B$23:$B$30,SUMPRODUCT(MAX(((($L$23:$L$30-$C$39)=MAX(SUMPRODUCT(MAX(($L$23:$L$30&gt;0)*($L$23:$L$30-$C$39))),SUMPRODUCT(MAX(($L$23:$L$30&gt;0)*($C$39-$L$23:$L$30)))))+(($C$39-$L$23:$L$30)=MAX(SUMPRODUCT(MAX(($L$23:$L$30&gt;0)*($L$23:$L$30-$C$39))),SUMPRODUCT(MAX(($L$23:$L$30&gt;0)*($C$39-$L$23:$L$30))))))*($L$23:$L$30&gt;0)*ROW($L$23:$L$30)))-ROW($L$23)+1)&amp;") ")&amp;": son prix au m² s'écarte de "&amp;ROUND($C$40*100,0)&amp;" %"&amp;" de la moyenne du panel. Vérifiez qu'il s'agit bien d'un prix net vendeur, hors "&amp;"honoraires d'agence et hors droits de mutation, comme les autres lignes.")</f>
        <v>Prix au m² cohérents entre eux.</v>
      </c>
      <c r="D41" s="9"/>
      <c r="M41" s="9" t="s">
        <v>288</v>
      </c>
    </row>
    <row r="42" spans="2:16" x14ac:dyDescent="0.35">
      <c r="B42" s="10" t="s">
        <v>289</v>
      </c>
      <c r="C42" s="16" t="str">
        <f>IF($C$39&gt;0,IF($C$40&lt;=Référentiel!$C$40,"OK","À VÉRIFIER"),"")</f>
        <v>OK</v>
      </c>
      <c r="D42" s="9" t="s">
        <v>290</v>
      </c>
    </row>
    <row r="43" spans="2:16" x14ac:dyDescent="0.35">
      <c r="B43" s="10" t="s">
        <v>126</v>
      </c>
      <c r="C43" s="27">
        <f>IF(SUM($O$23:$O$30)&gt;0,MAX($O$23:$O$30)/SUM($O$23:$O$30),0)</f>
        <v>0.19565217391304349</v>
      </c>
      <c r="D43" s="9" t="s">
        <v>291</v>
      </c>
    </row>
    <row r="45" spans="2:16" ht="18" customHeight="1" x14ac:dyDescent="0.35">
      <c r="B45" s="1" t="s">
        <v>292</v>
      </c>
      <c r="C45" s="1"/>
      <c r="D45" s="1"/>
      <c r="E45" s="1"/>
      <c r="F45" s="1"/>
      <c r="G45" s="1"/>
      <c r="H45" s="1"/>
      <c r="I45" s="1"/>
      <c r="J45" s="1"/>
      <c r="K45" s="1"/>
      <c r="L45" s="1"/>
      <c r="M45" s="1"/>
      <c r="N45" s="1"/>
      <c r="O45" s="1"/>
      <c r="P45" s="1"/>
    </row>
    <row r="46" spans="2:16" x14ac:dyDescent="0.35">
      <c r="B46" s="24" t="s">
        <v>134</v>
      </c>
      <c r="C46" s="28">
        <f>IF(SUM($O$23:$O$30)&gt;0,SUMPRODUCT($N$23:$N$30,$O$23:$O$30)/SUM($O$23:$O$30),0)</f>
        <v>4361.852294851491</v>
      </c>
      <c r="D46" s="9" t="s">
        <v>293</v>
      </c>
    </row>
    <row r="47" spans="2:16" x14ac:dyDescent="0.35">
      <c r="B47" s="10" t="s">
        <v>294</v>
      </c>
      <c r="C47" s="26">
        <f>IF($C$34&gt;0,SUMPRODUCT(MIN(($O$23:$O$30&gt;0)*$N$23:$N$30+($O$23:$O$30=0)*$C$48)),0)</f>
        <v>3815.3021288544905</v>
      </c>
      <c r="D47" s="9" t="s">
        <v>295</v>
      </c>
    </row>
    <row r="48" spans="2:16" x14ac:dyDescent="0.35">
      <c r="B48" s="10" t="s">
        <v>296</v>
      </c>
      <c r="C48" s="26">
        <f>IF($C$34&gt;0,SUMPRODUCT(MAX(($O$23:$O$30&gt;0)*$N$23:$N$30)),0)</f>
        <v>5139.6519770441737</v>
      </c>
      <c r="D48" s="9" t="s">
        <v>297</v>
      </c>
    </row>
    <row r="49" spans="2:16" x14ac:dyDescent="0.35">
      <c r="B49" s="10" t="s">
        <v>298</v>
      </c>
      <c r="C49" s="26">
        <f>IF(AND($C$34&gt;=Référentiel!$C$36,$C$46&gt;0),SQRT(SUMPRODUCT($O$23:$O$30,($N$23:$N$30-$C$46)^2)/SUM($O$23:$O$30)*$C$34/($C$34-1)),0)</f>
        <v>455.20379966407779</v>
      </c>
      <c r="D49" s="9" t="s">
        <v>299</v>
      </c>
    </row>
    <row r="50" spans="2:16" x14ac:dyDescent="0.35">
      <c r="B50" s="10" t="s">
        <v>138</v>
      </c>
      <c r="C50" s="27">
        <f>IF($C$46&gt;0,$C$49/$C$46,0)</f>
        <v>0.10436020499854551</v>
      </c>
      <c r="D50" s="9" t="s">
        <v>300</v>
      </c>
    </row>
    <row r="51" spans="2:16" x14ac:dyDescent="0.35">
      <c r="B51" s="10" t="s">
        <v>301</v>
      </c>
      <c r="C51" s="27">
        <f>IF($C$34&lt;Référentiel!$C$36,Référentiel!$C$38,MAX(Référentiel!$C$37,$C$50))</f>
        <v>0.10436020499854551</v>
      </c>
      <c r="D51" s="9" t="s">
        <v>302</v>
      </c>
    </row>
    <row r="52" spans="2:16" x14ac:dyDescent="0.35">
      <c r="B52" s="10" t="s">
        <v>303</v>
      </c>
      <c r="C52" s="15" t="str">
        <f>IF($C$34&lt;Référentiel!$C$36,"Échantillon trop faible pour mesurer une dispersion : demi-fourchette de repli de "&amp;ROUND(Référentiel!$C$38*100,1)&amp;" %"&amp;", à justifier au dossier.","Demi-fourchette fondée sur l'écart type pondéré des comparables retenus, avec un plancher de "&amp;ROUND(Référentiel!$C$37*100,1)&amp;" %"&amp;".")</f>
        <v>Demi-fourchette fondée sur l'écart type pondéré des comparables retenus, avec un plancher de 3 %.</v>
      </c>
      <c r="D52" s="9"/>
      <c r="M52" s="9" t="s">
        <v>304</v>
      </c>
    </row>
    <row r="53" spans="2:16" x14ac:dyDescent="0.35">
      <c r="B53" s="10" t="s">
        <v>305</v>
      </c>
      <c r="C53" s="16" t="str">
        <f>IF(AND($C$34&gt;=Référentiel!$C$36,$C$50&lt;=Référentiel!$C$39),"OK","À JUSTIFIER")</f>
        <v>OK</v>
      </c>
      <c r="D53" s="9" t="s">
        <v>306</v>
      </c>
    </row>
    <row r="55" spans="2:16" ht="18" customHeight="1" x14ac:dyDescent="0.35">
      <c r="B55" s="1" t="s">
        <v>307</v>
      </c>
      <c r="C55" s="1"/>
      <c r="D55" s="1"/>
      <c r="E55" s="1"/>
      <c r="F55" s="1"/>
      <c r="G55" s="1"/>
      <c r="H55" s="1"/>
      <c r="I55" s="1"/>
      <c r="J55" s="1"/>
      <c r="K55" s="1"/>
      <c r="L55" s="1"/>
      <c r="M55" s="1"/>
      <c r="N55" s="1"/>
      <c r="O55" s="1"/>
      <c r="P55" s="1"/>
    </row>
    <row r="56" spans="2:16" ht="21" customHeight="1" x14ac:dyDescent="0.35">
      <c r="B56" s="24" t="s">
        <v>308</v>
      </c>
      <c r="C56" s="29">
        <f>IF($C$19&lt;&gt;"OK","Bien incomplet",IF($C$35&gt;0,"Lignes à compléter",IF($C$34&lt;Référentiel!$C$33,"Trop peu de comparables",IF($C$43&gt;Référentiel!$C$34,"Un comparable domine",$C$46*$C$10))))</f>
        <v>327138.92211386183</v>
      </c>
      <c r="D56" s="9" t="s">
        <v>309</v>
      </c>
    </row>
    <row r="57" spans="2:16" x14ac:dyDescent="0.35">
      <c r="B57" s="24" t="s">
        <v>310</v>
      </c>
      <c r="C57" s="30">
        <f>IF(ISNUMBER($C$56),$C$56*(1-$C$51),$C$56)</f>
        <v>292998.63713905599</v>
      </c>
      <c r="D57" s="9" t="s">
        <v>311</v>
      </c>
    </row>
    <row r="58" spans="2:16" x14ac:dyDescent="0.35">
      <c r="B58" s="24" t="s">
        <v>312</v>
      </c>
      <c r="C58" s="30">
        <f>IF(ISNUMBER($C$56),$C$56*(1+$C$51),$C$56)</f>
        <v>361279.20708866767</v>
      </c>
      <c r="D58" s="9" t="s">
        <v>313</v>
      </c>
    </row>
    <row r="59" spans="2:16" x14ac:dyDescent="0.35">
      <c r="B59" s="24" t="s">
        <v>314</v>
      </c>
      <c r="C59" s="31" t="str">
        <f>IF(ISNUMBER($C$56),IF(ROUND($C$57,0)&gt;=1000000,TEXT(INT(ROUND($C$57,0)/1000000),"0")&amp;" "&amp;TEXT(INT(MOD(ROUND($C$57,0),1000000)/1000),"000")&amp;" "&amp;TEXT(MOD(ROUND($C$57,0),1000),"000"),IF(ROUND($C$57,0)&gt;=1000,TEXT(INT(ROUND($C$57,0)/1000),"0")&amp;" "&amp;TEXT(MOD(ROUND($C$57,0),1000),"000"),TEXT(ROUND($C$57,0),"0")))&amp;" €"&amp;" à "&amp;IF(ROUND($C$58,0)&gt;=1000000,TEXT(INT(ROUND($C$58,0)/1000000),"0")&amp;" "&amp;TEXT(INT(MOD(ROUND($C$58,0),1000000)/1000),"000")&amp;" "&amp;TEXT(MOD(ROUND($C$58,0),1000),"000"),IF(ROUND($C$58,0)&gt;=1000,TEXT(INT(ROUND($C$58,0)/1000),"0")&amp;" "&amp;TEXT(MOD(ROUND($C$58,0),1000),"000"),TEXT(ROUND($C$58,0),"0")))&amp;" €",$C$56)</f>
        <v>292 999 € à 361 279 €</v>
      </c>
      <c r="D59" s="9"/>
      <c r="M59" s="9" t="s">
        <v>315</v>
      </c>
    </row>
    <row r="61" spans="2:16" x14ac:dyDescent="0.35">
      <c r="B61" s="9" t="s">
        <v>316</v>
      </c>
    </row>
    <row r="62" spans="2:16" x14ac:dyDescent="0.35">
      <c r="B62" s="9" t="s">
        <v>317</v>
      </c>
    </row>
    <row r="63" spans="2:16" x14ac:dyDescent="0.35">
      <c r="B63" s="9" t="s">
        <v>318</v>
      </c>
    </row>
    <row r="65" spans="2:16" ht="36" customHeight="1" x14ac:dyDescent="0.35">
      <c r="B65" s="43" t="s">
        <v>214</v>
      </c>
      <c r="C65" s="37"/>
      <c r="D65" s="37"/>
      <c r="E65" s="37"/>
      <c r="F65" s="37"/>
      <c r="G65" s="37"/>
      <c r="H65" s="37"/>
      <c r="I65" s="37"/>
      <c r="J65" s="37"/>
      <c r="K65" s="37"/>
      <c r="L65" s="37"/>
      <c r="M65" s="37"/>
      <c r="N65" s="37"/>
      <c r="O65" s="37"/>
      <c r="P65" s="37"/>
    </row>
  </sheetData>
  <sheetProtection sheet="1" formatColumns="0" formatRows="0"/>
  <mergeCells count="1">
    <mergeCell ref="B65:P65"/>
  </mergeCells>
  <conditionalFormatting sqref="C19">
    <cfRule type="cellIs" dxfId="7" priority="1" operator="equal">
      <formula>"OK"</formula>
    </cfRule>
    <cfRule type="cellIs" dxfId="6" priority="2" operator="equal">
      <formula>"À CORRIGER"</formula>
    </cfRule>
  </conditionalFormatting>
  <conditionalFormatting sqref="C38">
    <cfRule type="cellIs" dxfId="5" priority="3" operator="equal">
      <formula>"OK"</formula>
    </cfRule>
    <cfRule type="cellIs" dxfId="4" priority="4" operator="equal">
      <formula>"À CORRIGER"</formula>
    </cfRule>
  </conditionalFormatting>
  <conditionalFormatting sqref="C42">
    <cfRule type="cellIs" dxfId="3" priority="5" operator="equal">
      <formula>"OK"</formula>
    </cfRule>
    <cfRule type="cellIs" dxfId="2" priority="6" operator="equal">
      <formula>"À VÉRIFIER"</formula>
    </cfRule>
  </conditionalFormatting>
  <conditionalFormatting sqref="C53">
    <cfRule type="cellIs" dxfId="1" priority="7" operator="equal">
      <formula>"OK"</formula>
    </cfRule>
    <cfRule type="cellIs" dxfId="0" priority="8" operator="equal">
      <formula>"À JUSTIFIER"</formula>
    </cfRule>
  </conditionalFormatting>
  <dataValidations count="3">
    <dataValidation type="decimal" operator="greaterThanOrEqual" allowBlank="1" showErrorMessage="1" errorTitle="Saisie" error="Surface habitable en m², au moins 1." sqref="C10 E23:E30" xr:uid="{00000000-0002-0000-0100-000005000000}">
      <formula1>1</formula1>
    </dataValidation>
    <dataValidation type="whole" allowBlank="1" showErrorMessage="1" errorTitle="Saisie" error="Saisissez 1 (oui) ou 0 (non)." sqref="C13 J23:J30 H23:H30 C15:C16" xr:uid="{00000000-0002-0000-0100-000007000000}">
      <formula1>0</formula1>
      <formula2>1</formula2>
    </dataValidation>
    <dataValidation type="decimal" operator="greaterThanOrEqual" allowBlank="1" showErrorMessage="1" errorTitle="Saisie" error="Prix net vendeur en euros, hors honoraires d'agence et hors droits de mutation. Jamais négatif." sqref="D23:D30" xr:uid="{00000000-0002-0000-0100-00000A000000}">
      <formula1>0</formula1>
    </dataValidation>
  </dataValidations>
  <pageMargins left="0.75" right="0.75" top="1" bottom="1" header="0.5" footer="0.5"/>
  <pageSetup orientation="landscape"/>
  <drawing r:id="rId1"/>
  <extLst>
    <ext xmlns:x14="http://schemas.microsoft.com/office/spreadsheetml/2009/9/main" uri="{CCE6A557-97BC-4b89-ADB6-D9C93CAAB3DF}">
      <x14:dataValidations xmlns:xm="http://schemas.microsoft.com/office/excel/2006/main" count="5">
        <x14:dataValidation type="list" allowBlank="1" showErrorMessage="1" errorTitle="Choisir dans la liste" error="Choisissez le type de bien dans la liste." xr:uid="{00000000-0002-0000-0100-000000000000}">
          <x14:formula1>
            <xm:f>Référentiel!$C$12:$D$12</xm:f>
          </x14:formula1>
          <xm:sqref>C9</xm:sqref>
        </x14:dataValidation>
        <x14:dataValidation type="list" allowBlank="1" showErrorMessage="1" errorTitle="Choisir dans la liste" error="Choisissez l'état dans la liste du Référentiel." xr:uid="{00000000-0002-0000-0100-000001000000}">
          <x14:formula1>
            <xm:f>Référentiel!$B$47:$B$50</xm:f>
          </x14:formula1>
          <xm:sqref>C11 F23:F30</xm:sqref>
        </x14:dataValidation>
        <x14:dataValidation type="list" allowBlank="1" showErrorMessage="1" errorTitle="Choisir dans la liste" error="Choisissez l'étiquette DPE, de A à G." xr:uid="{00000000-0002-0000-0100-000002000000}">
          <x14:formula1>
            <xm:f>Référentiel!$C$47:$C$53</xm:f>
          </x14:formula1>
          <xm:sqref>C14 I23:I30</xm:sqref>
        </x14:dataValidation>
        <x14:dataValidation type="whole" allowBlank="1" showErrorMessage="1" errorTitle="Saisie" error="Étage entier, entre les bornes du Référentiel." xr:uid="{00000000-0002-0000-0100-000006000000}">
          <x14:formula1>
            <xm:f>Référentiel!$C$41</xm:f>
          </x14:formula1>
          <x14:formula2>
            <xm:f>Référentiel!$C$42</xm:f>
          </x14:formula2>
          <xm:sqref>C12 G23:G30</xm:sqref>
        </x14:dataValidation>
        <x14:dataValidation type="whole" allowBlank="1" showErrorMessage="1" errorTitle="Saisie" error="Similarité entière, de 0 à la borne du Référentiel." xr:uid="{00000000-0002-0000-0100-00000F000000}">
          <x14:formula1>
            <xm:f>0</xm:f>
          </x14:formula1>
          <x14:formula2>
            <xm:f>Référentiel!$C$43</xm:f>
          </x14:formula2>
          <xm:sqref>K23:K30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95669"/>
  </sheetPr>
  <dimension ref="B1:F61"/>
  <sheetViews>
    <sheetView showGridLines="0" topLeftCell="A5" workbookViewId="0">
      <selection activeCell="B1" sqref="B1"/>
    </sheetView>
  </sheetViews>
  <sheetFormatPr baseColWidth="10" defaultColWidth="8.7265625" defaultRowHeight="14.5" x14ac:dyDescent="0.35"/>
  <cols>
    <col min="1" max="1" width="2" customWidth="1"/>
    <col min="2" max="2" width="52" customWidth="1"/>
    <col min="3" max="4" width="15" customWidth="1"/>
    <col min="5" max="5" width="26" customWidth="1"/>
    <col min="6" max="6" width="62" customWidth="1"/>
  </cols>
  <sheetData>
    <row r="1" spans="2:6" ht="20" customHeight="1" x14ac:dyDescent="0.35">
      <c r="B1" s="1" t="s">
        <v>0</v>
      </c>
      <c r="C1" s="1"/>
      <c r="D1" s="1"/>
      <c r="E1" s="1"/>
      <c r="F1" s="1"/>
    </row>
    <row r="2" spans="2:6" ht="26" customHeight="1" x14ac:dyDescent="0.35">
      <c r="B2" s="2" t="s">
        <v>30</v>
      </c>
    </row>
    <row r="3" spans="2:6" x14ac:dyDescent="0.35">
      <c r="B3" s="3" t="s">
        <v>319</v>
      </c>
    </row>
    <row r="5" spans="2:6" x14ac:dyDescent="0.35">
      <c r="B5" s="9" t="s">
        <v>217</v>
      </c>
    </row>
    <row r="7" spans="2:6" ht="18" customHeight="1" x14ac:dyDescent="0.35">
      <c r="B7" s="1" t="str">
        <f>"  BARÈME SOURCÉ, MILLÉSIME "&amp;YEAR(Référentiel!$C$56)</f>
        <v xml:space="preserve">  BARÈME SOURCÉ, MILLÉSIME 2026</v>
      </c>
      <c r="C7" s="1"/>
      <c r="D7" s="1"/>
      <c r="E7" s="1"/>
      <c r="F7" s="1"/>
    </row>
    <row r="8" spans="2:6" ht="30" customHeight="1" x14ac:dyDescent="0.35">
      <c r="B8" s="17" t="s">
        <v>153</v>
      </c>
      <c r="C8" s="17" t="s">
        <v>320</v>
      </c>
      <c r="D8" s="17" t="s">
        <v>321</v>
      </c>
      <c r="E8" s="17" t="s">
        <v>322</v>
      </c>
      <c r="F8" s="17" t="s">
        <v>323</v>
      </c>
    </row>
    <row r="9" spans="2:6" ht="97.5" customHeight="1" x14ac:dyDescent="0.35">
      <c r="B9" s="32" t="s">
        <v>324</v>
      </c>
      <c r="C9" s="33">
        <v>1E-3</v>
      </c>
      <c r="D9" s="34" t="str">
        <f>"INSEE, Informations rapides n° 130 du 28 mai 2026 (indice Notaires INSEE, 1er trimestre 2026) : plus 0,2 % sur le trimestre et plus 0,1 % sur un an, France entière, tous logements ; appartements plus "&amp;"0,6 %, maisons moins 0,2 % ; Île-de-France plus 0,6 %, province 0 %. Vérifié le "&amp;TEXT(DAY(Référentiel!$C$56),"00")&amp;"/"&amp;TEXT(MONTH(Référentiel!$C$56),"00")&amp;"/"&amp;YEAR(Référentiel!$C$56)&amp;"."</f>
        <v>INSEE, Informations rapides n° 130 du 28 mai 2026 (indice Notaires INSEE, 1er trimestre 2026) : plus 0,2 % sur le trimestre et plus 0,1 % sur un an, France entière, tous logements ; appartements plus 0,6 %, maisons moins 0,2 % ; Île-de-France plus 0,6 %, province 0 %. Vérifié le 05/09/2026.</v>
      </c>
      <c r="E9" s="34" t="s">
        <v>325</v>
      </c>
      <c r="F9" s="34" t="s">
        <v>326</v>
      </c>
    </row>
    <row r="11" spans="2:6" ht="18" customHeight="1" x14ac:dyDescent="0.35">
      <c r="B11" s="1" t="s">
        <v>327</v>
      </c>
      <c r="C11" s="1"/>
      <c r="D11" s="1"/>
      <c r="E11" s="1"/>
      <c r="F11" s="1"/>
    </row>
    <row r="12" spans="2:6" ht="30" customHeight="1" x14ac:dyDescent="0.35">
      <c r="B12" s="17" t="s">
        <v>234</v>
      </c>
      <c r="C12" s="17" t="s">
        <v>223</v>
      </c>
      <c r="D12" s="17" t="s">
        <v>328</v>
      </c>
      <c r="E12" s="17" t="s">
        <v>322</v>
      </c>
      <c r="F12" s="17" t="s">
        <v>329</v>
      </c>
    </row>
    <row r="13" spans="2:6" ht="57" customHeight="1" x14ac:dyDescent="0.35">
      <c r="B13" s="24" t="s">
        <v>330</v>
      </c>
      <c r="C13" s="33">
        <v>0.16</v>
      </c>
      <c r="D13" s="33">
        <v>0.2</v>
      </c>
      <c r="E13" s="9" t="s">
        <v>331</v>
      </c>
      <c r="F13" s="34" t="str">
        <f>"Notaires de France, bilan immobilier de décembre 2025 portant sur les transactions 2024 (valeur verte, écart de prix par rapport à une étiquette D). Appartements : mesuré. Maisons : interpolé sur la m"&amp;"ême forme, calée sur le G mesuré. Vérifié le "&amp;TEXT(DAY(Référentiel!$C$56),"00")&amp;"/"&amp;TEXT(MONTH(Référentiel!$C$56),"00")&amp;"/"&amp;YEAR(Référentiel!$C$56)&amp;"."</f>
        <v>Notaires de France, bilan immobilier de décembre 2025 portant sur les transactions 2024 (valeur verte, écart de prix par rapport à une étiquette D). Appartements : mesuré. Maisons : interpolé sur la même forme, calée sur le G mesuré. Vérifié le 05/09/2026.</v>
      </c>
    </row>
    <row r="14" spans="2:6" ht="16.5" customHeight="1" x14ac:dyDescent="0.35">
      <c r="B14" s="24" t="s">
        <v>332</v>
      </c>
      <c r="C14" s="33">
        <v>0.12</v>
      </c>
      <c r="D14" s="33">
        <v>0.15</v>
      </c>
      <c r="E14" s="9"/>
      <c r="F14" s="34" t="s">
        <v>333</v>
      </c>
    </row>
    <row r="15" spans="2:6" ht="16.5" customHeight="1" x14ac:dyDescent="0.35">
      <c r="B15" s="24" t="s">
        <v>262</v>
      </c>
      <c r="C15" s="33">
        <v>0.06</v>
      </c>
      <c r="D15" s="33">
        <v>0.08</v>
      </c>
      <c r="E15" s="9"/>
      <c r="F15" s="34" t="s">
        <v>333</v>
      </c>
    </row>
    <row r="16" spans="2:6" ht="16.5" customHeight="1" x14ac:dyDescent="0.35">
      <c r="B16" s="24" t="s">
        <v>235</v>
      </c>
      <c r="C16" s="33">
        <v>0</v>
      </c>
      <c r="D16" s="33">
        <v>0</v>
      </c>
      <c r="E16" s="9"/>
      <c r="F16" s="34" t="s">
        <v>334</v>
      </c>
    </row>
    <row r="17" spans="2:6" ht="30" customHeight="1" x14ac:dyDescent="0.35">
      <c r="B17" s="24" t="s">
        <v>265</v>
      </c>
      <c r="C17" s="33">
        <v>-0.04</v>
      </c>
      <c r="D17" s="33">
        <v>-0.08</v>
      </c>
      <c r="E17" s="9"/>
      <c r="F17" s="34" t="s">
        <v>335</v>
      </c>
    </row>
    <row r="18" spans="2:6" ht="57" customHeight="1" x14ac:dyDescent="0.35">
      <c r="B18" s="24" t="s">
        <v>269</v>
      </c>
      <c r="C18" s="33">
        <v>-0.08</v>
      </c>
      <c r="D18" s="33">
        <v>-0.16</v>
      </c>
      <c r="E18" s="9"/>
      <c r="F18" s="34" t="s">
        <v>336</v>
      </c>
    </row>
    <row r="19" spans="2:6" ht="16.5" customHeight="1" x14ac:dyDescent="0.35">
      <c r="B19" s="24" t="s">
        <v>337</v>
      </c>
      <c r="C19" s="33">
        <v>-0.12</v>
      </c>
      <c r="D19" s="33">
        <v>-0.25</v>
      </c>
      <c r="E19" s="9"/>
      <c r="F19" s="34" t="s">
        <v>338</v>
      </c>
    </row>
    <row r="20" spans="2:6" x14ac:dyDescent="0.35">
      <c r="B20" s="9" t="s">
        <v>339</v>
      </c>
    </row>
    <row r="21" spans="2:6" ht="18" customHeight="1" x14ac:dyDescent="0.35">
      <c r="B21" s="1" t="s">
        <v>340</v>
      </c>
      <c r="C21" s="1"/>
      <c r="D21" s="1"/>
      <c r="E21" s="1"/>
      <c r="F21" s="1"/>
    </row>
    <row r="22" spans="2:6" ht="30" customHeight="1" x14ac:dyDescent="0.35">
      <c r="B22" s="17" t="s">
        <v>153</v>
      </c>
      <c r="C22" s="17" t="s">
        <v>320</v>
      </c>
      <c r="D22" s="17" t="s">
        <v>321</v>
      </c>
      <c r="E22" s="17" t="s">
        <v>322</v>
      </c>
      <c r="F22" s="17" t="s">
        <v>323</v>
      </c>
    </row>
    <row r="23" spans="2:6" ht="70.5" customHeight="1" x14ac:dyDescent="0.35">
      <c r="B23" s="32" t="s">
        <v>341</v>
      </c>
      <c r="C23" s="33">
        <v>0.06</v>
      </c>
      <c r="D23" s="34" t="str">
        <f>"Casavo, étude relayée par MySweetimmo le 7 avril 2025 (écarts mesurés sur les ventes 2024). Rénové contre non rénové : plus 9 % en France, plus 12,5 % à Paris, plus 13 % en Île-de-France, plus 5,8 % à"&amp;" Nantes. Vérifié le "&amp;TEXT(DAY(Référentiel!$C$56),"00")&amp;"/"&amp;TEXT(MONTH(Référentiel!$C$56),"00")&amp;"/"&amp;YEAR(Référentiel!$C$56)&amp;"."</f>
        <v>Casavo, étude relayée par MySweetimmo le 7 avril 2025 (écarts mesurés sur les ventes 2024). Rénové contre non rénové : plus 9 % en France, plus 12,5 % à Paris, plus 13 % en Île-de-France, plus 5,8 % à Nantes. Vérifié le 05/09/2026.</v>
      </c>
      <c r="E23" s="34" t="s">
        <v>331</v>
      </c>
      <c r="F23" s="34" t="s">
        <v>342</v>
      </c>
    </row>
    <row r="24" spans="2:6" ht="111" customHeight="1" x14ac:dyDescent="0.35">
      <c r="B24" s="32" t="s">
        <v>343</v>
      </c>
      <c r="C24" s="33">
        <v>1.2E-2</v>
      </c>
      <c r="D24" s="34" t="str">
        <f>"MeilleursAgents, relevé cité par SeLoger le 3 juin 2017 : environ plus 4 % entre le 2e et le 4e étage en province, soit 2 % par étage ; du rez-de-chaussée au dernier étage, 15 % en province et 19 % à "&amp;"Paris. Décote de rez-de-chaussée de 4 à 10 % selon Casavo 2025, non linéaire : elle se traite dans la similarité, pas par ce coefficient. Vérifié le "&amp;TEXT(DAY(Référentiel!$C$56),"00")&amp;"/"&amp;TEXT(MONTH(Référentiel!$C$56),"00")&amp;"/"&amp;YEAR(Référentiel!$C$56)&amp;"."</f>
        <v>MeilleursAgents, relevé cité par SeLoger le 3 juin 2017 : environ plus 4 % entre le 2e et le 4e étage en province, soit 2 % par étage ; du rez-de-chaussée au dernier étage, 15 % en province et 19 % à Paris. Décote de rez-de-chaussée de 4 à 10 % selon Casavo 2025, non linéaire : elle se traite dans la similarité, pas par ce coefficient. Vérifié le 05/09/2026.</v>
      </c>
      <c r="E24" s="34" t="s">
        <v>331</v>
      </c>
      <c r="F24" s="34" t="s">
        <v>344</v>
      </c>
    </row>
    <row r="25" spans="2:6" ht="70.5" customHeight="1" x14ac:dyDescent="0.35">
      <c r="B25" s="32" t="s">
        <v>345</v>
      </c>
      <c r="C25" s="33">
        <v>0.05</v>
      </c>
      <c r="D25" s="34" t="str">
        <f>"Casavo, étude relayée par MySweetimmo le 7 avril 2025 (écarts mesurés sur les ventes 2024). Plus 6,3 % en Île-de-France, plus 7,2 % à Lyon, plus 8,5 % à Nantes, plus 12,1 % en Provence-Alpes-Côte d'Az"&amp;"ur. Vérifié le "&amp;TEXT(DAY(Référentiel!$C$56),"00")&amp;"/"&amp;TEXT(MONTH(Référentiel!$C$56),"00")&amp;"/"&amp;YEAR(Référentiel!$C$56)&amp;"."</f>
        <v>Casavo, étude relayée par MySweetimmo le 7 avril 2025 (écarts mesurés sur les ventes 2024). Plus 6,3 % en Île-de-France, plus 7,2 % à Lyon, plus 8,5 % à Nantes, plus 12,1 % en Provence-Alpes-Côte d'Azur. Vérifié le 05/09/2026.</v>
      </c>
      <c r="E25" s="34" t="s">
        <v>331</v>
      </c>
      <c r="F25" s="34" t="s">
        <v>346</v>
      </c>
    </row>
    <row r="26" spans="2:6" ht="84" customHeight="1" x14ac:dyDescent="0.35">
      <c r="B26" s="32" t="s">
        <v>347</v>
      </c>
      <c r="C26" s="33">
        <v>0.04</v>
      </c>
      <c r="D26" s="34" t="str">
        <f>"Casavo, étude relayée par MySweetimmo le 7 avril 2025 (écarts mesurés sur les ventes 2024). Très variable selon la ville : de moins 18,2 % à Lyon à plus 18 % à Saint-Cloud, selon la tension sur le sta"&amp;"tionnement de surface. Vérifié le "&amp;TEXT(DAY(Référentiel!$C$56),"00")&amp;"/"&amp;TEXT(MONTH(Référentiel!$C$56),"00")&amp;"/"&amp;YEAR(Référentiel!$C$56)&amp;"."</f>
        <v>Casavo, étude relayée par MySweetimmo le 7 avril 2025 (écarts mesurés sur les ventes 2024). Très variable selon la ville : de moins 18,2 % à Lyon à plus 18 % à Saint-Cloud, selon la tension sur le stationnement de surface. Vérifié le 05/09/2026.</v>
      </c>
      <c r="E26" s="34" t="s">
        <v>331</v>
      </c>
      <c r="F26" s="34" t="s">
        <v>348</v>
      </c>
    </row>
    <row r="27" spans="2:6" ht="124.5" customHeight="1" x14ac:dyDescent="0.35">
      <c r="B27" s="32" t="s">
        <v>349</v>
      </c>
      <c r="C27" s="33">
        <v>7.0000000000000007E-2</v>
      </c>
      <c r="D27" s="34" t="str">
        <f>"Droits de mutation à titre onéreux dans l'ancien : 6,32 % du prix dans 89 départements, 5,81 % dans 11, 5,09 % dans l'Indre (Notaires de France, 18/11/2025). Droit départemental porté de 4,50 % à 5 % "&amp;"par la loi de finances pour 2025, article 116, pour les actes reçus du 1er avril 2025 au 31 mars 2028 (CGI art. 1594 D) ; taxe communale de 1,20 % (art. 1584) ; frais d'assiette de 2,37 % du droit dép"&amp;"artemental (art. 1647 V), d'où 5 % × 1,0237 + 1,20 % = 6,32 %, et 4,50 % × 1,0237 + 1,20 % = 5,81 % dans les départements restés au taux de base et pour les primo-accédants achetant leur résidence pri"&amp;"ncipale. Émoluments et débours du notaire en sus. Les honoraires d'agence d'une vente de particulier se situent dans le même ordre de grandeur, sans barème public. Vérifié le "&amp;TEXT(DAY(Référentiel!$C$56),"00")&amp;"/"&amp;TEXT(MONTH(Référentiel!$C$56),"00")&amp;"/"&amp;YEAR(Référentiel!$C$56)&amp;"."</f>
        <v>Droits de mutation à titre onéreux dans l'ancien : 6,32 % du prix dans 89 départements, 5,81 % dans 11, 5,09 % dans l'Indre (Notaires de France, 18/11/2025). Droit départemental porté de 4,50 % à 5 % par la loi de finances pour 2025, article 116, pour les actes reçus du 1er avril 2025 au 31 mars 2028 (CGI art. 1594 D) ; taxe communale de 1,20 % (art. 1584) ; frais d'assiette de 2,37 % du droit départemental (art. 1647 V), d'où 5 % × 1,0237 + 1,20 % = 6,32 %, et 4,50 % × 1,0237 + 1,20 % = 5,81 % dans les départements restés au taux de base et pour les primo-accédants achetant leur résidence principale. Émoluments et débours du notaire en sus. Les honoraires d'agence d'une vente de particulier se situent dans le même ordre de grandeur, sans barème public. Vérifié le 05/09/2026.</v>
      </c>
      <c r="E27" s="34" t="s">
        <v>331</v>
      </c>
      <c r="F27" s="34" t="s">
        <v>350</v>
      </c>
    </row>
    <row r="29" spans="2:6" ht="18" customHeight="1" x14ac:dyDescent="0.35">
      <c r="B29" s="1" t="s">
        <v>351</v>
      </c>
      <c r="C29" s="1"/>
      <c r="D29" s="1"/>
      <c r="E29" s="1"/>
      <c r="F29" s="1"/>
    </row>
    <row r="30" spans="2:6" ht="30" customHeight="1" x14ac:dyDescent="0.35">
      <c r="B30" s="17" t="s">
        <v>153</v>
      </c>
      <c r="C30" s="17" t="s">
        <v>320</v>
      </c>
      <c r="D30" s="17" t="s">
        <v>321</v>
      </c>
      <c r="E30" s="17" t="s">
        <v>322</v>
      </c>
      <c r="F30" s="17" t="s">
        <v>323</v>
      </c>
    </row>
    <row r="31" spans="2:6" ht="43.5" customHeight="1" x14ac:dyDescent="0.35">
      <c r="B31" s="32" t="s">
        <v>352</v>
      </c>
      <c r="C31" s="33">
        <v>0.15</v>
      </c>
      <c r="D31" s="34" t="str">
        <f>"Convention du modèle, pas un barème de marché. Seuil de vigilance, plus bas que le plafond d'exclusion. Vérifié le "&amp;TEXT(DAY(Référentiel!$C$56),"00")&amp;"/"&amp;TEXT(MONTH(Référentiel!$C$56),"00")&amp;"/"&amp;YEAR(Référentiel!$C$56)&amp;"."</f>
        <v>Convention du modèle, pas un barème de marché. Seuil de vigilance, plus bas que le plafond d'exclusion. Vérifié le 05/09/2026.</v>
      </c>
      <c r="E31" s="34" t="s">
        <v>353</v>
      </c>
      <c r="F31" s="34" t="s">
        <v>354</v>
      </c>
    </row>
    <row r="32" spans="2:6" ht="111" customHeight="1" x14ac:dyDescent="0.35">
      <c r="B32" s="32" t="s">
        <v>355</v>
      </c>
      <c r="C32" s="33">
        <v>0.25</v>
      </c>
      <c r="D32" s="34" t="str">
        <f>"Usage professionnel : un ajustement supérieur à 20 ou 25 % disqualifie la référence, et un panel résidentiel se construit sur au minimum cinq ventes homogènes et récentes (Real Group, méthode par comp"&amp;"araison). Charte de l'expertise en évaluation immobilière, 6e édition de novembre 2025, § 2.1.4 et § 2.1.5. Vérifié le "&amp;TEXT(DAY(Référentiel!$C$56),"00")&amp;"/"&amp;TEXT(MONTH(Référentiel!$C$56),"00")&amp;"/"&amp;YEAR(Référentiel!$C$56)&amp;"."</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c r="E32" s="34" t="s">
        <v>353</v>
      </c>
      <c r="F32" s="34" t="s">
        <v>356</v>
      </c>
    </row>
    <row r="33" spans="2:6" ht="111" customHeight="1" x14ac:dyDescent="0.35">
      <c r="B33" s="32" t="s">
        <v>357</v>
      </c>
      <c r="C33" s="13">
        <v>5</v>
      </c>
      <c r="D33" s="34" t="str">
        <f>"Usage professionnel : un ajustement supérieur à 20 ou 25 % disqualifie la référence, et un panel résidentiel se construit sur au minimum cinq ventes homogènes et récentes (Real Group, méthode par comp"&amp;"araison). Charte de l'expertise en évaluation immobilière, 6e édition de novembre 2025, § 2.1.4 et § 2.1.5. Vérifié le "&amp;TEXT(DAY(Référentiel!$C$56),"00")&amp;"/"&amp;TEXT(MONTH(Référentiel!$C$56),"00")&amp;"/"&amp;YEAR(Référentiel!$C$56)&amp;"."</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c r="E33" s="34" t="s">
        <v>353</v>
      </c>
      <c r="F33" s="34" t="s">
        <v>358</v>
      </c>
    </row>
    <row r="34" spans="2:6" ht="43.5" customHeight="1" x14ac:dyDescent="0.35">
      <c r="B34" s="32" t="s">
        <v>359</v>
      </c>
      <c r="C34" s="33">
        <v>0.4</v>
      </c>
      <c r="D34" s="34" t="str">
        <f>"Convention du modèle, pas un barème de marché. Cohérent avec 5 comparables minimum : 20 % chacun à poids égaux. Vérifié le "&amp;TEXT(DAY(Référentiel!$C$56),"00")&amp;"/"&amp;TEXT(MONTH(Référentiel!$C$56),"00")&amp;"/"&amp;YEAR(Référentiel!$C$56)&amp;"."</f>
        <v>Convention du modèle, pas un barème de marché. Cohérent avec 5 comparables minimum : 20 % chacun à poids égaux. Vérifié le 05/09/2026.</v>
      </c>
      <c r="E34" s="34" t="s">
        <v>353</v>
      </c>
      <c r="F34" s="34" t="s">
        <v>360</v>
      </c>
    </row>
    <row r="35" spans="2:6" ht="97.5" customHeight="1" x14ac:dyDescent="0.35">
      <c r="B35" s="32" t="s">
        <v>361</v>
      </c>
      <c r="C35" s="35">
        <v>24</v>
      </c>
      <c r="D35" s="34" t="str">
        <f>"Charte de l'expertise en évaluation immobilière, 6e édition, § 2.1.4 : l'expert apprécie l'antériorité des transactions et l'évolution du marché. Base DVF (data.gouv.fr), publication semestrielle avec"&amp;" 3 à 4 mois de délai : la mise à jour du 7 avril 2026 couvre les ventes jusqu'au 31 décembre 2025. Vérifié le "&amp;TEXT(DAY(Référentiel!$C$56),"00")&amp;"/"&amp;TEXT(MONTH(Référentiel!$C$56),"00")&amp;"/"&amp;YEAR(Référentiel!$C$56)&amp;"."</f>
        <v>Charte de l'expertise en évaluation immobilière, 6e édition, § 2.1.4 : l'expert apprécie l'antériorité des transactions et l'évolution du marché. Base DVF (data.gouv.fr), publication semestrielle avec 3 à 4 mois de délai : la mise à jour du 7 avril 2026 couvre les ventes jusqu'au 31 décembre 2025. Vérifié le 05/09/2026.</v>
      </c>
      <c r="E35" s="34" t="s">
        <v>353</v>
      </c>
      <c r="F35" s="34" t="s">
        <v>362</v>
      </c>
    </row>
    <row r="36" spans="2:6" ht="43.5" customHeight="1" x14ac:dyDescent="0.35">
      <c r="B36" s="32" t="s">
        <v>363</v>
      </c>
      <c r="C36" s="13">
        <v>3</v>
      </c>
      <c r="D36" s="34" t="str">
        <f>"Convention du modèle, pas un barème de marché. Vérifié le "&amp;TEXT(DAY(Référentiel!$C$56),"00")&amp;"/"&amp;TEXT(MONTH(Référentiel!$C$56),"00")&amp;"/"&amp;YEAR(Référentiel!$C$56)&amp;"."</f>
        <v>Convention du modèle, pas un barème de marché. Vérifié le 05/09/2026.</v>
      </c>
      <c r="E36" s="34" t="s">
        <v>353</v>
      </c>
      <c r="F36" s="34" t="s">
        <v>364</v>
      </c>
    </row>
    <row r="37" spans="2:6" ht="43.5" customHeight="1" x14ac:dyDescent="0.35">
      <c r="B37" s="32" t="s">
        <v>365</v>
      </c>
      <c r="C37" s="33">
        <v>0.03</v>
      </c>
      <c r="D37" s="34" t="str">
        <f>"Convention du modèle, pas un barème de marché. Vérifié le "&amp;TEXT(DAY(Référentiel!$C$56),"00")&amp;"/"&amp;TEXT(MONTH(Référentiel!$C$56),"00")&amp;"/"&amp;YEAR(Référentiel!$C$56)&amp;"."</f>
        <v>Convention du modèle, pas un barème de marché. Vérifié le 05/09/2026.</v>
      </c>
      <c r="E37" s="34" t="s">
        <v>353</v>
      </c>
      <c r="F37" s="34" t="s">
        <v>366</v>
      </c>
    </row>
    <row r="38" spans="2:6" ht="43.5" customHeight="1" x14ac:dyDescent="0.35">
      <c r="B38" s="32" t="s">
        <v>367</v>
      </c>
      <c r="C38" s="33">
        <v>0.1</v>
      </c>
      <c r="D38" s="34" t="str">
        <f>"Convention du modèle, pas un barème de marché. Vérifié le "&amp;TEXT(DAY(Référentiel!$C$56),"00")&amp;"/"&amp;TEXT(MONTH(Référentiel!$C$56),"00")&amp;"/"&amp;YEAR(Référentiel!$C$56)&amp;"."</f>
        <v>Convention du modèle, pas un barème de marché. Vérifié le 05/09/2026.</v>
      </c>
      <c r="E38" s="34" t="s">
        <v>353</v>
      </c>
      <c r="F38" s="34" t="s">
        <v>368</v>
      </c>
    </row>
    <row r="39" spans="2:6" ht="111" customHeight="1" x14ac:dyDescent="0.35">
      <c r="B39" s="32" t="s">
        <v>369</v>
      </c>
      <c r="C39" s="33">
        <v>0.12</v>
      </c>
      <c r="D39" s="34" t="str">
        <f>"RICS, Comparable evidence in real estate valuation, 1re édition d'octobre 2019, norme professionnelle depuis avril 2023, § 7 : l'incertitude de l'évaluation doit être signalée (renvoi au Red Book, VPS"&amp;" 3, 2.2 o). Charte de l'expertise, 6e édition, § 2.1.5 : la pertinence d'une référence diminue avec l'écart entre les caractéristiques des biens. Vérifié le "&amp;TEXT(DAY(Référentiel!$C$56),"00")&amp;"/"&amp;TEXT(MONTH(Référentiel!$C$56),"00")&amp;"/"&amp;YEAR(Référentiel!$C$56)&amp;"."</f>
        <v>RICS, Comparable evidence in real estate valuation, 1re édition d'octobre 2019, norme professionnelle depuis avril 2023, § 7 : l'incertitude de l'évaluation doit être signalée (renvoi au Red Book, VPS 3, 2.2 o). Charte de l'expertise, 6e édition, § 2.1.5 : la pertinence d'une référence diminue avec l'écart entre les caractéristiques des biens. Vérifié le 05/09/2026.</v>
      </c>
      <c r="E39" s="34" t="s">
        <v>353</v>
      </c>
      <c r="F39" s="34" t="s">
        <v>370</v>
      </c>
    </row>
    <row r="40" spans="2:6" ht="70.5" customHeight="1" x14ac:dyDescent="0.35">
      <c r="B40" s="32" t="s">
        <v>371</v>
      </c>
      <c r="C40" s="33">
        <v>0.35</v>
      </c>
      <c r="D40" s="34" t="str">
        <f>"Convention du modèle, pas un barème de marché. Seuil volontairement large : il attrape une saisie manifestement fausse, pas un écart de quelques points. Vérifié le "&amp;TEXT(DAY(Référentiel!$C$56),"00")&amp;"/"&amp;TEXT(MONTH(Référentiel!$C$56),"00")&amp;"/"&amp;YEAR(Référentiel!$C$56)&amp;"."</f>
        <v>Convention du modèle, pas un barème de marché. Seuil volontairement large : il attrape une saisie manifestement fausse, pas un écart de quelques points. Vérifié le 05/09/2026.</v>
      </c>
      <c r="E40" s="34" t="s">
        <v>353</v>
      </c>
      <c r="F40" s="34" t="s">
        <v>372</v>
      </c>
    </row>
    <row r="41" spans="2:6" ht="30" customHeight="1" x14ac:dyDescent="0.35">
      <c r="B41" s="32" t="s">
        <v>373</v>
      </c>
      <c r="C41" s="13">
        <v>-2</v>
      </c>
      <c r="D41" s="34" t="str">
        <f>"Convention du modèle, pas un barème de marché. Vérifié le "&amp;TEXT(DAY(Référentiel!$C$56),"00")&amp;"/"&amp;TEXT(MONTH(Référentiel!$C$56),"00")&amp;"/"&amp;YEAR(Référentiel!$C$56)&amp;"."</f>
        <v>Convention du modèle, pas un barème de marché. Vérifié le 05/09/2026.</v>
      </c>
      <c r="E41" s="34" t="s">
        <v>374</v>
      </c>
      <c r="F41" s="34" t="s">
        <v>375</v>
      </c>
    </row>
    <row r="42" spans="2:6" ht="30" customHeight="1" x14ac:dyDescent="0.35">
      <c r="B42" s="32" t="s">
        <v>376</v>
      </c>
      <c r="C42" s="13">
        <v>30</v>
      </c>
      <c r="D42" s="34" t="str">
        <f>"Convention du modèle, pas un barème de marché. Vérifié le "&amp;TEXT(DAY(Référentiel!$C$56),"00")&amp;"/"&amp;TEXT(MONTH(Référentiel!$C$56),"00")&amp;"/"&amp;YEAR(Référentiel!$C$56)&amp;"."</f>
        <v>Convention du modèle, pas un barème de marché. Vérifié le 05/09/2026.</v>
      </c>
      <c r="E42" s="34" t="s">
        <v>374</v>
      </c>
      <c r="F42" s="34"/>
    </row>
    <row r="43" spans="2:6" ht="30" customHeight="1" x14ac:dyDescent="0.35">
      <c r="B43" s="32" t="s">
        <v>377</v>
      </c>
      <c r="C43" s="13">
        <v>100</v>
      </c>
      <c r="D43" s="34" t="str">
        <f>"Convention du modèle, pas un barème de marché. Vérifié le "&amp;TEXT(DAY(Référentiel!$C$56),"00")&amp;"/"&amp;TEXT(MONTH(Référentiel!$C$56),"00")&amp;"/"&amp;YEAR(Référentiel!$C$56)&amp;"."</f>
        <v>Convention du modèle, pas un barème de marché. Vérifié le 05/09/2026.</v>
      </c>
      <c r="E43" s="34" t="s">
        <v>374</v>
      </c>
      <c r="F43" s="34" t="s">
        <v>378</v>
      </c>
    </row>
    <row r="45" spans="2:6" ht="18" customHeight="1" x14ac:dyDescent="0.35">
      <c r="B45" s="1" t="s">
        <v>379</v>
      </c>
      <c r="C45" s="1"/>
      <c r="D45" s="1"/>
      <c r="E45" s="1"/>
      <c r="F45" s="1"/>
    </row>
    <row r="46" spans="2:6" x14ac:dyDescent="0.35">
      <c r="B46" s="1" t="s">
        <v>380</v>
      </c>
      <c r="C46" s="1" t="s">
        <v>381</v>
      </c>
      <c r="D46" s="1" t="s">
        <v>382</v>
      </c>
    </row>
    <row r="47" spans="2:6" x14ac:dyDescent="0.35">
      <c r="B47" s="10" t="s">
        <v>268</v>
      </c>
      <c r="C47" s="10" t="s">
        <v>330</v>
      </c>
      <c r="D47" s="10" t="s">
        <v>383</v>
      </c>
      <c r="F47" s="9" t="s">
        <v>384</v>
      </c>
    </row>
    <row r="48" spans="2:6" x14ac:dyDescent="0.35">
      <c r="B48" s="10" t="s">
        <v>264</v>
      </c>
      <c r="C48" s="10" t="s">
        <v>332</v>
      </c>
      <c r="D48" s="10" t="s">
        <v>385</v>
      </c>
      <c r="F48" s="9" t="s">
        <v>386</v>
      </c>
    </row>
    <row r="49" spans="2:6" x14ac:dyDescent="0.35">
      <c r="B49" s="10" t="s">
        <v>228</v>
      </c>
      <c r="C49" s="10" t="s">
        <v>262</v>
      </c>
      <c r="D49" s="10" t="s">
        <v>387</v>
      </c>
      <c r="F49" s="9" t="s">
        <v>388</v>
      </c>
    </row>
    <row r="50" spans="2:6" x14ac:dyDescent="0.35">
      <c r="B50" s="10" t="s">
        <v>261</v>
      </c>
      <c r="C50" s="10" t="s">
        <v>235</v>
      </c>
    </row>
    <row r="51" spans="2:6" x14ac:dyDescent="0.35">
      <c r="C51" s="10" t="s">
        <v>265</v>
      </c>
    </row>
    <row r="52" spans="2:6" x14ac:dyDescent="0.35">
      <c r="C52" s="10" t="s">
        <v>269</v>
      </c>
    </row>
    <row r="53" spans="2:6" x14ac:dyDescent="0.35">
      <c r="C53" s="10" t="s">
        <v>337</v>
      </c>
    </row>
    <row r="55" spans="2:6" ht="18" customHeight="1" x14ac:dyDescent="0.35">
      <c r="B55" s="1" t="s">
        <v>389</v>
      </c>
      <c r="C55" s="1"/>
      <c r="D55" s="1"/>
      <c r="E55" s="1"/>
      <c r="F55" s="1"/>
    </row>
    <row r="56" spans="2:6" ht="40" customHeight="1" x14ac:dyDescent="0.35">
      <c r="B56" s="24" t="s">
        <v>390</v>
      </c>
      <c r="C56" s="14">
        <v>46270</v>
      </c>
      <c r="D56" s="34" t="s">
        <v>391</v>
      </c>
      <c r="E56" s="34" t="s">
        <v>392</v>
      </c>
      <c r="F56" s="34" t="s">
        <v>393</v>
      </c>
    </row>
    <row r="58" spans="2:6" x14ac:dyDescent="0.35">
      <c r="B58" s="9" t="s">
        <v>394</v>
      </c>
    </row>
    <row r="59" spans="2:6" x14ac:dyDescent="0.35">
      <c r="B59" s="9" t="s">
        <v>395</v>
      </c>
    </row>
    <row r="61" spans="2:6" ht="36" customHeight="1" x14ac:dyDescent="0.35">
      <c r="B61" s="43" t="s">
        <v>214</v>
      </c>
      <c r="C61" s="37"/>
      <c r="D61" s="37"/>
      <c r="E61" s="37"/>
      <c r="F61" s="37"/>
    </row>
  </sheetData>
  <sheetProtection sheet="1" formatColumns="0" formatRows="0"/>
  <mergeCells count="1">
    <mergeCell ref="B61:F6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A93A6"/>
  </sheetPr>
  <dimension ref="B1:C58"/>
  <sheetViews>
    <sheetView showGridLines="0" topLeftCell="A13" workbookViewId="0">
      <selection activeCell="B1" sqref="B1"/>
    </sheetView>
  </sheetViews>
  <sheetFormatPr baseColWidth="10" defaultColWidth="8.7265625" defaultRowHeight="14.5" x14ac:dyDescent="0.35"/>
  <cols>
    <col min="1" max="1" width="2" customWidth="1"/>
    <col min="2" max="2" width="34" customWidth="1"/>
    <col min="3" max="3" width="116" customWidth="1"/>
  </cols>
  <sheetData>
    <row r="1" spans="2:3" ht="20" customHeight="1" x14ac:dyDescent="0.35">
      <c r="B1" s="1" t="s">
        <v>0</v>
      </c>
      <c r="C1" s="1"/>
    </row>
    <row r="2" spans="2:3" ht="26" customHeight="1" x14ac:dyDescent="0.35">
      <c r="B2" s="2" t="s">
        <v>396</v>
      </c>
    </row>
    <row r="3" spans="2:3" x14ac:dyDescent="0.35">
      <c r="B3" s="3" t="s">
        <v>397</v>
      </c>
    </row>
    <row r="5" spans="2:3" ht="18" customHeight="1" x14ac:dyDescent="0.35">
      <c r="B5" s="1" t="s">
        <v>398</v>
      </c>
      <c r="C5" s="1"/>
    </row>
    <row r="6" spans="2:3" ht="43.5" customHeight="1" x14ac:dyDescent="0.35">
      <c r="B6" s="8" t="s">
        <v>399</v>
      </c>
      <c r="C6" s="4" t="s">
        <v>400</v>
      </c>
    </row>
    <row r="7" spans="2:3" ht="57" customHeight="1" x14ac:dyDescent="0.35">
      <c r="B7" s="8" t="s">
        <v>234</v>
      </c>
      <c r="C7" s="4" t="s">
        <v>401</v>
      </c>
    </row>
    <row r="8" spans="2:3" ht="30" customHeight="1" x14ac:dyDescent="0.35">
      <c r="B8" s="8" t="s">
        <v>402</v>
      </c>
      <c r="C8" s="4" t="s">
        <v>403</v>
      </c>
    </row>
    <row r="9" spans="2:3" ht="57" customHeight="1" x14ac:dyDescent="0.35">
      <c r="B9" s="8" t="s">
        <v>404</v>
      </c>
      <c r="C9" s="4" t="s">
        <v>405</v>
      </c>
    </row>
    <row r="10" spans="2:3" ht="84" customHeight="1" x14ac:dyDescent="0.35">
      <c r="B10" s="8" t="s">
        <v>406</v>
      </c>
      <c r="C10" s="4" t="s">
        <v>407</v>
      </c>
    </row>
    <row r="11" spans="2:3" ht="30" customHeight="1" x14ac:dyDescent="0.35">
      <c r="B11" s="8" t="s">
        <v>408</v>
      </c>
      <c r="C11" s="4" t="s">
        <v>409</v>
      </c>
    </row>
    <row r="12" spans="2:3" ht="57" customHeight="1" x14ac:dyDescent="0.35">
      <c r="B12" s="8" t="s">
        <v>410</v>
      </c>
      <c r="C12" s="4" t="s">
        <v>411</v>
      </c>
    </row>
    <row r="13" spans="2:3" ht="70.5" customHeight="1" x14ac:dyDescent="0.35">
      <c r="B13" s="8" t="s">
        <v>412</v>
      </c>
      <c r="C13" s="4" t="s">
        <v>413</v>
      </c>
    </row>
    <row r="14" spans="2:3" ht="43.5" customHeight="1" x14ac:dyDescent="0.35">
      <c r="B14" s="8" t="s">
        <v>414</v>
      </c>
      <c r="C14" s="4" t="s">
        <v>415</v>
      </c>
    </row>
    <row r="15" spans="2:3" ht="70.5" customHeight="1" x14ac:dyDescent="0.35">
      <c r="B15" s="8" t="s">
        <v>416</v>
      </c>
      <c r="C15" s="4" t="s">
        <v>417</v>
      </c>
    </row>
    <row r="16" spans="2:3" ht="43.5" customHeight="1" x14ac:dyDescent="0.35">
      <c r="B16" s="8" t="s">
        <v>418</v>
      </c>
      <c r="C16" s="4" t="s">
        <v>419</v>
      </c>
    </row>
    <row r="17" spans="2:3" ht="43.5" customHeight="1" x14ac:dyDescent="0.35">
      <c r="B17" s="8" t="s">
        <v>420</v>
      </c>
      <c r="C17" s="4" t="s">
        <v>421</v>
      </c>
    </row>
    <row r="18" spans="2:3" ht="30" customHeight="1" x14ac:dyDescent="0.35">
      <c r="B18" s="8" t="s">
        <v>422</v>
      </c>
      <c r="C18" s="4" t="s">
        <v>423</v>
      </c>
    </row>
    <row r="19" spans="2:3" ht="43.5" customHeight="1" x14ac:dyDescent="0.35">
      <c r="B19" s="8" t="s">
        <v>424</v>
      </c>
      <c r="C19" s="4" t="s">
        <v>425</v>
      </c>
    </row>
    <row r="20" spans="2:3" ht="43.5" customHeight="1" x14ac:dyDescent="0.35">
      <c r="B20" s="8" t="s">
        <v>426</v>
      </c>
      <c r="C20" s="4" t="s">
        <v>427</v>
      </c>
    </row>
    <row r="21" spans="2:3" ht="30" customHeight="1" x14ac:dyDescent="0.35">
      <c r="B21" s="8" t="s">
        <v>428</v>
      </c>
      <c r="C21" s="4" t="s">
        <v>429</v>
      </c>
    </row>
    <row r="22" spans="2:3" ht="30" customHeight="1" x14ac:dyDescent="0.35">
      <c r="B22" s="8" t="s">
        <v>430</v>
      </c>
      <c r="C22" s="4" t="s">
        <v>431</v>
      </c>
    </row>
    <row r="24" spans="2:3" ht="18" customHeight="1" x14ac:dyDescent="0.35">
      <c r="B24" s="1" t="s">
        <v>432</v>
      </c>
      <c r="C24" s="1"/>
    </row>
    <row r="25" spans="2:3" ht="16.5" customHeight="1" x14ac:dyDescent="0.35">
      <c r="B25" s="36" t="s">
        <v>433</v>
      </c>
      <c r="C25" s="37"/>
    </row>
    <row r="26" spans="2:3" ht="16.5" customHeight="1" x14ac:dyDescent="0.35">
      <c r="B26" s="36" t="s">
        <v>434</v>
      </c>
      <c r="C26" s="37"/>
    </row>
    <row r="27" spans="2:3" ht="16.5" customHeight="1" x14ac:dyDescent="0.35">
      <c r="B27" s="36" t="s">
        <v>435</v>
      </c>
      <c r="C27" s="37"/>
    </row>
    <row r="28" spans="2:3" ht="16.5" customHeight="1" x14ac:dyDescent="0.35">
      <c r="B28" s="36" t="s">
        <v>436</v>
      </c>
      <c r="C28" s="37"/>
    </row>
    <row r="29" spans="2:3" ht="16.5" customHeight="1" x14ac:dyDescent="0.35">
      <c r="B29" s="36" t="s">
        <v>437</v>
      </c>
      <c r="C29" s="37"/>
    </row>
    <row r="30" spans="2:3" ht="16.5" customHeight="1" x14ac:dyDescent="0.35">
      <c r="B30" s="36" t="s">
        <v>438</v>
      </c>
      <c r="C30" s="37"/>
    </row>
    <row r="31" spans="2:3" ht="30" customHeight="1" x14ac:dyDescent="0.35">
      <c r="B31" s="36" t="s">
        <v>439</v>
      </c>
      <c r="C31" s="37"/>
    </row>
    <row r="32" spans="2:3" ht="16.5" customHeight="1" x14ac:dyDescent="0.35">
      <c r="B32" s="36" t="s">
        <v>440</v>
      </c>
      <c r="C32" s="37"/>
    </row>
    <row r="34" spans="2:3" ht="18" customHeight="1" x14ac:dyDescent="0.35">
      <c r="B34" s="1" t="s">
        <v>441</v>
      </c>
      <c r="C34" s="1"/>
    </row>
    <row r="35" spans="2:3" ht="43.5" customHeight="1" x14ac:dyDescent="0.35">
      <c r="B35" s="8" t="s">
        <v>324</v>
      </c>
      <c r="C35" s="34" t="str">
        <f>Référentiel!$D$9</f>
        <v>INSEE, Informations rapides n° 130 du 28 mai 2026 (indice Notaires INSEE, 1er trimestre 2026) : plus 0,2 % sur le trimestre et plus 0,1 % sur un an, France entière, tous logements ; appartements plus 0,6 %, maisons moins 0,2 % ; Île-de-France plus 0,6 %, province 0 %. Vérifié le 05/09/2026.</v>
      </c>
    </row>
    <row r="36" spans="2:3" ht="30" customHeight="1" x14ac:dyDescent="0.35">
      <c r="B36" s="8" t="s">
        <v>341</v>
      </c>
      <c r="C36" s="34" t="str">
        <f>Référentiel!$D$23</f>
        <v>Casavo, étude relayée par MySweetimmo le 7 avril 2025 (écarts mesurés sur les ventes 2024). Rénové contre non rénové : plus 9 % en France, plus 12,5 % à Paris, plus 13 % en Île-de-France, plus 5,8 % à Nantes. Vérifié le 05/09/2026.</v>
      </c>
    </row>
    <row r="37" spans="2:3" ht="43.5" customHeight="1" x14ac:dyDescent="0.35">
      <c r="B37" s="8" t="s">
        <v>343</v>
      </c>
      <c r="C37" s="34" t="str">
        <f>Référentiel!$D$24</f>
        <v>MeilleursAgents, relevé cité par SeLoger le 3 juin 2017 : environ plus 4 % entre le 2e et le 4e étage en province, soit 2 % par étage ; du rez-de-chaussée au dernier étage, 15 % en province et 19 % à Paris. Décote de rez-de-chaussée de 4 à 10 % selon Casavo 2025, non linéaire : elle se traite dans la similarité, pas par ce coefficient. Vérifié le 05/09/2026.</v>
      </c>
    </row>
    <row r="38" spans="2:3" ht="30" customHeight="1" x14ac:dyDescent="0.35">
      <c r="B38" s="8" t="s">
        <v>345</v>
      </c>
      <c r="C38" s="34" t="str">
        <f>Référentiel!$D$25</f>
        <v>Casavo, étude relayée par MySweetimmo le 7 avril 2025 (écarts mesurés sur les ventes 2024). Plus 6,3 % en Île-de-France, plus 7,2 % à Lyon, plus 8,5 % à Nantes, plus 12,1 % en Provence-Alpes-Côte d'Azur. Vérifié le 05/09/2026.</v>
      </c>
    </row>
    <row r="39" spans="2:3" ht="30" customHeight="1" x14ac:dyDescent="0.35">
      <c r="B39" s="8" t="s">
        <v>347</v>
      </c>
      <c r="C39" s="34" t="str">
        <f>Référentiel!$D$26</f>
        <v>Casavo, étude relayée par MySweetimmo le 7 avril 2025 (écarts mesurés sur les ventes 2024). Très variable selon la ville : de moins 18,2 % à Lyon à plus 18 % à Saint-Cloud, selon la tension sur le stationnement de surface. Vérifié le 05/09/2026.</v>
      </c>
    </row>
    <row r="40" spans="2:3" ht="84" customHeight="1" x14ac:dyDescent="0.35">
      <c r="B40" s="8" t="s">
        <v>349</v>
      </c>
      <c r="C40" s="34" t="str">
        <f>Référentiel!$D$27</f>
        <v>Droits de mutation à titre onéreux dans l'ancien : 6,32 % du prix dans 89 départements, 5,81 % dans 11, 5,09 % dans l'Indre (Notaires de France, 18/11/2025). Droit départemental porté de 4,50 % à 5 % par la loi de finances pour 2025, article 116, pour les actes reçus du 1er avril 2025 au 31 mars 2028 (CGI art. 1594 D) ; taxe communale de 1,20 % (art. 1584) ; frais d'assiette de 2,37 % du droit départemental (art. 1647 V), d'où 5 % × 1,0237 + 1,20 % = 6,32 %, et 4,50 % × 1,0237 + 1,20 % = 5,81 % dans les départements restés au taux de base et pour les primo-accédants achetant leur résidence principale. Émoluments et débours du notaire en sus. Les honoraires d'agence d'une vente de particulier se situent dans le même ordre de grandeur, sans barème public. Vérifié le 05/09/2026.</v>
      </c>
    </row>
    <row r="41" spans="2:3" ht="16.5" customHeight="1" x14ac:dyDescent="0.35">
      <c r="B41" s="8" t="s">
        <v>352</v>
      </c>
      <c r="C41" s="34" t="str">
        <f>Référentiel!$D$31</f>
        <v>Convention du modèle, pas un barème de marché. Seuil de vigilance, plus bas que le plafond d'exclusion. Vérifié le 05/09/2026.</v>
      </c>
    </row>
    <row r="42" spans="2:3" ht="43.5" customHeight="1" x14ac:dyDescent="0.35">
      <c r="B42" s="8" t="s">
        <v>355</v>
      </c>
      <c r="C42" s="34" t="str">
        <f>Référentiel!$D$32</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row>
    <row r="43" spans="2:3" ht="43.5" customHeight="1" x14ac:dyDescent="0.35">
      <c r="B43" s="8" t="s">
        <v>357</v>
      </c>
      <c r="C43" s="34" t="str">
        <f>Référentiel!$D$33</f>
        <v>Usage professionnel : un ajustement supérieur à 20 ou 25 % disqualifie la référence, et un panel résidentiel se construit sur au minimum cinq ventes homogènes et récentes (Real Group, méthode par comparaison). Charte de l'expertise en évaluation immobilière, 6e édition de novembre 2025, § 2.1.4 et § 2.1.5. Vérifié le 05/09/2026.</v>
      </c>
    </row>
    <row r="44" spans="2:3" ht="30" customHeight="1" x14ac:dyDescent="0.35">
      <c r="B44" s="8" t="s">
        <v>359</v>
      </c>
      <c r="C44" s="34" t="str">
        <f>Référentiel!$D$34</f>
        <v>Convention du modèle, pas un barème de marché. Cohérent avec 5 comparables minimum : 20 % chacun à poids égaux. Vérifié le 05/09/2026.</v>
      </c>
    </row>
    <row r="45" spans="2:3" ht="43.5" customHeight="1" x14ac:dyDescent="0.35">
      <c r="B45" s="8" t="s">
        <v>361</v>
      </c>
      <c r="C45" s="34" t="str">
        <f>Référentiel!$D$35</f>
        <v>Charte de l'expertise en évaluation immobilière, 6e édition, § 2.1.4 : l'expert apprécie l'antériorité des transactions et l'évolution du marché. Base DVF (data.gouv.fr), publication semestrielle avec 3 à 4 mois de délai : la mise à jour du 7 avril 2026 couvre les ventes jusqu'au 31 décembre 2025. Vérifié le 05/09/2026.</v>
      </c>
    </row>
    <row r="46" spans="2:3" ht="16.5" customHeight="1" x14ac:dyDescent="0.35">
      <c r="B46" s="8" t="s">
        <v>363</v>
      </c>
      <c r="C46" s="34" t="str">
        <f>Référentiel!$D$36</f>
        <v>Convention du modèle, pas un barème de marché. Vérifié le 05/09/2026.</v>
      </c>
    </row>
    <row r="47" spans="2:3" ht="16.5" customHeight="1" x14ac:dyDescent="0.35">
      <c r="B47" s="8" t="s">
        <v>365</v>
      </c>
      <c r="C47" s="34" t="str">
        <f>Référentiel!$D$37</f>
        <v>Convention du modèle, pas un barème de marché. Vérifié le 05/09/2026.</v>
      </c>
    </row>
    <row r="48" spans="2:3" ht="16.5" customHeight="1" x14ac:dyDescent="0.35">
      <c r="B48" s="8" t="s">
        <v>367</v>
      </c>
      <c r="C48" s="34" t="str">
        <f>Référentiel!$D$38</f>
        <v>Convention du modèle, pas un barème de marché. Vérifié le 05/09/2026.</v>
      </c>
    </row>
    <row r="49" spans="2:3" ht="43.5" customHeight="1" x14ac:dyDescent="0.35">
      <c r="B49" s="8" t="s">
        <v>369</v>
      </c>
      <c r="C49" s="34" t="str">
        <f>Référentiel!$D$39</f>
        <v>RICS, Comparable evidence in real estate valuation, 1re édition d'octobre 2019, norme professionnelle depuis avril 2023, § 7 : l'incertitude de l'évaluation doit être signalée (renvoi au Red Book, VPS 3, 2.2 o). Charte de l'expertise, 6e édition, § 2.1.5 : la pertinence d'une référence diminue avec l'écart entre les caractéristiques des biens. Vérifié le 05/09/2026.</v>
      </c>
    </row>
    <row r="50" spans="2:3" ht="30" customHeight="1" x14ac:dyDescent="0.35">
      <c r="B50" s="8" t="s">
        <v>371</v>
      </c>
      <c r="C50" s="34" t="str">
        <f>Référentiel!$D$40</f>
        <v>Convention du modèle, pas un barème de marché. Seuil volontairement large : il attrape une saisie manifestement fausse, pas un écart de quelques points. Vérifié le 05/09/2026.</v>
      </c>
    </row>
    <row r="51" spans="2:3" ht="16.5" customHeight="1" x14ac:dyDescent="0.35">
      <c r="B51" s="8" t="s">
        <v>373</v>
      </c>
      <c r="C51" s="34" t="str">
        <f>Référentiel!$D$41</f>
        <v>Convention du modèle, pas un barème de marché. Vérifié le 05/09/2026.</v>
      </c>
    </row>
    <row r="52" spans="2:3" ht="16.5" customHeight="1" x14ac:dyDescent="0.35">
      <c r="B52" s="8" t="s">
        <v>376</v>
      </c>
      <c r="C52" s="34" t="str">
        <f>Référentiel!$D$42</f>
        <v>Convention du modèle, pas un barème de marché. Vérifié le 05/09/2026.</v>
      </c>
    </row>
    <row r="53" spans="2:3" ht="16.5" customHeight="1" x14ac:dyDescent="0.35">
      <c r="B53" s="8" t="s">
        <v>377</v>
      </c>
      <c r="C53" s="34" t="str">
        <f>Référentiel!$D$43</f>
        <v>Convention du modèle, pas un barème de marché. Vérifié le 05/09/2026.</v>
      </c>
    </row>
    <row r="54" spans="2:3" ht="30" customHeight="1" x14ac:dyDescent="0.35">
      <c r="B54" s="8" t="s">
        <v>161</v>
      </c>
      <c r="C54" s="34" t="str">
        <f>Référentiel!$F$13</f>
        <v>Notaires de France, bilan immobilier de décembre 2025 portant sur les transactions 2024 (valeur verte, écart de prix par rapport à une étiquette D). Appartements : mesuré. Maisons : interpolé sur la même forme, calée sur le G mesuré. Vérifié le 05/09/2026.</v>
      </c>
    </row>
    <row r="55" spans="2:3" ht="30" customHeight="1" x14ac:dyDescent="0.35">
      <c r="B55" s="8" t="s">
        <v>442</v>
      </c>
      <c r="C55" s="34" t="s">
        <v>443</v>
      </c>
    </row>
    <row r="56" spans="2:3" ht="43.5" customHeight="1" x14ac:dyDescent="0.35">
      <c r="B56" s="8" t="s">
        <v>444</v>
      </c>
      <c r="C56" s="34" t="s">
        <v>445</v>
      </c>
    </row>
    <row r="58" spans="2:3" ht="36" customHeight="1" x14ac:dyDescent="0.35">
      <c r="B58" s="43" t="s">
        <v>214</v>
      </c>
      <c r="C58" s="37"/>
    </row>
  </sheetData>
  <sheetProtection sheet="1" formatColumns="0" formatRows="0"/>
  <mergeCells count="9">
    <mergeCell ref="B58:C58"/>
    <mergeCell ref="B30:C30"/>
    <mergeCell ref="B29:C29"/>
    <mergeCell ref="B25:C25"/>
    <mergeCell ref="B28:C28"/>
    <mergeCell ref="B32:C32"/>
    <mergeCell ref="B31:C31"/>
    <mergeCell ref="B26:C26"/>
    <mergeCell ref="B27:C27"/>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Avis de valeur</vt:lpstr>
      <vt:lpstr>Référentiel</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Avis de valeur par comparaison</dc:title>
  <dc:creator>CorpusImmo</dc:creator>
  <cp:lastModifiedBy>CorpusImmo</cp:lastModifiedBy>
  <dcterms:created xsi:type="dcterms:W3CDTF">2026-08-16T17:26:20Z</dcterms:created>
  <dcterms:modified xsi:type="dcterms:W3CDTF">2026-09-08T09:44:56Z</dcterms:modified>
</cp:coreProperties>
</file>