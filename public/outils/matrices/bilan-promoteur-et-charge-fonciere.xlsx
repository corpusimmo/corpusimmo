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  <sheet name="Sensibilité" sheetId="2" state="visible" r:id="rId2"/>
    <sheet name="Mé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 ##0 &quot; m²&quot;"/>
    <numFmt numFmtId="165" formatCode="# ##0"/>
    <numFmt numFmtId="166" formatCode="# ##0 &quot; €/m²&quot;"/>
    <numFmt numFmtId="167" formatCode="# ##0 &quot; €&quot;"/>
    <numFmt numFmtId="168" formatCode="0.00 &quot;%&quot;"/>
  </numFmts>
  <fonts count="11">
    <font>
      <name val="Calibri"/>
      <family val="2"/>
      <color theme="1"/>
      <sz val="11"/>
      <scheme val="minor"/>
    </font>
    <font>
      <name val="Aptos Narrow"/>
      <b val="1"/>
      <color rgb="FF6C5AB0"/>
      <sz val="9"/>
    </font>
    <font>
      <name val="Aptos Narrow"/>
      <b val="1"/>
      <color rgb="FF2F2650"/>
      <sz val="20"/>
    </font>
    <font>
      <name val="Aptos Narrow"/>
      <i val="1"/>
      <color rgb="005A6B8C"/>
      <sz val="11"/>
    </font>
    <font>
      <name val="Aptos Narrow"/>
      <i val="1"/>
      <color rgb="005A6B8C"/>
      <sz val="9"/>
    </font>
    <font>
      <name val="Aptos Narrow"/>
      <b val="1"/>
      <color rgb="00FFFFFF"/>
      <sz val="12"/>
    </font>
    <font>
      <name val="Aptos Narrow"/>
      <color rgb="FF2F2650"/>
      <sz val="10.5"/>
    </font>
    <font>
      <name val="Aptos Narrow"/>
      <b val="1"/>
      <color rgb="FF2F2650"/>
      <sz val="10.5"/>
    </font>
    <font>
      <name val="Aptos Narrow"/>
      <b val="1"/>
      <color rgb="FF4B3D7C"/>
      <sz val="10.5"/>
    </font>
    <font>
      <name val="Aptos Narrow"/>
      <b val="1"/>
      <color rgb="FF4B3D7C"/>
      <sz val="26"/>
    </font>
    <font>
      <name val="Aptos Narrow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4B3D7C"/>
      </patternFill>
    </fill>
    <fill>
      <patternFill patternType="solid">
        <fgColor rgb="FFF1EEF8"/>
      </patternFill>
    </fill>
    <fill>
      <patternFill patternType="solid">
        <fgColor rgb="00FFFFFF"/>
      </patternFill>
    </fill>
    <fill>
      <patternFill patternType="solid">
        <fgColor rgb="FFF8F6FC"/>
      </patternFill>
    </fill>
  </fills>
  <borders count="8">
    <border>
      <left/>
      <right/>
      <top/>
      <bottom/>
      <diagonal/>
    </border>
    <border>
      <left style="thin">
        <color rgb="FFE4DFF2"/>
      </left>
      <right style="thin">
        <color rgb="FFE4DFF2"/>
      </right>
      <top style="thin">
        <color rgb="FFE4DFF2"/>
      </top>
      <bottom style="thin">
        <color rgb="FFE4DFF2"/>
      </bottom>
    </border>
    <border>
      <left/>
      <right/>
      <top style="thin">
        <color rgb="FFE4DFF2"/>
      </top>
      <bottom/>
      <diagonal/>
    </border>
    <border>
      <left style="thin">
        <color rgb="FFE4DFF2"/>
      </left>
      <right/>
      <top/>
      <bottom/>
      <diagonal/>
    </border>
    <border>
      <left/>
      <right style="thin">
        <color rgb="FFE4DFF2"/>
      </right>
      <top style="thin">
        <color rgb="FFE4DFF2"/>
      </top>
      <bottom/>
      <diagonal/>
    </border>
    <border>
      <left/>
      <right style="thin">
        <color rgb="FFE4DFF2"/>
      </right>
      <top/>
      <bottom/>
      <diagonal/>
    </border>
    <border>
      <left style="thin">
        <color rgb="FFE4DFF2"/>
      </left>
      <right/>
      <top/>
      <bottom style="thin">
        <color rgb="FFE4DFF2"/>
      </bottom>
      <diagonal/>
    </border>
    <border>
      <left/>
      <right style="thin">
        <color rgb="FFE4DFF2"/>
      </right>
      <top/>
      <bottom style="thin">
        <color rgb="FFE4DFF2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7" fontId="8" fillId="4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6" fontId="7" fillId="3" borderId="1" applyAlignment="1" pivotButton="0" quotePrefix="0" xfId="0">
      <alignment horizontal="right" vertical="center"/>
    </xf>
    <xf numFmtId="167" fontId="7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8" fontId="7" fillId="3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center" vertical="center"/>
    </xf>
    <xf numFmtId="0" fontId="0" fillId="0" borderId="1" pivotButton="0" quotePrefix="0" xfId="0"/>
    <xf numFmtId="168" fontId="9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vertical="center"/>
    </xf>
    <xf numFmtId="166" fontId="10" fillId="2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logo-corpusimm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logo-corpusimm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logo-corpusimmo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8705850" y="285750"/>
    <xdr:ext cx="1685925" cy="419100"/>
    <xdr:pic>
      <xdr:nvPicPr>
        <xdr:cNvPr id="2" name="Logo CorpusImmo" descr="CorpusImmo, www.corpus.imm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05850" y="285750"/>
          <a:ext cx="1685925" cy="4191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5505450" y="285750"/>
    <xdr:ext cx="1685925" cy="419100"/>
    <xdr:pic>
      <xdr:nvPicPr>
        <xdr:cNvPr id="2" name="Logo CorpusImmo" descr="CorpusImmo, www.corpus.imm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05450" y="285750"/>
          <a:ext cx="1685925" cy="4191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6515100" y="285750"/>
    <xdr:ext cx="1685925" cy="419100"/>
    <xdr:pic>
      <xdr:nvPicPr>
        <xdr:cNvPr id="2" name="Logo CorpusImmo" descr="CorpusImmo, www.corpus.imm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15100" y="285750"/>
          <a:ext cx="1685925" cy="4191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6C5AB0"/>
    <outlinePr summaryBelow="1" summaryRight="1"/>
    <pageSetUpPr/>
  </sheetPr>
  <dimension ref="B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4" customWidth="1" min="4" max="4"/>
    <col width="42" customWidth="1" min="5" max="5"/>
    <col width="16" customWidth="1" min="6" max="6"/>
    <col width="30" customWidth="1" min="7" max="7"/>
  </cols>
  <sheetData>
    <row r="1" ht="18" customHeight="1">
      <c r="B1" s="1" t="inlineStr">
        <is>
          <t>CorpusImmo  ·  www.corpus.immo  ·  Estimer, comparer, décider. Sur les ventes réelles.</t>
        </is>
      </c>
    </row>
    <row r="2" ht="30" customHeight="1">
      <c r="B2" s="2" t="inlineStr">
        <is>
          <t>Bilan promoteur</t>
        </is>
      </c>
    </row>
    <row r="3" ht="16" customHeight="1">
      <c r="B3" s="3" t="inlineStr">
        <is>
          <t>Du prix de vente à la charge foncière admissible : la question posée dans le bon sens.</t>
        </is>
      </c>
    </row>
    <row r="5">
      <c r="B5" s="4" t="inlineStr">
        <is>
          <t>Cellules violettes : à remplir.  Cellules blanches : calculées automatiquement.</t>
        </is>
      </c>
    </row>
    <row r="7" ht="22" customHeight="1">
      <c r="B7" s="5" t="inlineStr">
        <is>
          <t xml:space="preserve">  LE PROGRAMME</t>
        </is>
      </c>
      <c r="C7" s="6" t="n"/>
      <c r="E7" s="5" t="inlineStr">
        <is>
          <t xml:space="preserve">  LA CASCADE</t>
        </is>
      </c>
      <c r="F7" s="6" t="n"/>
    </row>
    <row r="8" ht="18" customHeight="1">
      <c r="B8" s="7" t="inlineStr">
        <is>
          <t>Surface de plancher constructible</t>
        </is>
      </c>
      <c r="C8" s="8" t="n">
        <v>2400</v>
      </c>
      <c r="D8" s="9" t="inlineStr">
        <is>
          <t>Issue du PLU : emprise × hauteur × COS résiduel.</t>
        </is>
      </c>
      <c r="E8" s="7" t="inlineStr">
        <is>
          <t>Travaux (construction + VRD)</t>
        </is>
      </c>
      <c r="F8" s="10">
        <f>$C$8*$C$17+$C$18</f>
        <v/>
      </c>
    </row>
    <row r="9" ht="18" customHeight="1">
      <c r="B9" s="7" t="inlineStr">
        <is>
          <t>Surface habitable vendable</t>
        </is>
      </c>
      <c r="C9" s="8" t="n">
        <v>2040</v>
      </c>
      <c r="D9" s="9" t="inlineStr">
        <is>
          <t>Environ 85 % de la surface de plancher.</t>
        </is>
      </c>
      <c r="E9" s="7" t="inlineStr">
        <is>
          <t>Honoraires techniques</t>
        </is>
      </c>
      <c r="F9" s="10">
        <f>$F$8*$C$19/100</f>
        <v/>
      </c>
    </row>
    <row r="10" ht="18" customHeight="1">
      <c r="B10" s="7" t="inlineStr">
        <is>
          <t>Nombre de logements</t>
        </is>
      </c>
      <c r="C10" s="11" t="n">
        <v>32</v>
      </c>
      <c r="E10" s="7" t="inlineStr">
        <is>
          <t>Assurances et garanties</t>
        </is>
      </c>
      <c r="F10" s="10">
        <f>$F$8*$C$20/100</f>
        <v/>
      </c>
    </row>
    <row r="11" ht="18" customHeight="1">
      <c r="B11" s="7" t="inlineStr">
        <is>
          <t>Prix de vente moyen TTC</t>
        </is>
      </c>
      <c r="C11" s="12" t="n">
        <v>4200</v>
      </c>
      <c r="D11" s="9" t="inlineStr">
        <is>
          <t>Au m² habitable. Le paramètre le plus sensible.</t>
        </is>
      </c>
      <c r="E11" s="7" t="inlineStr">
        <is>
          <t>Aléas</t>
        </is>
      </c>
      <c r="F11" s="10">
        <f>$F$8*$C$25/100</f>
        <v/>
      </c>
    </row>
    <row r="12" ht="18" customHeight="1">
      <c r="B12" s="7" t="inlineStr">
        <is>
          <t>Parkings vendus</t>
        </is>
      </c>
      <c r="C12" s="11" t="n">
        <v>28</v>
      </c>
      <c r="E12" s="7" t="inlineStr">
        <is>
          <t>Taxes et raccordements</t>
        </is>
      </c>
      <c r="F12" s="10">
        <f>$C$21</f>
        <v/>
      </c>
    </row>
    <row r="13" ht="18" customHeight="1">
      <c r="B13" s="7" t="inlineStr">
        <is>
          <t>Prix de vente d'un parking</t>
        </is>
      </c>
      <c r="C13" s="13" t="n">
        <v>18000</v>
      </c>
      <c r="E13" s="14" t="inlineStr">
        <is>
          <t>Coût technique total</t>
        </is>
      </c>
      <c r="F13" s="10">
        <f>$F$8+$F$9+$F$10+$F$11+$C$21</f>
        <v/>
      </c>
    </row>
    <row r="14" ht="18" customHeight="1">
      <c r="B14" s="14" t="inlineStr">
        <is>
          <t>Chiffre d'affaires TTC</t>
        </is>
      </c>
      <c r="C14" s="10">
        <f>$C$9*$C$11+$C$12*$C$13</f>
        <v/>
      </c>
      <c r="E14" s="7" t="inlineStr">
        <is>
          <t>Commercialisation</t>
        </is>
      </c>
      <c r="F14" s="10">
        <f>$C$14*$C$22/100</f>
        <v/>
      </c>
    </row>
    <row r="15" ht="18" customHeight="1">
      <c r="E15" s="7" t="inlineStr">
        <is>
          <t>Frais financiers</t>
        </is>
      </c>
      <c r="F15" s="10">
        <f>$C$14*$C$23/100</f>
        <v/>
      </c>
    </row>
    <row r="16" ht="18" customHeight="1">
      <c r="B16" s="5" t="inlineStr">
        <is>
          <t xml:space="preserve">  LES COÛTS</t>
        </is>
      </c>
      <c r="C16" s="6" t="n"/>
      <c r="E16" s="7" t="inlineStr">
        <is>
          <t>Frais de structure</t>
        </is>
      </c>
      <c r="F16" s="10">
        <f>$C$14*$C$24/100</f>
        <v/>
      </c>
    </row>
    <row r="17" ht="18" customHeight="1">
      <c r="B17" s="7" t="inlineStr">
        <is>
          <t>Coût de construction</t>
        </is>
      </c>
      <c r="C17" s="12" t="n">
        <v>1950</v>
      </c>
      <c r="D17" s="9" t="inlineStr">
        <is>
          <t>Au m² de surface de plancher, tous corps d'état.</t>
        </is>
      </c>
      <c r="E17" s="14" t="inlineStr">
        <is>
          <t>Coûts hors foncier</t>
        </is>
      </c>
      <c r="F17" s="10">
        <f>$F$13+$F$14+$F$15+$F$16</f>
        <v/>
      </c>
    </row>
    <row r="18" ht="18" customHeight="1">
      <c r="B18" s="7" t="inlineStr">
        <is>
          <t>VRD, espaces verts et fondations spéciales</t>
        </is>
      </c>
      <c r="C18" s="13" t="n">
        <v>180000</v>
      </c>
    </row>
    <row r="19" ht="22" customHeight="1">
      <c r="B19" s="7" t="inlineStr">
        <is>
          <t>Honoraires techniques</t>
        </is>
      </c>
      <c r="C19" s="15" t="n">
        <v>12</v>
      </c>
      <c r="D19" s="9" t="inlineStr">
        <is>
          <t>Architecte, BET, contrôle, OPC, en % du coût de construction.</t>
        </is>
      </c>
      <c r="E19" s="5" t="inlineStr">
        <is>
          <t xml:space="preserve">  LA MARGE VISÉE</t>
        </is>
      </c>
      <c r="F19" s="6" t="n"/>
    </row>
    <row r="20" ht="18" customHeight="1">
      <c r="B20" s="7" t="inlineStr">
        <is>
          <t>Assurances et garanties</t>
        </is>
      </c>
      <c r="C20" s="15" t="n">
        <v>2.5</v>
      </c>
      <c r="D20" s="9" t="inlineStr">
        <is>
          <t>Dommage-ouvrage, GFA, RC, en % du coût de construction.</t>
        </is>
      </c>
      <c r="E20" s="7" t="inlineStr">
        <is>
          <t>Marge cible sur chiffre d'affaires</t>
        </is>
      </c>
      <c r="F20" s="15" t="n">
        <v>8</v>
      </c>
      <c r="G20" s="9" t="inlineStr">
        <is>
          <t>6 à 10 % en logement libre. En dessous de 6 %, aucun financeur ne suit.</t>
        </is>
      </c>
    </row>
    <row r="21" ht="18" customHeight="1">
      <c r="B21" s="7" t="inlineStr">
        <is>
          <t>Taxes d'aménagement et raccordements</t>
        </is>
      </c>
      <c r="C21" s="13" t="n">
        <v>95000</v>
      </c>
      <c r="E21" s="7" t="inlineStr">
        <is>
          <t>Marge en valeur</t>
        </is>
      </c>
      <c r="F21" s="10">
        <f>$C$14*$F$20/100</f>
        <v/>
      </c>
    </row>
    <row r="22" ht="18" customHeight="1">
      <c r="B22" s="7" t="inlineStr">
        <is>
          <t>Frais de commercialisation</t>
        </is>
      </c>
      <c r="C22" s="15" t="n">
        <v>4.5</v>
      </c>
      <c r="D22" s="9" t="inlineStr">
        <is>
          <t>En % du chiffre d'affaires TTC.</t>
        </is>
      </c>
      <c r="E22" s="14" t="inlineStr">
        <is>
          <t>CHARGE FONCIÈRE ADMISSIBLE</t>
        </is>
      </c>
      <c r="F22" s="10">
        <f>$C$14-$F$17-$F$21</f>
        <v/>
      </c>
      <c r="G22" s="9" t="inlineStr">
        <is>
          <t>Le prix maximal du terrain, frais d'acquisition inclus.</t>
        </is>
      </c>
    </row>
    <row r="23" ht="18" customHeight="1">
      <c r="B23" s="7" t="inlineStr">
        <is>
          <t>Frais financiers</t>
        </is>
      </c>
      <c r="C23" s="15" t="n">
        <v>3</v>
      </c>
      <c r="D23" s="9" t="inlineStr">
        <is>
          <t>En % du chiffre d'affaires. Portage sur 24 à 30 mois.</t>
        </is>
      </c>
      <c r="E23" s="7" t="inlineStr">
        <is>
          <t>Charge foncière au m² de plancher</t>
        </is>
      </c>
      <c r="F23" s="16">
        <f>IFERROR($F$22/$C$8,0)</f>
        <v/>
      </c>
    </row>
    <row r="24" ht="18" customHeight="1">
      <c r="B24" s="7" t="inlineStr">
        <is>
          <t>Frais de structure du promoteur</t>
        </is>
      </c>
      <c r="C24" s="15" t="n">
        <v>5</v>
      </c>
      <c r="D24" s="9" t="inlineStr">
        <is>
          <t>En % du chiffre d'affaires.</t>
        </is>
      </c>
      <c r="E24" s="7" t="inlineStr">
        <is>
          <t>Charge foncière en % du chiffre d'affaires</t>
        </is>
      </c>
      <c r="F24" s="17">
        <f>IFERROR($F$22/$C$14*100,0)</f>
        <v/>
      </c>
      <c r="G24" s="9" t="inlineStr">
        <is>
          <t>12 à 20 % en zone détendue, 25 à 35 % en zone tendue.</t>
        </is>
      </c>
    </row>
    <row r="25" ht="18" customHeight="1">
      <c r="B25" s="7" t="inlineStr">
        <is>
          <t>Aléas et imprévus</t>
        </is>
      </c>
      <c r="C25" s="15" t="n">
        <v>3</v>
      </c>
      <c r="D25" s="9" t="inlineStr">
        <is>
          <t>En % du coût de construction. Jamais zéro.</t>
        </is>
      </c>
    </row>
    <row r="26" ht="22" customHeight="1">
      <c r="E26" s="5" t="inlineStr">
        <is>
          <t xml:space="preserve">  CONTRE-ÉPREUVE</t>
        </is>
      </c>
      <c r="F26" s="6" t="n"/>
    </row>
    <row r="27" ht="18" customHeight="1">
      <c r="E27" s="7" t="inlineStr">
        <is>
          <t>Prix du terrain réellement demandé</t>
        </is>
      </c>
      <c r="F27" s="13" t="n">
        <v>1250000</v>
      </c>
    </row>
    <row r="28" ht="18" customHeight="1">
      <c r="E28" s="14" t="inlineStr">
        <is>
          <t>Marge résultante en valeur</t>
        </is>
      </c>
      <c r="F28" s="10">
        <f>$C$14-$F$17-$F$27</f>
        <v/>
      </c>
    </row>
    <row r="29" ht="18" customHeight="1">
      <c r="E29" s="14" t="inlineStr">
        <is>
          <t>Marge résultante en % du CA</t>
        </is>
      </c>
      <c r="F29" s="17">
        <f>IFERROR($F$28/$C$14*100,0)</f>
        <v/>
      </c>
    </row>
    <row r="30" ht="18" customHeight="1">
      <c r="E30" s="7" t="inlineStr">
        <is>
          <t>Écart au prix admissible</t>
        </is>
      </c>
      <c r="F30" s="10">
        <f>$F$27-$F$22</f>
        <v/>
      </c>
      <c r="G30" s="9" t="inlineStr">
        <is>
          <t>Positif : le terrain est trop cher pour la marge visée.</t>
        </is>
      </c>
    </row>
    <row r="32" ht="22" customHeight="1">
      <c r="B32" s="5" t="inlineStr">
        <is>
          <t xml:space="preserve">  RÉSULTAT</t>
        </is>
      </c>
      <c r="C32" s="6" t="n"/>
      <c r="D32" s="6" t="n"/>
      <c r="E32" s="6" t="n"/>
      <c r="F32" s="6" t="n"/>
    </row>
    <row r="33">
      <c r="B33" s="18">
        <f>$F$22</f>
        <v/>
      </c>
      <c r="C33" s="19" t="n"/>
      <c r="E33" s="20">
        <f>$F$29</f>
        <v/>
      </c>
      <c r="F33" s="21" t="n"/>
    </row>
    <row r="34">
      <c r="E34" s="22" t="n"/>
      <c r="F34" s="23" t="n"/>
    </row>
    <row r="35">
      <c r="E35" s="24" t="n"/>
      <c r="F35" s="25" t="n"/>
    </row>
    <row r="36">
      <c r="B36" s="26" t="inlineStr">
        <is>
          <t>Charge foncière admissible</t>
        </is>
      </c>
      <c r="E36" s="26" t="inlineStr">
        <is>
          <t>Marge au prix de terrain demandé</t>
        </is>
      </c>
    </row>
    <row r="39">
      <c r="B39" s="4" t="inlineStr">
        <is>
          <t>CorpusImmo, millésime 2026. Modèle d'aide à la décision : ne constitue ni un conseil en investissement, ni un conseil fiscal. Vérifiez les paramètres avant tout engagement.</t>
        </is>
      </c>
    </row>
  </sheetData>
  <mergeCells count="10">
    <mergeCell ref="B16:C16"/>
    <mergeCell ref="B7:C7"/>
    <mergeCell ref="E7:F7"/>
    <mergeCell ref="B33:C35"/>
    <mergeCell ref="E19:F19"/>
    <mergeCell ref="B36:C36"/>
    <mergeCell ref="E33:F35"/>
    <mergeCell ref="E36:F36"/>
    <mergeCell ref="B32:F32"/>
    <mergeCell ref="E26:F26"/>
  </mergeCells>
  <pageMargins left="0.75" right="0.75" top="1" bottom="1" header="0.5" footer="0.5"/>
  <pageSetup orientation="landscape" fitToWidth="1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8B7CC4"/>
    <outlinePr summaryBelow="1" summaryRight="1"/>
    <pageSetUpPr/>
  </sheetPr>
  <dimension ref="B1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B1" s="1" t="inlineStr">
        <is>
          <t>CorpusImmo  ·  www.corpus.immo  ·  Estimer, comparer, décider. Sur les ventes réelles.</t>
        </is>
      </c>
    </row>
    <row r="2" ht="30" customHeight="1">
      <c r="B2" s="2" t="inlineStr">
        <is>
          <t>Sensibilité de la charge foncière</t>
        </is>
      </c>
    </row>
    <row r="3" ht="16" customHeight="1">
      <c r="B3" s="3" t="inlineStr">
        <is>
          <t>Prix de vente en lignes, coût de construction en colonnes.</t>
        </is>
      </c>
    </row>
    <row r="5">
      <c r="B5" s="27" t="inlineStr">
        <is>
          <t>Deux variables font basculer une opération de promotion : le prix auquel on vendra, et le prix auquel on construira. Tout le reste est du second ordre. Cette matrice montre ce que vaut le terrain dans vingt-cinq scénarios, à marge cible constante. Si la charge foncière devient négative dans un coin du tableau, l'opération y est structurellement perdante.</t>
        </is>
      </c>
    </row>
    <row r="6"/>
    <row r="7"/>
    <row r="9" ht="24" customHeight="1">
      <c r="B9" s="28" t="inlineStr">
        <is>
          <t>Vente ╲ Construction</t>
        </is>
      </c>
      <c r="C9" s="29">
        <f>Bilan!$C$17+-150</f>
        <v/>
      </c>
      <c r="D9" s="29">
        <f>Bilan!$C$17+-75</f>
        <v/>
      </c>
      <c r="E9" s="29">
        <f>Bilan!$C$17+0</f>
        <v/>
      </c>
      <c r="F9" s="29">
        <f>Bilan!$C$17+75</f>
        <v/>
      </c>
      <c r="G9" s="29">
        <f>Bilan!$C$17+150</f>
        <v/>
      </c>
    </row>
    <row r="10" ht="18" customHeight="1">
      <c r="B10" s="29">
        <f>Bilan!$C$11+-200</f>
        <v/>
      </c>
      <c r="C10" s="10">
        <f>IFERROR((Bilan!$C$9*$B10+Bilan!$C$12*Bilan!$C$13)-((Bilan!$C$8*C$9+Bilan!$C$18)*(1+Bilan!$C$19/100+Bilan!$C$20/100+Bilan!$C$25/100)+Bilan!$C$21+(Bilan!$C$9*$B10+Bilan!$C$12*Bilan!$C$13)*(Bilan!$C$22+Bilan!$C$23+Bilan!$C$24)/100)-(Bilan!$C$9*$B10+Bilan!$C$12*Bilan!$C$13)*Bilan!$F$20/100,0)</f>
        <v/>
      </c>
      <c r="D10" s="10">
        <f>IFERROR((Bilan!$C$9*$B10+Bilan!$C$12*Bilan!$C$13)-((Bilan!$C$8*D$9+Bilan!$C$18)*(1+Bilan!$C$19/100+Bilan!$C$20/100+Bilan!$C$25/100)+Bilan!$C$21+(Bilan!$C$9*$B10+Bilan!$C$12*Bilan!$C$13)*(Bilan!$C$22+Bilan!$C$23+Bilan!$C$24)/100)-(Bilan!$C$9*$B10+Bilan!$C$12*Bilan!$C$13)*Bilan!$F$20/100,0)</f>
        <v/>
      </c>
      <c r="E10" s="10">
        <f>IFERROR((Bilan!$C$9*$B10+Bilan!$C$12*Bilan!$C$13)-((Bilan!$C$8*E$9+Bilan!$C$18)*(1+Bilan!$C$19/100+Bilan!$C$20/100+Bilan!$C$25/100)+Bilan!$C$21+(Bilan!$C$9*$B10+Bilan!$C$12*Bilan!$C$13)*(Bilan!$C$22+Bilan!$C$23+Bilan!$C$24)/100)-(Bilan!$C$9*$B10+Bilan!$C$12*Bilan!$C$13)*Bilan!$F$20/100,0)</f>
        <v/>
      </c>
      <c r="F10" s="10">
        <f>IFERROR((Bilan!$C$9*$B10+Bilan!$C$12*Bilan!$C$13)-((Bilan!$C$8*F$9+Bilan!$C$18)*(1+Bilan!$C$19/100+Bilan!$C$20/100+Bilan!$C$25/100)+Bilan!$C$21+(Bilan!$C$9*$B10+Bilan!$C$12*Bilan!$C$13)*(Bilan!$C$22+Bilan!$C$23+Bilan!$C$24)/100)-(Bilan!$C$9*$B10+Bilan!$C$12*Bilan!$C$13)*Bilan!$F$20/100,0)</f>
        <v/>
      </c>
      <c r="G10" s="10">
        <f>IFERROR((Bilan!$C$9*$B10+Bilan!$C$12*Bilan!$C$13)-((Bilan!$C$8*G$9+Bilan!$C$18)*(1+Bilan!$C$19/100+Bilan!$C$20/100+Bilan!$C$25/100)+Bilan!$C$21+(Bilan!$C$9*$B10+Bilan!$C$12*Bilan!$C$13)*(Bilan!$C$22+Bilan!$C$23+Bilan!$C$24)/100)-(Bilan!$C$9*$B10+Bilan!$C$12*Bilan!$C$13)*Bilan!$F$20/100,0)</f>
        <v/>
      </c>
    </row>
    <row r="11" ht="18" customHeight="1">
      <c r="B11" s="29">
        <f>Bilan!$C$11+-100</f>
        <v/>
      </c>
      <c r="C11" s="10">
        <f>IFERROR((Bilan!$C$9*$B11+Bilan!$C$12*Bilan!$C$13)-((Bilan!$C$8*C$9+Bilan!$C$18)*(1+Bilan!$C$19/100+Bilan!$C$20/100+Bilan!$C$25/100)+Bilan!$C$21+(Bilan!$C$9*$B11+Bilan!$C$12*Bilan!$C$13)*(Bilan!$C$22+Bilan!$C$23+Bilan!$C$24)/100)-(Bilan!$C$9*$B11+Bilan!$C$12*Bilan!$C$13)*Bilan!$F$20/100,0)</f>
        <v/>
      </c>
      <c r="D11" s="10">
        <f>IFERROR((Bilan!$C$9*$B11+Bilan!$C$12*Bilan!$C$13)-((Bilan!$C$8*D$9+Bilan!$C$18)*(1+Bilan!$C$19/100+Bilan!$C$20/100+Bilan!$C$25/100)+Bilan!$C$21+(Bilan!$C$9*$B11+Bilan!$C$12*Bilan!$C$13)*(Bilan!$C$22+Bilan!$C$23+Bilan!$C$24)/100)-(Bilan!$C$9*$B11+Bilan!$C$12*Bilan!$C$13)*Bilan!$F$20/100,0)</f>
        <v/>
      </c>
      <c r="E11" s="10">
        <f>IFERROR((Bilan!$C$9*$B11+Bilan!$C$12*Bilan!$C$13)-((Bilan!$C$8*E$9+Bilan!$C$18)*(1+Bilan!$C$19/100+Bilan!$C$20/100+Bilan!$C$25/100)+Bilan!$C$21+(Bilan!$C$9*$B11+Bilan!$C$12*Bilan!$C$13)*(Bilan!$C$22+Bilan!$C$23+Bilan!$C$24)/100)-(Bilan!$C$9*$B11+Bilan!$C$12*Bilan!$C$13)*Bilan!$F$20/100,0)</f>
        <v/>
      </c>
      <c r="F11" s="10">
        <f>IFERROR((Bilan!$C$9*$B11+Bilan!$C$12*Bilan!$C$13)-((Bilan!$C$8*F$9+Bilan!$C$18)*(1+Bilan!$C$19/100+Bilan!$C$20/100+Bilan!$C$25/100)+Bilan!$C$21+(Bilan!$C$9*$B11+Bilan!$C$12*Bilan!$C$13)*(Bilan!$C$22+Bilan!$C$23+Bilan!$C$24)/100)-(Bilan!$C$9*$B11+Bilan!$C$12*Bilan!$C$13)*Bilan!$F$20/100,0)</f>
        <v/>
      </c>
      <c r="G11" s="10">
        <f>IFERROR((Bilan!$C$9*$B11+Bilan!$C$12*Bilan!$C$13)-((Bilan!$C$8*G$9+Bilan!$C$18)*(1+Bilan!$C$19/100+Bilan!$C$20/100+Bilan!$C$25/100)+Bilan!$C$21+(Bilan!$C$9*$B11+Bilan!$C$12*Bilan!$C$13)*(Bilan!$C$22+Bilan!$C$23+Bilan!$C$24)/100)-(Bilan!$C$9*$B11+Bilan!$C$12*Bilan!$C$13)*Bilan!$F$20/100,0)</f>
        <v/>
      </c>
    </row>
    <row r="12" ht="18" customHeight="1">
      <c r="B12" s="29">
        <f>Bilan!$C$11+0</f>
        <v/>
      </c>
      <c r="C12" s="10">
        <f>IFERROR((Bilan!$C$9*$B12+Bilan!$C$12*Bilan!$C$13)-((Bilan!$C$8*C$9+Bilan!$C$18)*(1+Bilan!$C$19/100+Bilan!$C$20/100+Bilan!$C$25/100)+Bilan!$C$21+(Bilan!$C$9*$B12+Bilan!$C$12*Bilan!$C$13)*(Bilan!$C$22+Bilan!$C$23+Bilan!$C$24)/100)-(Bilan!$C$9*$B12+Bilan!$C$12*Bilan!$C$13)*Bilan!$F$20/100,0)</f>
        <v/>
      </c>
      <c r="D12" s="10">
        <f>IFERROR((Bilan!$C$9*$B12+Bilan!$C$12*Bilan!$C$13)-((Bilan!$C$8*D$9+Bilan!$C$18)*(1+Bilan!$C$19/100+Bilan!$C$20/100+Bilan!$C$25/100)+Bilan!$C$21+(Bilan!$C$9*$B12+Bilan!$C$12*Bilan!$C$13)*(Bilan!$C$22+Bilan!$C$23+Bilan!$C$24)/100)-(Bilan!$C$9*$B12+Bilan!$C$12*Bilan!$C$13)*Bilan!$F$20/100,0)</f>
        <v/>
      </c>
      <c r="E12" s="30">
        <f>IFERROR((Bilan!$C$9*$B12+Bilan!$C$12*Bilan!$C$13)-((Bilan!$C$8*E$9+Bilan!$C$18)*(1+Bilan!$C$19/100+Bilan!$C$20/100+Bilan!$C$25/100)+Bilan!$C$21+(Bilan!$C$9*$B12+Bilan!$C$12*Bilan!$C$13)*(Bilan!$C$22+Bilan!$C$23+Bilan!$C$24)/100)-(Bilan!$C$9*$B12+Bilan!$C$12*Bilan!$C$13)*Bilan!$F$20/100,0)</f>
        <v/>
      </c>
      <c r="F12" s="10">
        <f>IFERROR((Bilan!$C$9*$B12+Bilan!$C$12*Bilan!$C$13)-((Bilan!$C$8*F$9+Bilan!$C$18)*(1+Bilan!$C$19/100+Bilan!$C$20/100+Bilan!$C$25/100)+Bilan!$C$21+(Bilan!$C$9*$B12+Bilan!$C$12*Bilan!$C$13)*(Bilan!$C$22+Bilan!$C$23+Bilan!$C$24)/100)-(Bilan!$C$9*$B12+Bilan!$C$12*Bilan!$C$13)*Bilan!$F$20/100,0)</f>
        <v/>
      </c>
      <c r="G12" s="10">
        <f>IFERROR((Bilan!$C$9*$B12+Bilan!$C$12*Bilan!$C$13)-((Bilan!$C$8*G$9+Bilan!$C$18)*(1+Bilan!$C$19/100+Bilan!$C$20/100+Bilan!$C$25/100)+Bilan!$C$21+(Bilan!$C$9*$B12+Bilan!$C$12*Bilan!$C$13)*(Bilan!$C$22+Bilan!$C$23+Bilan!$C$24)/100)-(Bilan!$C$9*$B12+Bilan!$C$12*Bilan!$C$13)*Bilan!$F$20/100,0)</f>
        <v/>
      </c>
    </row>
    <row r="13" ht="18" customHeight="1">
      <c r="B13" s="29">
        <f>Bilan!$C$11+100</f>
        <v/>
      </c>
      <c r="C13" s="10">
        <f>IFERROR((Bilan!$C$9*$B13+Bilan!$C$12*Bilan!$C$13)-((Bilan!$C$8*C$9+Bilan!$C$18)*(1+Bilan!$C$19/100+Bilan!$C$20/100+Bilan!$C$25/100)+Bilan!$C$21+(Bilan!$C$9*$B13+Bilan!$C$12*Bilan!$C$13)*(Bilan!$C$22+Bilan!$C$23+Bilan!$C$24)/100)-(Bilan!$C$9*$B13+Bilan!$C$12*Bilan!$C$13)*Bilan!$F$20/100,0)</f>
        <v/>
      </c>
      <c r="D13" s="10">
        <f>IFERROR((Bilan!$C$9*$B13+Bilan!$C$12*Bilan!$C$13)-((Bilan!$C$8*D$9+Bilan!$C$18)*(1+Bilan!$C$19/100+Bilan!$C$20/100+Bilan!$C$25/100)+Bilan!$C$21+(Bilan!$C$9*$B13+Bilan!$C$12*Bilan!$C$13)*(Bilan!$C$22+Bilan!$C$23+Bilan!$C$24)/100)-(Bilan!$C$9*$B13+Bilan!$C$12*Bilan!$C$13)*Bilan!$F$20/100,0)</f>
        <v/>
      </c>
      <c r="E13" s="10">
        <f>IFERROR((Bilan!$C$9*$B13+Bilan!$C$12*Bilan!$C$13)-((Bilan!$C$8*E$9+Bilan!$C$18)*(1+Bilan!$C$19/100+Bilan!$C$20/100+Bilan!$C$25/100)+Bilan!$C$21+(Bilan!$C$9*$B13+Bilan!$C$12*Bilan!$C$13)*(Bilan!$C$22+Bilan!$C$23+Bilan!$C$24)/100)-(Bilan!$C$9*$B13+Bilan!$C$12*Bilan!$C$13)*Bilan!$F$20/100,0)</f>
        <v/>
      </c>
      <c r="F13" s="10">
        <f>IFERROR((Bilan!$C$9*$B13+Bilan!$C$12*Bilan!$C$13)-((Bilan!$C$8*F$9+Bilan!$C$18)*(1+Bilan!$C$19/100+Bilan!$C$20/100+Bilan!$C$25/100)+Bilan!$C$21+(Bilan!$C$9*$B13+Bilan!$C$12*Bilan!$C$13)*(Bilan!$C$22+Bilan!$C$23+Bilan!$C$24)/100)-(Bilan!$C$9*$B13+Bilan!$C$12*Bilan!$C$13)*Bilan!$F$20/100,0)</f>
        <v/>
      </c>
      <c r="G13" s="10">
        <f>IFERROR((Bilan!$C$9*$B13+Bilan!$C$12*Bilan!$C$13)-((Bilan!$C$8*G$9+Bilan!$C$18)*(1+Bilan!$C$19/100+Bilan!$C$20/100+Bilan!$C$25/100)+Bilan!$C$21+(Bilan!$C$9*$B13+Bilan!$C$12*Bilan!$C$13)*(Bilan!$C$22+Bilan!$C$23+Bilan!$C$24)/100)-(Bilan!$C$9*$B13+Bilan!$C$12*Bilan!$C$13)*Bilan!$F$20/100,0)</f>
        <v/>
      </c>
    </row>
    <row r="14" ht="18" customHeight="1">
      <c r="B14" s="29">
        <f>Bilan!$C$11+200</f>
        <v/>
      </c>
      <c r="C14" s="10">
        <f>IFERROR((Bilan!$C$9*$B14+Bilan!$C$12*Bilan!$C$13)-((Bilan!$C$8*C$9+Bilan!$C$18)*(1+Bilan!$C$19/100+Bilan!$C$20/100+Bilan!$C$25/100)+Bilan!$C$21+(Bilan!$C$9*$B14+Bilan!$C$12*Bilan!$C$13)*(Bilan!$C$22+Bilan!$C$23+Bilan!$C$24)/100)-(Bilan!$C$9*$B14+Bilan!$C$12*Bilan!$C$13)*Bilan!$F$20/100,0)</f>
        <v/>
      </c>
      <c r="D14" s="10">
        <f>IFERROR((Bilan!$C$9*$B14+Bilan!$C$12*Bilan!$C$13)-((Bilan!$C$8*D$9+Bilan!$C$18)*(1+Bilan!$C$19/100+Bilan!$C$20/100+Bilan!$C$25/100)+Bilan!$C$21+(Bilan!$C$9*$B14+Bilan!$C$12*Bilan!$C$13)*(Bilan!$C$22+Bilan!$C$23+Bilan!$C$24)/100)-(Bilan!$C$9*$B14+Bilan!$C$12*Bilan!$C$13)*Bilan!$F$20/100,0)</f>
        <v/>
      </c>
      <c r="E14" s="10">
        <f>IFERROR((Bilan!$C$9*$B14+Bilan!$C$12*Bilan!$C$13)-((Bilan!$C$8*E$9+Bilan!$C$18)*(1+Bilan!$C$19/100+Bilan!$C$20/100+Bilan!$C$25/100)+Bilan!$C$21+(Bilan!$C$9*$B14+Bilan!$C$12*Bilan!$C$13)*(Bilan!$C$22+Bilan!$C$23+Bilan!$C$24)/100)-(Bilan!$C$9*$B14+Bilan!$C$12*Bilan!$C$13)*Bilan!$F$20/100,0)</f>
        <v/>
      </c>
      <c r="F14" s="10">
        <f>IFERROR((Bilan!$C$9*$B14+Bilan!$C$12*Bilan!$C$13)-((Bilan!$C$8*F$9+Bilan!$C$18)*(1+Bilan!$C$19/100+Bilan!$C$20/100+Bilan!$C$25/100)+Bilan!$C$21+(Bilan!$C$9*$B14+Bilan!$C$12*Bilan!$C$13)*(Bilan!$C$22+Bilan!$C$23+Bilan!$C$24)/100)-(Bilan!$C$9*$B14+Bilan!$C$12*Bilan!$C$13)*Bilan!$F$20/100,0)</f>
        <v/>
      </c>
      <c r="G14" s="10">
        <f>IFERROR((Bilan!$C$9*$B14+Bilan!$C$12*Bilan!$C$13)-((Bilan!$C$8*G$9+Bilan!$C$18)*(1+Bilan!$C$19/100+Bilan!$C$20/100+Bilan!$C$25/100)+Bilan!$C$21+(Bilan!$C$9*$B14+Bilan!$C$12*Bilan!$C$13)*(Bilan!$C$22+Bilan!$C$23+Bilan!$C$24)/100)-(Bilan!$C$9*$B14+Bilan!$C$12*Bilan!$C$13)*Bilan!$F$20/100,0)</f>
        <v/>
      </c>
    </row>
    <row r="16">
      <c r="B16" s="4" t="inlineStr">
        <is>
          <t>CorpusImmo, millésime 2026. Modèle d'aide à la décision : ne constitue ni un conseil en investissement, ni un conseil fiscal. Vérifiez les paramètres avant tout engagement.</t>
        </is>
      </c>
    </row>
  </sheetData>
  <mergeCells count="1">
    <mergeCell ref="B5:G7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8A93A6"/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0" customWidth="1" min="3" max="3"/>
  </cols>
  <sheetData>
    <row r="1" ht="18" customHeight="1">
      <c r="B1" s="1" t="inlineStr">
        <is>
          <t>CorpusImmo  ·  www.corpus.immo  ·  Estimer, comparer, décider. Sur les ventes réelles.</t>
        </is>
      </c>
    </row>
    <row r="2" ht="30" customHeight="1">
      <c r="B2" s="2" t="inlineStr">
        <is>
          <t>Méthode et limites</t>
        </is>
      </c>
    </row>
    <row r="3" ht="16" customHeight="1">
      <c r="B3" s="3" t="inlineStr">
        <is>
          <t>La logique du bilan promoteur, en clair.</t>
        </is>
      </c>
    </row>
    <row r="5" ht="60" customHeight="1">
      <c r="B5" s="31" t="inlineStr">
        <is>
          <t>Le sens du calcul</t>
        </is>
      </c>
      <c r="C5" s="32" t="inlineStr">
        <is>
          <t>Chiffre d'affaires − coûts hors foncier − marge cible = charge foncière admissible. On ne cherche pas la marge d'un prix de terrain donné : on cherche le prix de terrain qui produit la marge exigée. C'est ainsi qu'un promoteur formule une offre.</t>
        </is>
      </c>
    </row>
    <row r="6" ht="60" customHeight="1">
      <c r="B6" s="31" t="inlineStr">
        <is>
          <t>Charge foncière</t>
        </is>
      </c>
      <c r="C6" s="32" t="inlineStr">
        <is>
          <t>Elle inclut le prix du terrain ET les frais d'acquisition (droits, commission, honoraires de montage). Un vendeur qui compare une offre à sa valeur « nette vendeur » doit donc retrancher ces frais.</t>
        </is>
      </c>
    </row>
    <row r="7" ht="60" customHeight="1">
      <c r="B7" s="31" t="inlineStr">
        <is>
          <t>Coûts hors foncier</t>
        </is>
      </c>
      <c r="C7" s="32" t="inlineStr">
        <is>
          <t>Travaux et VRD, majorés des honoraires techniques, assurances et aléas ; puis les frais assis sur le chiffre d'affaires : commercialisation, frais financiers, structure. Les trois derniers sont proportionnels au CA, pas aux travaux : c'est la convention du métier.</t>
        </is>
      </c>
    </row>
    <row r="8" ht="60" customHeight="1">
      <c r="B8" s="31" t="inlineStr">
        <is>
          <t>Marge cible</t>
        </is>
      </c>
      <c r="C8" s="32" t="inlineStr">
        <is>
          <t>6 à 10 % du chiffre d'affaires TTC en logement libre. En dessous de 6 %, ni la banque ni le comité d'engagement ne suivent, car la marge ne couvre plus le risque de dérive des travaux.</t>
        </is>
      </c>
    </row>
    <row r="9" ht="60" customHeight="1">
      <c r="B9" s="31" t="inlineStr">
        <is>
          <t>Contre-épreuve</t>
        </is>
      </c>
      <c r="C9" s="32" t="inlineStr">
        <is>
          <t>Le bloc du bas fait le calcul dans l'autre sens à partir du prix réellement demandé. C'est l'outil de négociation : il chiffre exactement de combien le vendeur doit bouger.</t>
        </is>
      </c>
    </row>
    <row r="11" ht="22" customHeight="1">
      <c r="B11" s="5" t="inlineStr">
        <is>
          <t xml:space="preserve">  CE QUE CE MODÈLE NE FAIT PAS</t>
        </is>
      </c>
      <c r="C11" s="6" t="n"/>
    </row>
    <row r="12">
      <c r="B12" s="32" t="inlineStr">
        <is>
          <t>· Il ne modélise pas la TVA sur marge ni la TVA à taux réduit, trop dépendantes du montage et du régime.</t>
        </is>
      </c>
    </row>
    <row r="13">
      <c r="B13" s="32" t="inlineStr">
        <is>
          <t>· Il ignore le phasage et l'échéancier d'appels de fonds, donc le besoin en fonds propres réel.</t>
        </is>
      </c>
    </row>
    <row r="14">
      <c r="B14" s="32" t="inlineStr">
        <is>
          <t>· Il ne traite ni la vente en bloc à un bailleur social, ni la VEFA inversée, qui changent le CA et le risque.</t>
        </is>
      </c>
    </row>
    <row r="15">
      <c r="B15" s="32" t="inlineStr">
        <is>
          <t>· Il suppose la commercialisation intégrale : aucun stock résiduel, aucune décote de fin de programme.</t>
        </is>
      </c>
    </row>
    <row r="16">
      <c r="B16" s="32" t="inlineStr">
        <is>
          <t>· Il ne vérifie ni la faisabilité réglementaire, ni les servitudes, ni la dépollution, trois tueurs d'opération.</t>
        </is>
      </c>
    </row>
    <row r="18">
      <c r="B18" s="4" t="inlineStr">
        <is>
          <t>CorpusImmo, millésime 2026. Modèle d'aide à la décision : ne constitue ni un conseil en investissement, ni un conseil fiscal. Vérifiez les paramètres avant tout engagement.</t>
        </is>
      </c>
    </row>
  </sheetData>
  <mergeCells count="6">
    <mergeCell ref="B13:C13"/>
    <mergeCell ref="B16:C16"/>
    <mergeCell ref="B15:C15"/>
    <mergeCell ref="B11:C11"/>
    <mergeCell ref="B14:C14"/>
    <mergeCell ref="B12:C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2026-08-16T17:12:55Z</dcterms:created>
  <dcterms:modified xsi:type="dcterms:W3CDTF">2026-08-16T17:12:55Z</dcterms:modified>
</cp:coreProperties>
</file>