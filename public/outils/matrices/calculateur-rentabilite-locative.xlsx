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6C0C2FEC-B822-4986-A9F8-A58D17B05407}"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Calculateur" sheetId="2" r:id="rId2"/>
    <sheet name="Paramètres" sheetId="3" r:id="rId3"/>
    <sheet name="Méthode" sheetId="4" r:id="rId4"/>
  </sheets>
  <definedNames>
    <definedName name="_xlnm.Print_Area" localSheetId="1">Calculateur!$A$1:$G$37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3" l="1"/>
  <c r="C54" i="4" s="1"/>
  <c r="D42" i="3"/>
  <c r="D41" i="3"/>
  <c r="D40" i="3"/>
  <c r="D39" i="3"/>
  <c r="D38" i="3"/>
  <c r="D34" i="3"/>
  <c r="C53" i="4" s="1"/>
  <c r="D33" i="3"/>
  <c r="C52" i="4" s="1"/>
  <c r="D32" i="3"/>
  <c r="C51" i="4" s="1"/>
  <c r="D31" i="3"/>
  <c r="C50" i="4" s="1"/>
  <c r="D30" i="3"/>
  <c r="C49" i="4" s="1"/>
  <c r="D29" i="3"/>
  <c r="C48" i="4" s="1"/>
  <c r="D28" i="3"/>
  <c r="C47" i="4" s="1"/>
  <c r="D27" i="3"/>
  <c r="C46" i="4" s="1"/>
  <c r="D26" i="3"/>
  <c r="C45" i="4" s="1"/>
  <c r="D25" i="3"/>
  <c r="C44" i="4" s="1"/>
  <c r="D24" i="3"/>
  <c r="C43" i="4" s="1"/>
  <c r="D23" i="3"/>
  <c r="C42" i="4" s="1"/>
  <c r="D22" i="3"/>
  <c r="C41" i="4" s="1"/>
  <c r="D21" i="3"/>
  <c r="C40" i="4" s="1"/>
  <c r="D17" i="3"/>
  <c r="C39" i="4" s="1"/>
  <c r="D16" i="3"/>
  <c r="C38" i="4" s="1"/>
  <c r="D15" i="3"/>
  <c r="C37" i="4" s="1"/>
  <c r="D14" i="3"/>
  <c r="C36" i="4" s="1"/>
  <c r="D13" i="3"/>
  <c r="C35" i="4" s="1"/>
  <c r="D12" i="3"/>
  <c r="C34" i="4" s="1"/>
  <c r="D11" i="3"/>
  <c r="C33" i="4" s="1"/>
  <c r="D10" i="3"/>
  <c r="C32" i="4" s="1"/>
  <c r="D9" i="3"/>
  <c r="C31" i="4" s="1"/>
  <c r="D8" i="3"/>
  <c r="C30" i="4" s="1"/>
  <c r="B6" i="3"/>
  <c r="D68" i="2"/>
  <c r="C62" i="2"/>
  <c r="C52" i="2"/>
  <c r="C51" i="2"/>
  <c r="D50" i="2"/>
  <c r="D48" i="2"/>
  <c r="D44" i="2"/>
  <c r="C44" i="2"/>
  <c r="D36" i="2"/>
  <c r="D35" i="2"/>
  <c r="D34" i="2"/>
  <c r="D28" i="2"/>
  <c r="D26" i="2"/>
  <c r="D24" i="2"/>
  <c r="C20" i="2"/>
  <c r="C19" i="2"/>
  <c r="C13" i="2"/>
  <c r="D9" i="2"/>
  <c r="C29" i="2" l="1"/>
  <c r="C30" i="2" s="1"/>
  <c r="C63" i="2" s="1"/>
  <c r="C61" i="2"/>
  <c r="C37" i="2"/>
  <c r="C14" i="2"/>
  <c r="C38" i="2" l="1"/>
  <c r="C43" i="2"/>
  <c r="C41" i="2" l="1"/>
  <c r="C39" i="2"/>
  <c r="C42" i="2" l="1"/>
  <c r="C53" i="2" s="1"/>
  <c r="C40" i="2"/>
  <c r="C68" i="2" s="1"/>
  <c r="C56" i="2" l="1"/>
  <c r="C55" i="2"/>
  <c r="C54" i="2"/>
  <c r="C57" i="2" l="1"/>
  <c r="C65" i="2" l="1"/>
  <c r="C66" i="2" s="1"/>
  <c r="C67" i="2" s="1"/>
  <c r="C64" i="2"/>
  <c r="C60" i="2"/>
</calcChain>
</file>

<file path=xl/sharedStrings.xml><?xml version="1.0" encoding="utf-8"?>
<sst xmlns="http://schemas.openxmlformats.org/spreadsheetml/2006/main" count="521" uniqueCount="445">
  <si>
    <t>CorpusImmo  ·  www.corpus.immo  ·  Estimer, comparer, décider. Sur les ventes réelles.</t>
  </si>
  <si>
    <t>Mode d'emploi</t>
  </si>
  <si>
    <t>À quoi sert ce classeur, dans quel ordre le remplir, et comment lire ce qu'il répond.</t>
  </si>
  <si>
    <t xml:space="preserve">  À QUOI SERT CE CLASSEUR</t>
  </si>
  <si>
    <t>Vous regardez un appartement ou une maison à louer. Ce classeur répond à la question que tout investisseur se pose avant de signer : une fois payés les charges, l'impôt et le crédit, combien ce bien me rapporte, ou combien il me coûte, chaque mois ?</t>
  </si>
  <si>
    <t>Il calcule le coût complet de l'achat, le loyer réellement encaissé, la mensualité du prêt, l'impôt de la première année selon cinq régimes fiscaux (location nue au micro-foncier ou au réel, meublé au micro-BIC ou au LMNP réel avec amortissement, meublé de tourisme non classé), puis trois rendements et le cash-flow mensuel après impôt.</t>
  </si>
  <si>
    <t>Tout tient sur un seul onglet de saisie. Le classeur est livré avec un exemple déjà saisi : pour votre dossier, remplacez toutes les cellules violettes, y compris celles qui ne vous concernent pas (mettez 0 : mobilier en location nue, comptable sans expert-comptable, travaux déductibles sans travaux). Le reste se calcule.</t>
  </si>
  <si>
    <t>Vous êtes</t>
  </si>
  <si>
    <t>Ce que le classeur vous donne</t>
  </si>
  <si>
    <t>Investisseur particulier</t>
  </si>
  <si>
    <t>Le cash-flow mensuel réel après impôt et l'effort d'épargne à prévoir, avant de faire une offre.</t>
  </si>
  <si>
    <t>Conseiller en gestion de patrimoine</t>
  </si>
  <si>
    <t>La comparaison des cinq régimes fiscaux sur le même bien, en changeant une seule cellule.</t>
  </si>
  <si>
    <t>Agent immobilier, chasseur</t>
  </si>
  <si>
    <t>Le rendement net-net à présenter à un acquéreur investisseur, à côté du rendement brut de l'annonce.</t>
  </si>
  <si>
    <t>Courtier, banquier</t>
  </si>
  <si>
    <t>La mensualité totale assurance comprise et la part du loyer qu'elle absorbe.</t>
  </si>
  <si>
    <t>Expert-comptable, fiscaliste</t>
  </si>
  <si>
    <t>La base imposable de l'année 1 avec le détail : intérêts, assurance, travaux déductibles, déficit imputé, amortissement reporté.</t>
  </si>
  <si>
    <t xml:space="preserve">  LE PRINCIPE, EN UNE LIGNE</t>
  </si>
  <si>
    <t>Loyer encaissé − charges − impôt − mensualités du prêt = ce qui reste (ou ce qu'il faut sortir) chaque mois</t>
  </si>
  <si>
    <t xml:space="preserve">  LES ONGLETS, DANS L'ORDRE OÙ ON LES REMPLIT</t>
  </si>
  <si>
    <t>Onglet</t>
  </si>
  <si>
    <t>Ce que vous y faites</t>
  </si>
  <si>
    <t>Ce que vous y lisez</t>
  </si>
  <si>
    <t>Rien à saisir. Vous lisez ce guide.</t>
  </si>
  <si>
    <t>La marche à suivre et l'exemple guidé.</t>
  </si>
  <si>
    <t>Calculateur</t>
  </si>
  <si>
    <t>Vous remplissez les cinq blocs de saisie, de haut en bas : le bien, les revenus, les charges, le financement, la fiscalité.</t>
  </si>
  <si>
    <t>Les résultats de l'année 1 en bas de l'onglet : rendements, cash-flow, effort d'épargne, et quatre contrôles OK / À CORRIGER.</t>
  </si>
  <si>
    <t>Paramètres</t>
  </si>
  <si>
    <t>Rien, sauf à la mise à jour annuelle des barèmes (prélèvements sociaux, abattements, plafonds), des repères de marché et de la date de vérification.</t>
  </si>
  <si>
    <t>Chaque valeur avec sa source, sa fréquence de mise à jour, et la date de dernière vérification.</t>
  </si>
  <si>
    <t>Méthode</t>
  </si>
  <si>
    <t>Rien à saisir.</t>
  </si>
  <si>
    <t>Les conventions de calcul, ce que le modèle ne fait pas, les sources.</t>
  </si>
  <si>
    <t xml:space="preserve">  LE CODE COULEUR, ET COMMENT DÉVERROUILLER UNE CELLULE</t>
  </si>
  <si>
    <t>Cellule</t>
  </si>
  <si>
    <t>Ce que c'est</t>
  </si>
  <si>
    <t>Ce que vous faites</t>
  </si>
  <si>
    <t>Fond violet clair</t>
  </si>
  <si>
    <t>Saisie utilisateur</t>
  </si>
  <si>
    <t>Vous la remplissez. Jamais de formule dedans.</t>
  </si>
  <si>
    <t>Fond blanc</t>
  </si>
  <si>
    <t>Calcul</t>
  </si>
  <si>
    <t>Vous la lisez. Elle est verrouillée.</t>
  </si>
  <si>
    <t>Fond violet pâle, gras</t>
  </si>
  <si>
    <t>Résultat de bloc, chiffre clé</t>
  </si>
  <si>
    <t>Vous la lisez. C'est un chiffre à retenir.</t>
  </si>
  <si>
    <t>Bandeau violet</t>
  </si>
  <si>
    <t>Titre de section</t>
  </si>
  <si>
    <t>Repère de navigation.</t>
  </si>
  <si>
    <t>Texte gris, à droite</t>
  </si>
  <si>
    <t>Commentaire d'aide, ordre de grandeur</t>
  </si>
  <si>
    <t>Une phrase par ligne pour savoir quoi saisir. Les ordres de grandeur y sont lus dans Paramètres.</t>
  </si>
  <si>
    <t>Cellule violette qui affiche un %</t>
  </si>
  <si>
    <t>Taux</t>
  </si>
  <si>
    <t>Tapez le nombre tel qu'il se lit (7 pour 7 %), puis vérifiez l'affichage.</t>
  </si>
  <si>
    <t>Vert OK / rouge À CORRIGER</t>
  </si>
  <si>
    <t>Contrôle de cohérence</t>
  </si>
  <si>
    <t>Rouge : corrigez la saisie indiquée dans le commentaire.</t>
  </si>
  <si>
    <t>Les onglets sont protégés sans mot de passe pour éviter d'écraser une formule par erreur. En usage normal, vous n'en avez jamais besoin : toutes les cellules violettes sont déjà libres. Pour modifier une cellule blanche ou un texte de source : onglet Révision, puis « Ôter la protection de la feuille ». Aucun mot de passe n'est demandé.</t>
  </si>
  <si>
    <t xml:space="preserve">  LA MARCHE À SUIVRE, ÉTAPE PAR ÉTAPE</t>
  </si>
  <si>
    <t>Étape</t>
  </si>
  <si>
    <t>Où (onglet et plage)</t>
  </si>
  <si>
    <t>Pourquoi</t>
  </si>
  <si>
    <t>0. L'exemple livré</t>
  </si>
  <si>
    <t>Calculateur, toutes les cellules violettes</t>
  </si>
  <si>
    <t>Le classeur arrive rempli d'un exemple (appartement de 72 m² loué meublé). Gardez-le pour vous repérer, ou effacez toutes les cellules violettes avant de saisir votre dossier. Vérifiez surtout les saisies secondaires qui n'ont pas de raison d'être dans votre cas : mobilier (C11), comptabilité (C26), travaux déductibles (C49), part du terrain (C50).</t>
  </si>
  <si>
    <t>Une valeur de l'exemple oubliée est l'erreur la plus probable d'un premier usage. Le contrôle C60 signale les incohérences (travaux déductibles supérieurs aux travaux), pas les oublis plausibles.</t>
  </si>
  <si>
    <t>1. Le bien</t>
  </si>
  <si>
    <t>Calculateur!C7:C12</t>
  </si>
  <si>
    <t>Prix net vendeur, honoraires d'agence, frais de notaire (repère dans Paramètres : environ 8,0 % du prix net vendeur dans l'ancien, 2,5 % dans le neuf ; prenez le chiffre du simulateur de votre notaire si vous l'avez), travaux, mobilier (0 en location nue), surface habitable.</t>
  </si>
  <si>
    <t>Le coût total de l'opération est le dénominateur de tous les rendements. Un rendement calculé sur le seul prix d'achat est flatteur de 10 à 15 %.</t>
  </si>
  <si>
    <t>2. Les revenus</t>
  </si>
  <si>
    <t>Calculateur!C17:C18</t>
  </si>
  <si>
    <t>Loyer mensuel hors charges et vacance locative en semaines par an (0 à 52).</t>
  </si>
  <si>
    <t>Le classeur raisonne sur le loyer réellement encaissé, pas sur le loyer théorique.</t>
  </si>
  <si>
    <t>3. Les charges</t>
  </si>
  <si>
    <t>Calculateur!C23:C28</t>
  </si>
  <si>
    <t>Taxe foncière hors TEOM, assurance PNO, copropriété non récupérable, comptabilité (0 sans expert-comptable, le cas courant en location nue), provision d'entretien, gestion locative en pourcentage du loyer.</t>
  </si>
  <si>
    <t>Ce sont les charges qui restent au bailleur. La provision compte dans le cash-flow, pas dans l'impôt.</t>
  </si>
  <si>
    <t>4. Le financement</t>
  </si>
  <si>
    <t>Calculateur!C33:C36</t>
  </si>
  <si>
    <t>Apport : le montant emprunté se déduit en C37 (coût total moins apport) ; si vous partez du prêt proposé par la banque, saisissez en apport la différence entre C13 et ce prêt. Taux nominal du prêt (tapez 3,4 pour 3,40 %). Durée en années entières. Taux d'assurance : celui du contrat de la banque, calculé sur le capital emprunté ; en délégation, tapez le taux annoncé, le classeur sera un peu prudent. Vérifiez que C43 et C44 affichent OK.</t>
  </si>
  <si>
    <t>La mensualité totale et les intérêts de la première année alimentent le cash-flow et la base imposable au réel.</t>
  </si>
  <si>
    <t>5. La fiscalité</t>
  </si>
  <si>
    <t>Calculateur!C47:C50</t>
  </si>
  <si>
    <t>Régime dans la liste. TMI dans la liste : la tranche marginale d'imposition, c'est le taux de la tranche la plus haute de votre foyer (0, 11, 30, 41 ou 45 %) ; elle figure sur l'avis d'impôt, ligne « taux marginal d'imposition » ; en cas de doute, 30 % pour un salarié cadre seul, 11 % pour un couple avec deux revenus moyens. Travaux déductibles au réel foncier : la part d'entretien, de réparation et d'amélioration des travaux ; sans travaux, tapez 0 en C49, le fichier est livré avec 20 000 €, et C49 ne doit jamais dépasser C10. Part du terrain : sans effet hors LMNP réel, laissez la valeur. Vérifiez que C51 affiche OK.</t>
  </si>
  <si>
    <t>Le régime et la TMI font varier l'impôt de zéro à plusieurs milliers d'euros sur le même bien. Les plafonds des régimes micro sont contrôlés.</t>
  </si>
  <si>
    <t>6. Les résultats</t>
  </si>
  <si>
    <t>Calculateur!C60:C68</t>
  </si>
  <si>
    <t>Rien à saisir. Vérifiez d'abord que C60 affiche OK, puis lisez les rendements et le cash-flow.</t>
  </si>
  <si>
    <t>Tant qu'un contrôle est rouge, les résultats fiscaux restent vides : le classeur préfère ne rien afficher plutôt qu'un chiffre faux.</t>
  </si>
  <si>
    <t>7. Les barèmes et repères</t>
  </si>
  <si>
    <t>Paramètres!C8:C17, C21:C34, C38:C42 et C46:C50</t>
  </si>
  <si>
    <t>Une fois par an, comparez chaque valeur violette à sa source (colonne D) et mettez à jour la date en C52 : les mentions « Vérifié le » de Paramètres et de Méthode suivent automatiquement. Si une source change (nouveau texte de loi, nouvelle publication), modifiez son texte en colonne D de Paramètres (cellule verrouillée : Révision, Ôter la protection) ; Méthode le recopie.</t>
  </si>
  <si>
    <t>Un barème périmé fausse l'impôt sans prévenir. Toutes les formules pointent ici, commentaires d'aide compris.</t>
  </si>
  <si>
    <t xml:space="preserve">  EXEMPLE GUIDÉ</t>
  </si>
  <si>
    <t>Le fichier est livré avec un appartement ancien de 72 m² acheté 90 000 € net vendeur, 9 200 € d'honoraires d'agence, 7 500 € de frais de notaire, 20 000 € de travaux et 3 000 € de mobilier : coût total 129 700 € (C13), soit 1 801 € par m². Loué meublé 950 € hors charges avec 3 semaines de vacance par an, il encaisse 10 742 € par an (C19).</t>
  </si>
  <si>
    <t>Les charges annuelles atteignent 2 580 € (C29) : taxe foncière 900 €, PNO 180 €, copropriété 600 €, comptable 400 €, provision d'entretien 500 €, pas de gestion déléguée. Le revenu net de charges ressort à 8 162 € (C30).</t>
  </si>
  <si>
    <t>Financement : 5 000 € d'apport, 124 700 € empruntés sur 22 ans à 3,40 % plus 0,34 % d'assurance. Mensualité totale 706,80 € (C40), dont 671,47 € de crédit et 35,33 € d'assurance. Intérêts de la première année : 4 180 € (C41). La mensualité absorbe 74,4 % du loyer (C68).</t>
  </si>
  <si>
    <t>Fiscalité : régime « Meublé, LMNP réel (amortissement) », TMI 30 %. L'amortissement annuel ressort à 4 785 € (C52) : bâti hors terrain (15 %) sur 30 ans, travaux sur 15 ans, mobilier sur 7 ans. Loyer encaissé moins charges déductibles, intérêts, assurance et amortissement : −726 € (C53), un résultat négatif. La base imposable est donc de 0 € (C54) et l'impôt de l'année 1 est nul (C57). Les 726 € d'amortissement non utilisés sont mis en réserve pour les années suivantes (C56).</t>
  </si>
  <si>
    <t>Résultats : rendement brut 8,28 % (C61), là où une annonce afficherait 12,67 % (C62) ; net de charges 6,29 % (C63) ; net-net 6,29 % (C64), identique au net de charges puisque l'impôt est nul. Cash-flow mensuel −26,61 € (C66) : l'effort d'épargne est de 26,61 € par mois (C67).</t>
  </si>
  <si>
    <t>Comment le lire : le bien se finance presque seul la première année grâce à l'amortissement. Changez le régime en C47 pour « Location nue, réel foncier » avec le mobilier à 0 : les 20 000 € de travaux créent un déficit foncier, l'impôt de l'année 1 devient −3 210 € (une économie d'impôt) et le cash-flow de l'année 1 monte à 257,90 € par mois, mais ce n'est vrai qu'une année. Passez en « Meublé, LMNP micro-BIC » : l'impôt monte à 2 610 € et le cash-flow tombe à −244,14 € par mois.</t>
  </si>
  <si>
    <t xml:space="preserve">  LES CHIFFRES À REGARDER, ET CE QU'ILS VALENT</t>
  </si>
  <si>
    <t>Indicateur</t>
  </si>
  <si>
    <t>Où</t>
  </si>
  <si>
    <t>Repère métier</t>
  </si>
  <si>
    <t>Ce qu'il dit vraiment</t>
  </si>
  <si>
    <t>Rendement brut</t>
  </si>
  <si>
    <t>Calculateur!C61</t>
  </si>
  <si>
    <t>Ancien en ville moyenne : 6 à 9 %. Grandes métropoles : 3 à 5 %.</t>
  </si>
  <si>
    <t>Compare, ne décide pas. Calculé après vacance sur le coût total, il est plus sévère que celui des annonces (ligne suivante).</t>
  </si>
  <si>
    <t>Rendement net de charges</t>
  </si>
  <si>
    <t>Calculateur!C63</t>
  </si>
  <si>
    <t>En dessous de 5 % dans l'ancien, le cash-flow est presque toujours négatif à crédit 100 %.</t>
  </si>
  <si>
    <t>Ce que le bien rapporte avant impôt et avant crédit.</t>
  </si>
  <si>
    <t>Rendement net-net</t>
  </si>
  <si>
    <t>Calculateur!C64</t>
  </si>
  <si>
    <t>Un écart de plus de 1,5 point avec le net de charges signale une fiscalité lourde : testez un autre régime.</t>
  </si>
  <si>
    <t>Le seul qui dépend de votre situation fiscale. C'est celui qui décide.</t>
  </si>
  <si>
    <t>Impôt de l'année 1</t>
  </si>
  <si>
    <t>Calculateur!C57</t>
  </si>
  <si>
    <t>0 € en LMNP réel est fréquent les premières années. Négatif au réel foncier avec travaux.</t>
  </si>
  <si>
    <t>Impôt sur le revenu à la TMI plus prélèvements sociaux (17,2 % en nu, 18,6 % en meublé).</t>
  </si>
  <si>
    <t>Cash-flow mensuel après impôt</t>
  </si>
  <si>
    <t>Calculateur!C66</t>
  </si>
  <si>
    <t>Entre −100 € et +100 € par mois, le bien se finance seul. Au-delà de −300 €, c'est un placement d'épargne, pas un revenu.</t>
  </si>
  <si>
    <t>Ce qui reste (ou manque) chaque mois une fois tout payé, la première année.</t>
  </si>
  <si>
    <t>Part du loyer absorbée par la mensualité</t>
  </si>
  <si>
    <t>Calculateur!C68</t>
  </si>
  <si>
    <t>Au-delà de 70 % (Paramètres), la banque retiendra que le loyer ne couvre pas le crédit : elle compte les loyers à cette quotité.</t>
  </si>
  <si>
    <t>Le premier ratio qu'un banquier regarde. Le taux d'effort complet du foyer se calcule dans la matrice Capacité d'emprunt.</t>
  </si>
  <si>
    <t xml:space="preserve">  LES DONNÉES À METTRE À JOUR, OÙ ET POURQUOI</t>
  </si>
  <si>
    <t>Deux familles de données. Les barèmes et repères (barèmes fiscaux, plafonds, durées d'amortissement, taux de crédit et ordres de grandeur de référence) changent avec la loi ou le marché, à date fixe, et se rafraîchissent depuis une source indiquée : ils vivent tous dans Paramètres. Les données de projet (prix, loyer, charges, financement, régime) sont propres à chaque dossier. L'architecture du classeur ne change pas quand les données changent : seules les cellules violettes bougent.</t>
  </si>
  <si>
    <t>Paramètre</t>
  </si>
  <si>
    <t>Onglet et cellule</t>
  </si>
  <si>
    <t>Ce qu'il pilote</t>
  </si>
  <si>
    <t>Source à consulter, fréquence</t>
  </si>
  <si>
    <t>Prélèvements sociaux, revenus fonciers</t>
  </si>
  <si>
    <t>Paramètres!C8</t>
  </si>
  <si>
    <t>Impôt des régimes micro-foncier et réel foncier</t>
  </si>
  <si>
    <t>Loi de financement de la sécurité sociale, chaque décembre</t>
  </si>
  <si>
    <t>Prélèvements sociaux, BIC meublé</t>
  </si>
  <si>
    <t>Paramètres!C9</t>
  </si>
  <si>
    <t>Impôt des trois régimes meublés</t>
  </si>
  <si>
    <t>LFSS, chaque décembre (18,6 % depuis les revenus 2025)</t>
  </si>
  <si>
    <t>Abattements et plafonds micro</t>
  </si>
  <si>
    <t>Paramètres!C10:C15</t>
  </si>
  <si>
    <t>Base imposable des régimes micro et contrôle « Régime autorisé »</t>
  </si>
  <si>
    <t>CGI art. 32 et 50-0, loi de finances ; plafond micro-BIC revalorisé tous les trois ans</t>
  </si>
  <si>
    <t>Plafond du déficit foncier</t>
  </si>
  <si>
    <t>Paramètres!C16</t>
  </si>
  <si>
    <t>Économie d'impôt de l'année 1 au réel foncier</t>
  </si>
  <si>
    <t>CGI art. 156, I-3° ; BOFiP BOI-RFPI-BASE-30-20 : chaque loi de finances. 10 700 € par défaut. Le plafond majoré à 21 400 € ne vaut que pour des travaux de rénovation énergétique payés au plus tard le 31 décembre 2025 : il ne s'applique plus à une dépense de 2026. Si vous le passez à 21 400 € pour un dossier qui remplit encore les conditions, remettez 10 700 € ensuite.</t>
  </si>
  <si>
    <t>Durée maximale HCSF</t>
  </si>
  <si>
    <t>Paramètres!C17</t>
  </si>
  <si>
    <t>Commentaire de la durée du prêt</t>
  </si>
  <si>
    <t>Décisions du HCSF</t>
  </si>
  <si>
    <t>Durées d'amortissement</t>
  </si>
  <si>
    <t>Paramètres!C21:C23</t>
  </si>
  <si>
    <t>Amortissement annuel du LMNP réel</t>
  </si>
  <si>
    <t>Usage des experts-comptables, stable ; à caler avec le vôtre</t>
  </si>
  <si>
    <t>Repères de marché (frais de notaire, PNO, comptable, gestion, taux de crédit, assurance, part du terrain, quotité des loyers)</t>
  </si>
  <si>
    <t>Paramètres!C24:C34</t>
  </si>
  <si>
    <t>Les commentaires gris du Calculateur (C9, C24, C26, C28, C34, C35, C36, C50, C68, colonne D) les lisent par formule</t>
  </si>
  <si>
    <t>Observatoire Crédit Logement (mensuel), baromètres d'assurance et de PNO (annuel), barème des notaires et DMTO (à chaque changement) : à rafraîchir à chaque millésime</t>
  </si>
  <si>
    <t>Bornes de saisie et plancher de plausibilité des taux</t>
  </si>
  <si>
    <t>Paramètres!C38:C42</t>
  </si>
  <si>
    <t>Validations de saisie, contrôle des taux C44 et contrôle global C60</t>
  </si>
  <si>
    <t>Convention du classeur : stable. Relevez le plancher si des taux inférieurs à 0,10 % redeviennent courants</t>
  </si>
  <si>
    <t>Barème des TMI</t>
  </si>
  <si>
    <t>Paramètres!C46:C50</t>
  </si>
  <si>
    <t>Liste déroulante de la TMI</t>
  </si>
  <si>
    <t>CGI art. 197, chaque loi de finances</t>
  </si>
  <si>
    <t>Date de dernière vérification</t>
  </si>
  <si>
    <t>Paramètres!C52</t>
  </si>
  <si>
    <t>Toutes les mentions « Vérifié le » de Paramètres et de Méthode, et le millésime du titre de Paramètres</t>
  </si>
  <si>
    <t>À chaque vérification : une seule cellule à changer</t>
  </si>
  <si>
    <t>Textes des sources</t>
  </si>
  <si>
    <t>Paramètres, colonne D</t>
  </si>
  <si>
    <t>Méthode, section Sources, les recopie</t>
  </si>
  <si>
    <t>Quand un texte de loi ou une publication change ; cellule verrouillée : Révision, Ôter la protection</t>
  </si>
  <si>
    <t>Millésime du pied de page</t>
  </si>
  <si>
    <t>Pied de page des quatre onglets</t>
  </si>
  <si>
    <t>Rien, affichage</t>
  </si>
  <si>
    <t>Chaque année, dans le script de construction du classeur</t>
  </si>
  <si>
    <t>Prix, loyer, charges, financement, régime, TMI</t>
  </si>
  <si>
    <t>Calculateur!C7:C12, Calculateur!C17:C28, Calculateur!C33:C36, Calculateur!C47:C50</t>
  </si>
  <si>
    <t>Tout le reste</t>
  </si>
  <si>
    <t>Données de projet, propres à chaque dossier</t>
  </si>
  <si>
    <t xml:space="preserve">  TROIS FAÇONS DE S'EN SERVIR</t>
  </si>
  <si>
    <t>Votre situation</t>
  </si>
  <si>
    <t>Vous hésitez entre louer nu ou meublé</t>
  </si>
  <si>
    <t>Saisissez le bien une fois. Notez le cash-flow (C66) avec « Location nue, réel foncier » et le mobilier à 0, puis avec « Meublé, LMNP réel (amortissement) » et le mobilier réel. L'écart mensuel est ce que vous coûte le choix de la location nue. Pensez à mettre le comptable en C26 pour le LMNP réel.</t>
  </si>
  <si>
    <t>Vous voulez savoir jusqu'où monter sur le prix</t>
  </si>
  <si>
    <t>Augmentez C7 par pas de 5 000 € jusqu'à ce que le cash-flow mensuel passe sous le niveau que vous acceptez. Ajustez C9 en proportion (repère de Paramètres : environ 8,0 % du prix net vendeur dans l'ancien, 2,5 % dans le neuf).</t>
  </si>
  <si>
    <t>Vous préparez le rendez-vous banque</t>
  </si>
  <si>
    <t>Renseignez le financement proposé (Calculateur!C33:C36). Lisez la mensualité totale (C40) et la part du loyer absorbée (C68). Au-delà de la quotité retenue par les banques (Paramètres), prévoyez un apport ou une durée plus longue, et passez par la matrice Capacité d'emprunt pour le taux d'effort du foyer.</t>
  </si>
  <si>
    <t xml:space="preserve">  LES ERREURS QUI FAUSSENT TOUT</t>
  </si>
  <si>
    <t>Le piège</t>
  </si>
  <si>
    <t>Le dégât</t>
  </si>
  <si>
    <t>Saisir un taux en fraction (0,034) dans une cellule qui affiche déjà le pourcentage</t>
  </si>
  <si>
    <t>La cellule affiche 0,03 % : la mensualité tombe à 474,12 € au lieu de 671,47 € (C38), soit presque le seul remboursement du capital. Le contrôle « Taux vraisemblable » (C44) passe au rouge sous le plancher de plausibilité de Paramètres (0,10 %), sauf à 0 % exactement. Tapez 3,4 et vérifiez que la cellule affiche 3,40 %.</t>
  </si>
  <si>
    <t>Confondre vacance en semaines et vacance en pourcentage (C18)</t>
  </si>
  <si>
    <t>Saisir 8 pour « 8 % » retire 8 semaines, soit 15 % du loyer : rendements sous-estimés d'un point. Un mois de vacance = 4,33 semaines.</t>
  </si>
  <si>
    <t>Oublier les frais de notaire ou les saisir hors barème (C9)</t>
  </si>
  <si>
    <t>Un oubli de 7 500 € sur 130 000 € gonfle tous les rendements de 0,5 point. À 11 % du prix, ils les écrasent d'autant.</t>
  </si>
  <si>
    <t>Saisir la taxe foncière TEOM comprise (C23)</t>
  </si>
  <si>
    <t>La TEOM est récupérable sur le locataire : 100 à 200 € de charges en trop, et une déduction fiscale indue au réel.</t>
  </si>
  <si>
    <t>Laisser le mobilier à 3 000 € en location nue, ou à 0 en meublé (C11)</t>
  </si>
  <si>
    <t>En nu, 3 000 € de coût total en trop. En LMNP réel, un amortissement du mobilier oublié, soit plusieurs centaines d'euros de base imposable en plus.</t>
  </si>
  <si>
    <t>Laisser 20 000 € de travaux déductibles en C49 après avoir mis les travaux à 0 en C10</t>
  </si>
  <si>
    <t>Au réel foncier, un déficit fictif de 20 000 € : l'impôt devient négatif et le cash-flow gagne environ 300 € par mois. Le contrôle C60 passe au rouge (C49 ne peut pas dépasser C10) et les résultats fiscaux restent vides jusqu'à la correction.</t>
  </si>
  <si>
    <t>Prendre le résultat de l'année 1 pour une année de croisière</t>
  </si>
  <si>
    <t>Au réel foncier avec travaux, l'année 1 est la meilleure (déficit imputé) ; ensuite l'impôt revient. En LMNP réel, l'amortissement tient plusieurs années puis l'impôt apparaît. Le classeur le dit dans Méthode.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</si>
  <si>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</si>
  <si>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</si>
  <si>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Calculateur de rentabilité locative</t>
  </si>
  <si>
    <t>Rendement brut, net de charges et net-net après impôt, avec le cash-flow réel de la première année.</t>
  </si>
  <si>
    <t>Cellules violettes : à remplir.  Cellules blanches : calculées automatiquement.</t>
  </si>
  <si>
    <t xml:space="preserve">  LE BIEN</t>
  </si>
  <si>
    <t>Prix net vendeur</t>
  </si>
  <si>
    <t>Prix hors honoraires d'agence et hors frais de notaire.</t>
  </si>
  <si>
    <t>Frais d'agence</t>
  </si>
  <si>
    <t>Honoraires à la charge de l'acquéreur. 0 s'ils sont à la charge du vendeur ou sans agence.</t>
  </si>
  <si>
    <t>Frais de notaire</t>
  </si>
  <si>
    <t>Travaux</t>
  </si>
  <si>
    <t>Montant total des travaux, déductibles ou non. La part déductible au réel foncier se précise en C49.</t>
  </si>
  <si>
    <t>Mobilier et équipement</t>
  </si>
  <si>
    <t>Uniquement en location meublée. 0 en location nue.</t>
  </si>
  <si>
    <t>Surface habitable</t>
  </si>
  <si>
    <t>Surface habitable au sens de la loi Boutin, pas la surface Carrez.</t>
  </si>
  <si>
    <t>Coût total de l'opération</t>
  </si>
  <si>
    <t>Dénominateur de tous les rendements du classeur.</t>
  </si>
  <si>
    <t>Prix de revient au m²</t>
  </si>
  <si>
    <t>Coût total rapporté à la surface habitable.</t>
  </si>
  <si>
    <t xml:space="preserve">  REVENUS LOCATIFS</t>
  </si>
  <si>
    <t>Loyer mensuel hors charges</t>
  </si>
  <si>
    <t>Le loyer du bail, hors charges et hors provision sur charges.</t>
  </si>
  <si>
    <t>Vacance locative (semaines par an)</t>
  </si>
  <si>
    <t>Entre 0 et 52. Un mois de vacance = 4,33 semaines.</t>
  </si>
  <si>
    <t>Loyer annuel encaissé</t>
  </si>
  <si>
    <t>Loyer × 12, diminué de la vacance.</t>
  </si>
  <si>
    <t>Loyer mensuel au m²</t>
  </si>
  <si>
    <t>À comparer aux loyers de marché du quartier.</t>
  </si>
  <si>
    <t xml:space="preserve">  CHARGES ANNUELLES</t>
  </si>
  <si>
    <t>Taxe foncière hors TEOM</t>
  </si>
  <si>
    <t>Sans la taxe d'enlèvement des ordures ménagères, récupérable sur le locataire.</t>
  </si>
  <si>
    <t>Assurance propriétaire non occupant (PNO)</t>
  </si>
  <si>
    <t>Charges de copropriété non récupérables</t>
  </si>
  <si>
    <t>La part qui reste au bailleur : syndic, assurance de l'immeuble, gros entretien.</t>
  </si>
  <si>
    <t>Comptabilité</t>
  </si>
  <si>
    <t>Provision entretien et travaux</t>
  </si>
  <si>
    <t>Réserve annuelle pour l'entretien courant. Compte dans le cash-flow, pas dans l'impôt.</t>
  </si>
  <si>
    <t>Gestion locative (% du loyer)</t>
  </si>
  <si>
    <t>Total des charges</t>
  </si>
  <si>
    <t>Charges fixes plus gestion locative.</t>
  </si>
  <si>
    <t>Revenu net de charges</t>
  </si>
  <si>
    <t>Loyer encaissé moins toutes les charges, avant impôt et avant crédit.</t>
  </si>
  <si>
    <t xml:space="preserve">  FINANCEMENT</t>
  </si>
  <si>
    <t>Apport personnel</t>
  </si>
  <si>
    <t>0 pour un financement à 100 %. Si vous partez du prêt proposé par la banque : apport = coût total (C13) moins ce prêt.</t>
  </si>
  <si>
    <t>Taux du prêt (hors assurance)</t>
  </si>
  <si>
    <t>Durée du prêt</t>
  </si>
  <si>
    <t>Taux d'assurance emprunteur (sur capital initial)</t>
  </si>
  <si>
    <t>Montant emprunté</t>
  </si>
  <si>
    <t>Coût total moins apport.</t>
  </si>
  <si>
    <t>Mensualité (capital + intérêts)</t>
  </si>
  <si>
    <t>Annuité constante, taux nominal divisé par 12.</t>
  </si>
  <si>
    <t>Assurance mensuelle</t>
  </si>
  <si>
    <t>Capital emprunté × taux d'assurance / 12, constante sur toute la durée.</t>
  </si>
  <si>
    <t>Mensualité totale</t>
  </si>
  <si>
    <t>Ce que la banque prélève chaque mois.</t>
  </si>
  <si>
    <t>Intérêts de la 1re année</t>
  </si>
  <si>
    <t>Somme des intérêts des 12 premières échéances. Ils baissent ensuite chaque année.</t>
  </si>
  <si>
    <t>Assurance emprunteur de la 1re année</t>
  </si>
  <si>
    <t>Déductible au réel foncier et au LMNP réel, comme les intérêts.</t>
  </si>
  <si>
    <t>Financement cohérent</t>
  </si>
  <si>
    <t>À CORRIGER si l'apport est négatif ou dépasse le coût total, ou si la durée manque alors qu'il y a un emprunt.</t>
  </si>
  <si>
    <t>Taux vraisemblable</t>
  </si>
  <si>
    <t xml:space="preserve">  FISCALITÉ, ANNÉE 1</t>
  </si>
  <si>
    <t>Régime fiscal</t>
  </si>
  <si>
    <t>Meublé, LMNP réel (amortissement)</t>
  </si>
  <si>
    <t>Choisir dans la liste. Les régimes meublés supposent du mobilier en C11.</t>
  </si>
  <si>
    <t>Tranche marginale d'imposition (TMI)</t>
  </si>
  <si>
    <t>Travaux déductibles au réel foncier (année 1)</t>
  </si>
  <si>
    <t>Part d'entretien, de réparation et d'amélioration des travaux de C10. Sans travaux, tapez 0. N'agit qu'au réel foncier.</t>
  </si>
  <si>
    <t>Part du terrain dans le prix (non amortissable)</t>
  </si>
  <si>
    <t>Régime autorisé</t>
  </si>
  <si>
    <t>À CORRIGER si le régime manque ou si le loyer annuel dépasse le plafond du régime micro choisi.</t>
  </si>
  <si>
    <t>Amortissement annuel (LMNP réel)</t>
  </si>
  <si>
    <t>Bâti hors terrain (prix et frais d'acquisition), travaux et mobilier, sur les durées de Paramètres.</t>
  </si>
  <si>
    <t>Résultat fiscal avant plafonnement</t>
  </si>
  <si>
    <t>Négatif : déficit (réel foncier) ou amortissement non imputé (LMNP réel).</t>
  </si>
  <si>
    <t>Base imposable retenue, année 1</t>
  </si>
  <si>
    <t>Jamais négative.</t>
  </si>
  <si>
    <t>Déficit imputé sur le revenu global (réel foncier)</t>
  </si>
  <si>
    <t>Plafonné (Paramètres). La part du déficit qui vient des intérêts n'est jamais imputée sur le revenu global.</t>
  </si>
  <si>
    <t>Reporté sur les années suivantes</t>
  </si>
  <si>
    <t>Réel foncier : déficit reportable 10 ans sur les revenus fonciers. LMNP réel : amortissement reporté sans limite.</t>
  </si>
  <si>
    <t>Impôt sur le revenu et prélèvements sociaux, année 1</t>
  </si>
  <si>
    <t>Négatif : économie d'impôt sur le revenu global grâce au déficit foncier.</t>
  </si>
  <si>
    <t xml:space="preserve">  RÉSULTATS, ANNÉE 1</t>
  </si>
  <si>
    <t>Saisies complètes et cohérentes</t>
  </si>
  <si>
    <t>À CORRIGER : une saisie manque, sort de ses bornes (dont C49 au-delà de C10) ou un contrôle est rouge. Les résultats fiscaux restent vides tant que ce n'est pas corrigé.</t>
  </si>
  <si>
    <t>Rendement brut (loyer encaissé / coût total)</t>
  </si>
  <si>
    <t>Après vacance, sur le coût total frais et travaux inclus : plus sévère que les annonces.</t>
  </si>
  <si>
    <t>Rendement brut affiché (loyer théorique / prix net vendeur)</t>
  </si>
  <si>
    <t>Le chiffre des annonces, pour comparer. Ne sert pas à décider.</t>
  </si>
  <si>
    <t>Revenu net de charges rapporté au coût total.</t>
  </si>
  <si>
    <t>Rendement net-net après impôt, année 1</t>
  </si>
  <si>
    <t>Le seul qui dépend de votre régime et de votre TMI.</t>
  </si>
  <si>
    <t>Cash-flow annuel après impôt, année 1</t>
  </si>
  <si>
    <t>Revenu net de charges, moins impôt, moins douze mensualités totales.</t>
  </si>
  <si>
    <t>Cash-flow mensuel après impôt, année 1</t>
  </si>
  <si>
    <t>Négatif : ce que le bien vous coûte chaque mois.</t>
  </si>
  <si>
    <t>Effort d'épargne mensuel</t>
  </si>
  <si>
    <t>Ce qu'il faut sortir de sa poche chaque mois. 0 si le cash-flow est positif.</t>
  </si>
  <si>
    <t>Les seules valeurs à mettre à jour quand la réglementation ou le marché changent. Le Calculateur y renvoie pour chaque barème et chaque repère.</t>
  </si>
  <si>
    <t>Valeur</t>
  </si>
  <si>
    <t>Source (organisme, texte, date)</t>
  </si>
  <si>
    <t>Mise à jour</t>
  </si>
  <si>
    <t>Commentaire</t>
  </si>
  <si>
    <t>Prélèvements sociaux, revenus fonciers (location nue)</t>
  </si>
  <si>
    <t>Chaque LFSS (décembre)</t>
  </si>
  <si>
    <t>S'applique aux régimes micro-foncier et réel foncier.</t>
  </si>
  <si>
    <t>Prélèvements sociaux, BIC de location meublée (LMNP)</t>
  </si>
  <si>
    <t>S'applique aux trois régimes meublés de la liste. La hausse de CSG de la LFSS 2026 vise les revenus du patrimoine et les produits de placement ; les revenus fonciers, les plus-values immobilières, l'assurance vie et les plans d'épargne logement en sont exclus et restent à 17,2 %, ce qui explique l'écart de 1,4 point avec la location nue.</t>
  </si>
  <si>
    <t>Abattement micro-foncier</t>
  </si>
  <si>
    <t>Chaque loi de finances</t>
  </si>
  <si>
    <t>Abattement forfaitaire sur les loyers bruts, aucune autre charge déductible.</t>
  </si>
  <si>
    <t>Plafond de revenus bruts fonciers du micro-foncier</t>
  </si>
  <si>
    <t>Revenus bruts fonciers annuels du foyer, tous biens nus confondus. Le classeur compare le loyer mensuel × 12.</t>
  </si>
  <si>
    <t>Abattement micro-BIC, meublé longue durée ou tourisme classé</t>
  </si>
  <si>
    <t>Meublé de tourisme classé : 50 % aussi, plafond identique.</t>
  </si>
  <si>
    <t>Plafond de recettes du micro-BIC, meublé longue durée ou classé</t>
  </si>
  <si>
    <t>Tous les 3 ans (prochaine : recettes 2029)</t>
  </si>
  <si>
    <t>Recettes charges comprises. Le classeur compare le loyer hors charges × 12, légèrement favorable.</t>
  </si>
  <si>
    <t>Abattement micro-BIC, meublé de tourisme non classé</t>
  </si>
  <si>
    <t>Plafond de recettes du micro-BIC, meublé de tourisme non classé</t>
  </si>
  <si>
    <t>Plafond d'imputation du déficit foncier sur le revenu global</t>
  </si>
  <si>
    <t>10 700 € par défaut, et c'est le seul plafond que le classeur applique. Le rehaussement à 21 400 € est temporaire : il couvre les travaux de rénovation énergétique dont le devis a été accepté à compter du 05/11/2022 et qui ont été payés entre le 01/01/2023 et le 31/12/2025, à condition que le logement passe d'une classe E, F ou G à une classe A, B, C ou D, justifiée par deux diagnostics au plus tard le 31/12/2027. Pour les revenus 2026, une dépense payée dans l'année n'y ouvre donc plus droit : ne passez cette cellule à 21 400 € que pour un dossier dont les travaux étaient déjà payés fin 2025. Une prorogation de la période de paiement est annoncée par la presse fiscale, elle n'est confirmée ni par le code ni par la doctrine à ce jour : le classeur retient la règle la plus stricte. C'est une donnée de dossier, pas un barème : remettez 10 700 € ensuite.</t>
  </si>
  <si>
    <t>Durée maximale d'un prêt immobilier (HCSF)</t>
  </si>
  <si>
    <t>À chaque décision du HCSF</t>
  </si>
  <si>
    <t>Lu par le commentaire de la durée du prêt. La saisie reste possible jusqu'à la borne de saisie, pour les cas dérogatoires.</t>
  </si>
  <si>
    <t xml:space="preserve">  REPÈRES DE MARCHÉ (LUS PAR LES COMMENTAIRES DU CALCULATEUR)</t>
  </si>
  <si>
    <t>Durée d'amortissement du bâti, LMNP réel</t>
  </si>
  <si>
    <t>Stable</t>
  </si>
  <si>
    <t>Base : prix, honoraires d'agence et frais de notaire, hors quote-part de terrain (saisie dans le Calculateur).</t>
  </si>
  <si>
    <t>Durée d'amortissement des travaux, LMNP réel</t>
  </si>
  <si>
    <t>Simplification : une seule durée pour l'ensemble des travaux.</t>
  </si>
  <si>
    <t>Durée d'amortissement du mobilier, LMNP réel</t>
  </si>
  <si>
    <t>Le petit matériel de moins de 600 € TTC peut passer en charge l'année d'achat (non modélisé).</t>
  </si>
  <si>
    <t>Frais de notaire dans l'ancien, ordre de grandeur (% du prix net vendeur)</t>
  </si>
  <si>
    <t>À chaque vote départemental des DMTO et chaque arrêté sur les émoluments</t>
  </si>
  <si>
    <t>Lu par le commentaire de la ligne Frais de notaire. La part fixe pèse davantage sur les petits prix.</t>
  </si>
  <si>
    <t>Frais de notaire dans le neuf, ordre de grandeur (% du prix)</t>
  </si>
  <si>
    <t>À chaque arrêté sur les émoluments</t>
  </si>
  <si>
    <t>Assurance propriétaire non occupant, ordre de grandeur annuel (appartement)</t>
  </si>
  <si>
    <t>Annuelle</t>
  </si>
  <si>
    <t>Lu par le commentaire de la ligne PNO.</t>
  </si>
  <si>
    <t>Expert-comptable LMNP réel, honoraires annuels, ordre de grandeur</t>
  </si>
  <si>
    <t>Lu par le commentaire de la ligne Comptabilité. Déductible au LMNP réel seulement.</t>
  </si>
  <si>
    <t>Gestion locative en agence, honoraires usuels (% du loyer)</t>
  </si>
  <si>
    <t>Lu par le commentaire de la ligne Gestion locative.</t>
  </si>
  <si>
    <t>Taux de crédit immobilier moyen sur 20 ans</t>
  </si>
  <si>
    <t>Mensuelle</t>
  </si>
  <si>
    <t>Lu par le commentaire de la ligne Taux du prêt. Donnée de projet : saisissez le taux de votre offre.</t>
  </si>
  <si>
    <t>Taux de crédit immobilier moyen sur 25 ans</t>
  </si>
  <si>
    <t>Assurance emprunteur, contrat groupe, taux annuel sur capital initial</t>
  </si>
  <si>
    <t>Lu par le commentaire de la ligne Taux d'assurance.</t>
  </si>
  <si>
    <t>Assurance emprunteur, délégation, taux annuel sur capital initial</t>
  </si>
  <si>
    <t>Une délégation cotise en réalité sur le capital restant dû : le classeur est prudent.</t>
  </si>
  <si>
    <t>Part du terrain dans le prix, usage pour un appartement</t>
  </si>
  <si>
    <t>Lu par le commentaire de la ligne Part du terrain.</t>
  </si>
  <si>
    <t>Quotité des loyers retenue par les banques (taux d'effort)</t>
  </si>
  <si>
    <t>Lu par le commentaire de la ligne Part du loyer absorbée par la mensualité.</t>
  </si>
  <si>
    <t xml:space="preserve">  BORNES DE SAISIE (VALIDATIONS ET CONTRÔLE GLOBAL)</t>
  </si>
  <si>
    <t>Borne de saisie : taux du prêt maximal</t>
  </si>
  <si>
    <t>Sans objet</t>
  </si>
  <si>
    <t>Au-delà, la validation refuse la saisie et le contrôle global passe au rouge.</t>
  </si>
  <si>
    <t>Borne de saisie : durée du prêt maximale</t>
  </si>
  <si>
    <t>Années entières de 1 à cette borne.</t>
  </si>
  <si>
    <t>Borne de saisie : taux d'assurance maximal</t>
  </si>
  <si>
    <t>Borne de saisie : part du terrain maximale</t>
  </si>
  <si>
    <t>Plancher de plausibilité d'un taux saisi</t>
  </si>
  <si>
    <t>Un taux entre 0 et 0,10 % signale presque toujours une saisie en fraction (0,0325 tapé pour 3,25 %). Le contrôle « Taux vraisemblable » passe au rouge dans ce cas, sauf à 0 % exactement (prêt à taux zéro, ou pas d'assurance).</t>
  </si>
  <si>
    <t xml:space="preserve">  LISTES DÉROULANTES DU CALCULATEUR</t>
  </si>
  <si>
    <t>Régime fiscal (liste de C47)</t>
  </si>
  <si>
    <t>TMI (liste de C48)</t>
  </si>
  <si>
    <t>Location nue, micro-foncier</t>
  </si>
  <si>
    <t>TMI : chaque loi de finances</t>
  </si>
  <si>
    <t>CGI art. 32. Loyers bruts du foyer inférieurs ou égaux au plafond.</t>
  </si>
  <si>
    <t>Location nue, réel foncier</t>
  </si>
  <si>
    <t>CGI art. 31 et 156. Charges réelles, intérêts, travaux, déficit foncier.</t>
  </si>
  <si>
    <t>Meublé, LMNP micro-BIC</t>
  </si>
  <si>
    <t>CGI art. 50-0. Abattement forfaitaire sur les recettes.</t>
  </si>
  <si>
    <t>CGI art. 39 C. Charges réelles et amortissement, sans création de déficit.</t>
  </si>
  <si>
    <t>Meublé de tourisme non classé, micro-BIC</t>
  </si>
  <si>
    <t>CGI art. 50-0, loi Le Meur. Abattement réduit et plafond bas.</t>
  </si>
  <si>
    <t>Dernière vérification des paramètres</t>
  </si>
  <si>
    <t>Aucun de ces taux n'est recopié dans une formule : toutes pointent ici. Les mentions de vérification de cet onglet et de Méthode lisent cette date.</t>
  </si>
  <si>
    <t>Ces valeurs sont volontairement isolées ici. Un modèle qui embarque un barème au cœur de ses formules devient faux dès que la loi bouge,</t>
  </si>
  <si>
    <t>sans que personne ne s'en aperçoive. Vérifiez-les avant tout usage engageant, et notez la date de votre dernière vérification ci-dessus.</t>
  </si>
  <si>
    <t>Méthode de calcul</t>
  </si>
  <si>
    <t>Ce que le modèle fait, ce qu'il ne fait pas, et sur quelles sources reposent ses chiffres.</t>
  </si>
  <si>
    <t xml:space="preserve">  CONVENTIONS RETENUES, ET CE QU'ELLES COÛTENT</t>
  </si>
  <si>
    <t>Prix net vendeur + frais d'agence + frais de notaire + travaux + mobilier. C'est le dénominateur de tous les rendements : un rendement calculé sur le seul prix d'achat est systématiquement flatteur de 10 à 15 %.</t>
  </si>
  <si>
    <t>Loyer mensuel hors charges × 12, diminué de la vacance exprimée en semaines. On raisonne sur le loyer réellement perçu, pas sur le loyer théorique. Un mois de vacance vaut 4,33 semaines ; la saisie est bornée de 0 à 52.</t>
  </si>
  <si>
    <t>Loyer annuel encaissé ÷ coût total. C'est le chiffre que tout le monde affiche. Il ignore les charges, l'impôt et le financement : il sert à comparer, pas à décider. Le classeur affiche aussi le rendement brut des annonces (loyer théorique sur prix net vendeur), plus flatteur d'environ 4 points sur l'exemple, pour parler la même langue que le marché.</t>
  </si>
  <si>
    <t>(Loyer annuel encaissé − charges) ÷ coût total. Les charges incluent la taxe foncière hors TEOM, l'assurance PNO, la copropriété non récupérable, la comptabilité, une provision d'entretien et la gestion locative. C'est un rendement de trésorerie : la provision y compte, même si elle n'est pas déductible.</t>
  </si>
  <si>
    <t>(Loyer net de charges − impôt) ÷ coût total. C'est le seul qui décide, parce qu'il dépend de votre situation fiscale personnelle. C'est le chiffre mis en avant par ce modèle.</t>
  </si>
  <si>
    <t>Base imposable, année 1</t>
  </si>
  <si>
    <t>Micro-foncier et micro-BIC : loyer annuel encaissé diminué de l'abattement forfaitaire (le micro-BIC retient en principe les loyers charges comprises ; le classeur prend le loyer hors charges, légèrement favorable). Réel foncier (CGI art. 31) : loyer encaissé, moins la taxe foncière hors TEOM, la PNO, la copropriété non récupérable, la gestion, les intérêts et l'assurance emprunteur de la première année, et les travaux déductibles saisis. La provision d'entretien et la comptabilité ne sont pas déduites : seules les dépenses payées le sont. LMNP réel (CGI art. 39 C) : loyer encaissé, moins les mêmes charges plus la comptabilité, moins intérêts et assurance, moins l'amortissement. Les intérêts sont ceux des douze premières échéances (CUMIPMT) ; ils diminuent ensuite chaque année, ce qui alourdit l'impôt à mesure que le prêt s'amortit.</t>
  </si>
  <si>
    <t>Déficit foncier (réel foncier)</t>
  </si>
  <si>
    <t>Quand la base est négative, le déficit qui vient des charges autres que les intérêts s'impute sur le revenu global dans la limite du plafond de Paramètres (10 700 €) : l'impôt de l'année 1 devient négatif, à hauteur du déficit imputé multiplié par la TMI, sans effet sur les prélèvements sociaux. Le surplus, et la part du déficit qui vient des intérêts et de l'assurance, se reportent sur les revenus fonciers des dix années suivantes (CGI art. 156, I-3°). L'imputation sur le revenu global engage à louer le bien jusqu'au 31 décembre de la troisième année suivante. Le plafond majoré à 21 400 € pour rénovation énergétique, institué par la loi n° 2022-1499 du 1er décembre 2022 de finances rectificative pour 2022 (art. 12), est temporaire et ne couvre que les dépenses payées entre le 1er janvier 2023 et le 31 décembre 2025, pour un logement passant d'une classe E, F ou G à une classe A, B, C ou D justifiée au plus tard le 31 décembre 2027. Il n'est donc pas ouvert à une dépense payée en 2026 : le classeur applique 10 700 € et laisse la cellule de Paramètres modifiable pour un dossier qui remplit encore les conditions.</t>
  </si>
  <si>
    <t>Amortissement (LMNP réel)</t>
  </si>
  <si>
    <t>Le bâti (prix, honoraires d'agence et frais de notaire, hors quote-part de terrain saisie dans le Calculateur), les travaux et le mobilier s'amortissent en linéaire sur les durées de Paramètres. Simplification : linéaire simplifié plutôt que par composants, frais d'acquisition incorporés au bâti plutôt que passés en charge la première année. L'amortissement ne peut pas créer de déficit (CGI art. 39 C, II) : la part non imputée est reportée sans limite de durée, ce qui se lit sur la ligne « Reporté sur les années suivantes ». Depuis la LF 2025 (art. 84), les amortissements déduits sont réintégrés dans la plus-value à la revente : le classeur ne modélise pas la revente.</t>
  </si>
  <si>
    <t>Plafonds des régimes micro</t>
  </si>
  <si>
    <t>Le classeur compare le loyer hors charges × 12 aux plafonds de Paramètres (15 000 € en micro-foncier, 83 600 € en micro-BIC longue durée ou classé, 15 000 € en meublé de tourisme non classé). Les plafonds s'apprécient en réalité sur l'ensemble des revenus du foyer de même nature : si vous avez d'autres biens, vérifiez à la main.</t>
  </si>
  <si>
    <t>Prélèvements sociaux</t>
  </si>
  <si>
    <t>17,2 % sur les revenus fonciers (location nue). 18,6 % sur les BIC de location meublée depuis les revenus 2025 (LFSS 2026, CSG portée à 10,6 %). Le classeur choisit le taux selon le régime.</t>
  </si>
  <si>
    <t>Assurance emprunteur</t>
  </si>
  <si>
    <t>Calculée sur le capital initial, constante sur toute la durée : c'est la convention des contrats groupe bancaires. Une délégation d'assurance cotise sur le capital restant dû et coûte 30 à 40 % de moins sur 25 ans à taux égal : le classeur est alors prudent.</t>
  </si>
  <si>
    <t>Cash-flow mensuel</t>
  </si>
  <si>
    <t>(Revenu net de charges − impôt) ÷ 12 − mensualité totale. Négatif, il devient un effort d'épargne : la somme à sortir chaque mois pour détenir le bien.</t>
  </si>
  <si>
    <t>Contrôles et bornes de saisie</t>
  </si>
  <si>
    <t>Quatre contrôles OK / À CORRIGER : financement (C43), taux vraisemblable (C44), régime autorisé (C51) et saisies complètes (C60). Le contrôle des taux attrape la saisie en fraction : un taux strictement positif inférieur au plancher de plausibilité de Paramètres est presque toujours 0,034 tapé pour 3,4. Chaque borne imposée par une validation de saisie est reprise dans le contrôle global, parce qu'une validation ne joue qu'au moment où l'on tape : une valeur héritée de l'exemple livré ou d'un collage la contourne. Les bornes chiffrées vivent dans Paramètres. Tant qu'un contrôle est rouge, les résultats fiscaux restent vides.</t>
  </si>
  <si>
    <t>Taux et dates</t>
  </si>
  <si>
    <t>Tous les taux sont des fractions affichées en pourcentage : tapez 3,4 dans une cellule de taux, elle affiche 3,40 % et contient 0,034. Aucune formule ne divise par 100. Les durées sont en années entières, les intérêts en mensuel (taux nominal divisé par 12). Les mentions de vérification de Paramètres et de cet onglet lisent la date de dernière vérification de Paramètres.</t>
  </si>
  <si>
    <t xml:space="preserve">  CE QUE CE MODÈLE NE FAIT PAS</t>
  </si>
  <si>
    <t>•  Il raisonne sur la première année. Les intérêts d'emprunt baissent ensuite, l'impôt monte, l'amortissement reporté se consomme.</t>
  </si>
  <si>
    <t>•  Il ne modélise ni la revalorisation des loyers, ni celle du bien, ni la plus-value à la revente (ni la réintégration des amortissements LMNP dans cette plus-value).</t>
  </si>
  <si>
    <t>•  Il ne calcule pas la CSG déductible du revenu global l'année suivante (6,8 points, réel foncier et LMNP réel), ni la CFE due en meublé, ni le forfait de 20 € par local de frais de gestion, ni les charges refacturées au locataire.</t>
  </si>
  <si>
    <t>•  Il ne calcule pas les frais de notaire (saisis tels quels), ni les frais de garantie et de dossier du prêt, ni le TAEG.</t>
  </si>
  <si>
    <t>•  Il ne calcule pas le taux d'effort au sens du HCSF : c'est l'objet de la matrice Capacité d'emprunt et bilan patrimonial.</t>
  </si>
  <si>
    <t>•  Il ne remplace ni un expert-comptable, ni un conseil fiscal.</t>
  </si>
  <si>
    <t xml:space="preserve">  SOURCES (LUES DANS PARAMÈTRES, COLONNE D)</t>
  </si>
  <si>
    <t>Barème de l'impôt sur le revenu (TMI)</t>
  </si>
  <si>
    <t>Charges déductibles au réel foncier</t>
  </si>
  <si>
    <t>CGI art. 31, I-1° ; BOFiP BOI-RFPI-DECLA-20 ; règle d'imputation du déficit : CGI art. 156, I-3° et BOFiP BOI-RFPI-BASE-30-20.</t>
  </si>
  <si>
    <t>Amortissement LMNP et non-création de déficit</t>
  </si>
  <si>
    <t>CGI art. 39 C, II ; BOFiP BOI-BIC-AMT-10-40-10 (composants) ; LF 2025 art. 84 (réintégration des amortissements dans la plus-value, cessions depuis le 15/02/2025).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</si>
</sst>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0" formatCode="#,##0&quot; €&quot;"/>
    <numFmt numFmtId="171" formatCode="#,##0&quot; m²&quot;"/>
    <numFmt numFmtId="172" formatCode="#,##0&quot; €/m²&quot;"/>
    <numFmt numFmtId="173" formatCode="0&quot; sem.&quot;"/>
    <numFmt numFmtId="174" formatCode="#,##0.0&quot; €/m²/mois&quot;"/>
    <numFmt numFmtId="175" formatCode="0&quot; ans&quot;"/>
    <numFmt numFmtId="176" formatCode="#,##0.00&quot; €&quot;"/>
    <numFmt numFmtId="177" formatCode="0.0%"/>
    <numFmt numFmtId="179" formatCode="dd/mm/yyyy;@"/>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FFFFF"/>
      </patternFill>
    </fill>
    <fill>
      <patternFill patternType="solid">
        <fgColor rgb="FFF8F6FC"/>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70" fontId="6" fillId="3" borderId="1" xfId="0" applyNumberFormat="1" applyFont="1" applyFill="1" applyBorder="1" applyAlignment="1" applyProtection="1">
      <alignment horizontal="right" vertical="center"/>
      <protection locked="0"/>
    </xf>
    <xf numFmtId="171" fontId="6" fillId="3" borderId="1" xfId="0" applyNumberFormat="1" applyFont="1" applyFill="1" applyBorder="1" applyAlignment="1" applyProtection="1">
      <alignment horizontal="right" vertical="center"/>
      <protection locked="0"/>
    </xf>
    <xf numFmtId="0" fontId="7" fillId="0" borderId="0" xfId="0" applyFont="1" applyAlignment="1">
      <alignment horizontal="left" vertical="center"/>
    </xf>
    <xf numFmtId="170" fontId="7" fillId="5" borderId="1" xfId="0" applyNumberFormat="1" applyFont="1" applyFill="1" applyBorder="1" applyAlignment="1">
      <alignment horizontal="right" vertical="center"/>
    </xf>
    <xf numFmtId="172" fontId="5" fillId="4" borderId="0" xfId="0" applyNumberFormat="1" applyFont="1" applyFill="1" applyAlignment="1">
      <alignment horizontal="right" vertical="center"/>
    </xf>
    <xf numFmtId="173" fontId="6" fillId="3" borderId="1" xfId="0" applyNumberFormat="1" applyFont="1" applyFill="1" applyBorder="1" applyAlignment="1" applyProtection="1">
      <alignment horizontal="right" vertical="center"/>
      <protection locked="0"/>
    </xf>
    <xf numFmtId="170" fontId="5" fillId="4" borderId="0" xfId="0" applyNumberFormat="1" applyFont="1" applyFill="1" applyAlignment="1">
      <alignment horizontal="right" vertical="center"/>
    </xf>
    <xf numFmtId="174" fontId="5" fillId="4" borderId="0" xfId="0" applyNumberFormat="1" applyFont="1" applyFill="1" applyAlignment="1">
      <alignment horizontal="right" vertical="center"/>
    </xf>
    <xf numFmtId="10" fontId="6" fillId="3" borderId="1" xfId="0" applyNumberFormat="1" applyFont="1" applyFill="1" applyBorder="1" applyAlignment="1" applyProtection="1">
      <alignment horizontal="right" vertical="center"/>
      <protection locked="0"/>
    </xf>
    <xf numFmtId="175" fontId="6" fillId="3" borderId="1" xfId="0" applyNumberFormat="1" applyFont="1" applyFill="1" applyBorder="1" applyAlignment="1" applyProtection="1">
      <alignment horizontal="right" vertical="center"/>
      <protection locked="0"/>
    </xf>
    <xf numFmtId="176" fontId="5" fillId="4" borderId="0" xfId="0" applyNumberFormat="1" applyFont="1" applyFill="1" applyAlignment="1">
      <alignment horizontal="right" vertical="center"/>
    </xf>
    <xf numFmtId="176" fontId="7" fillId="5" borderId="1" xfId="0" applyNumberFormat="1" applyFont="1" applyFill="1" applyBorder="1" applyAlignment="1">
      <alignment horizontal="right" vertical="center"/>
    </xf>
    <xf numFmtId="0" fontId="7" fillId="0" borderId="1" xfId="0" applyFont="1" applyBorder="1" applyAlignment="1">
      <alignment horizontal="center" vertical="center"/>
    </xf>
    <xf numFmtId="49" fontId="6" fillId="3" borderId="1" xfId="0" applyNumberFormat="1" applyFont="1" applyFill="1" applyBorder="1" applyAlignment="1" applyProtection="1">
      <alignment horizontal="left" vertical="center"/>
      <protection locked="0"/>
    </xf>
    <xf numFmtId="10" fontId="5" fillId="4" borderId="0" xfId="0" applyNumberFormat="1" applyFont="1" applyFill="1" applyAlignment="1">
      <alignment horizontal="right" vertical="center"/>
    </xf>
    <xf numFmtId="10" fontId="8" fillId="5" borderId="1" xfId="0" applyNumberFormat="1" applyFont="1" applyFill="1" applyBorder="1" applyAlignment="1">
      <alignment horizontal="right" vertical="center"/>
    </xf>
    <xf numFmtId="176" fontId="8" fillId="5" borderId="1" xfId="0" applyNumberFormat="1" applyFont="1" applyFill="1" applyBorder="1" applyAlignment="1">
      <alignment horizontal="right" vertical="center"/>
    </xf>
    <xf numFmtId="0" fontId="1" fillId="2" borderId="0" xfId="0" applyFont="1" applyFill="1" applyAlignment="1">
      <alignment horizontal="center" vertical="center" wrapText="1"/>
    </xf>
    <xf numFmtId="0" fontId="5" fillId="0" borderId="0" xfId="0" applyFont="1"/>
    <xf numFmtId="0" fontId="4" fillId="0" borderId="0" xfId="0" applyFont="1" applyAlignment="1">
      <alignment horizontal="left" vertical="top" wrapText="1"/>
    </xf>
    <xf numFmtId="177" fontId="6" fillId="3" borderId="1" xfId="0" applyNumberFormat="1" applyFont="1" applyFill="1" applyBorder="1" applyAlignment="1" applyProtection="1">
      <alignment horizontal="right" vertical="center"/>
      <protection locked="0"/>
    </xf>
    <xf numFmtId="179" fontId="6" fillId="3" borderId="1" xfId="0" applyNumberFormat="1" applyFont="1" applyFill="1" applyBorder="1" applyAlignment="1" applyProtection="1">
      <alignment horizontal="right" vertical="center"/>
      <protection locked="0"/>
    </xf>
    <xf numFmtId="0" fontId="5"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1" fillId="2" borderId="0" xfId="0" applyFont="1" applyFill="1" applyAlignment="1">
      <alignment horizontal="left" vertical="center" wrapText="1"/>
    </xf>
    <xf numFmtId="0" fontId="10" fillId="0" borderId="0" xfId="0" applyFont="1" applyAlignment="1">
      <alignment horizontal="center" vertical="center" wrapText="1"/>
    </xf>
    <xf numFmtId="0" fontId="9" fillId="0" borderId="0" xfId="0" applyFont="1" applyAlignment="1">
      <alignment horizontal="left" vertical="top" wrapText="1"/>
    </xf>
    <xf numFmtId="0" fontId="7" fillId="0" borderId="0" xfId="0" applyFont="1" applyAlignment="1">
      <alignment horizontal="left" vertical="top" wrapText="1"/>
    </xf>
  </cellXfs>
  <cellStyles count="1">
    <cellStyle name="Normal" xfId="0" builtinId="0"/>
  </cellStyles>
  <dxfs count="6">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8763000" y="311150"/>
    <xdr:ext cx="1685925" cy="419100"/>
    <xdr:pic>
      <xdr:nvPicPr>
        <xdr:cNvPr id="2" name="Logo CorpusImmo" descr="CorpusImmo, www.corpus.immo"/>
        <xdr:cNvPicPr>
          <a:picLocks noChangeAspect="1"/>
        </xdr:cNvPicPr>
      </xdr:nvPicPr>
      <xdr:blipFill>
        <a:blip r:embed="rId1"/>
        <a:stretch>
          <a:fillRect/>
        </a:stretch>
      </xdr:blipFill>
      <xdr:spPr>
        <a:xfrm>
          <a:off x="8763000"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11258550" y="311150"/>
    <xdr:ext cx="1685925" cy="419100"/>
    <xdr:pic>
      <xdr:nvPicPr>
        <xdr:cNvPr id="2" name="Logo CorpusImmo" descr="CorpusImmo, www.corpus.immo"/>
        <xdr:cNvPicPr>
          <a:picLocks noChangeAspect="1"/>
        </xdr:cNvPicPr>
      </xdr:nvPicPr>
      <xdr:blipFill>
        <a:blip r:embed="rId1"/>
        <a:stretch>
          <a:fillRect/>
        </a:stretch>
      </xdr:blipFill>
      <xdr:spPr>
        <a:xfrm>
          <a:off x="11258550"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8382000" y="311150"/>
    <xdr:ext cx="1685925" cy="419100"/>
    <xdr:pic>
      <xdr:nvPicPr>
        <xdr:cNvPr id="2" name="Logo CorpusImmo" descr="CorpusImmo, www.corpus.immo"/>
        <xdr:cNvPicPr>
          <a:picLocks noChangeAspect="1"/>
        </xdr:cNvPicPr>
      </xdr:nvPicPr>
      <xdr:blipFill>
        <a:blip r:embed="rId1"/>
        <a:stretch>
          <a:fillRect/>
        </a:stretch>
      </xdr:blipFill>
      <xdr:spPr>
        <a:xfrm>
          <a:off x="838200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1"/>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33" t="s">
        <v>4</v>
      </c>
      <c r="C7" s="34"/>
      <c r="D7" s="34"/>
      <c r="E7" s="34"/>
    </row>
    <row r="8" spans="2:6" ht="30" customHeight="1" x14ac:dyDescent="0.35">
      <c r="B8" s="33" t="s">
        <v>5</v>
      </c>
      <c r="C8" s="34"/>
      <c r="D8" s="34"/>
      <c r="E8" s="34"/>
    </row>
    <row r="9" spans="2:6" ht="30" customHeight="1" x14ac:dyDescent="0.35">
      <c r="B9" s="33" t="s">
        <v>6</v>
      </c>
      <c r="C9" s="34"/>
      <c r="D9" s="34"/>
      <c r="E9" s="34"/>
    </row>
    <row r="10" spans="2:6" ht="18" customHeight="1" x14ac:dyDescent="0.35">
      <c r="B10" s="5" t="s">
        <v>7</v>
      </c>
      <c r="C10" s="37" t="s">
        <v>8</v>
      </c>
      <c r="D10" s="34"/>
      <c r="E10" s="34"/>
    </row>
    <row r="11" spans="2:6" ht="16.5" customHeight="1" x14ac:dyDescent="0.35">
      <c r="B11" s="6" t="s">
        <v>9</v>
      </c>
      <c r="C11" s="35" t="s">
        <v>10</v>
      </c>
      <c r="D11" s="36"/>
      <c r="E11" s="36"/>
    </row>
    <row r="12" spans="2:6" ht="16.5" customHeight="1" x14ac:dyDescent="0.35">
      <c r="B12" s="6" t="s">
        <v>11</v>
      </c>
      <c r="C12" s="35" t="s">
        <v>12</v>
      </c>
      <c r="D12" s="36"/>
      <c r="E12" s="36"/>
    </row>
    <row r="13" spans="2:6" ht="16.5" customHeight="1" x14ac:dyDescent="0.35">
      <c r="B13" s="6" t="s">
        <v>13</v>
      </c>
      <c r="C13" s="35" t="s">
        <v>14</v>
      </c>
      <c r="D13" s="36"/>
      <c r="E13" s="36"/>
    </row>
    <row r="14" spans="2:6" ht="16.5" customHeight="1" x14ac:dyDescent="0.35">
      <c r="B14" s="6" t="s">
        <v>15</v>
      </c>
      <c r="C14" s="35" t="s">
        <v>16</v>
      </c>
      <c r="D14" s="36"/>
      <c r="E14" s="36"/>
    </row>
    <row r="15" spans="2:6" ht="16.5" customHeight="1" x14ac:dyDescent="0.35">
      <c r="B15" s="6" t="s">
        <v>17</v>
      </c>
      <c r="C15" s="35" t="s">
        <v>18</v>
      </c>
      <c r="D15" s="36"/>
      <c r="E15" s="36"/>
    </row>
    <row r="17" spans="2:5" ht="18" customHeight="1" x14ac:dyDescent="0.35">
      <c r="B17" s="1" t="s">
        <v>19</v>
      </c>
      <c r="C17" s="1"/>
      <c r="D17" s="1"/>
      <c r="E17" s="1"/>
    </row>
    <row r="18" spans="2:5" ht="28" customHeight="1" x14ac:dyDescent="0.35">
      <c r="B18" s="38" t="s">
        <v>20</v>
      </c>
      <c r="C18" s="34"/>
      <c r="D18" s="34"/>
      <c r="E18" s="34"/>
    </row>
    <row r="20" spans="2:5" ht="18" customHeight="1" x14ac:dyDescent="0.35">
      <c r="B20" s="1" t="s">
        <v>21</v>
      </c>
      <c r="C20" s="1"/>
      <c r="D20" s="1"/>
      <c r="E20" s="1"/>
    </row>
    <row r="21" spans="2:5" ht="18" customHeight="1" x14ac:dyDescent="0.35">
      <c r="B21" s="5" t="s">
        <v>22</v>
      </c>
      <c r="C21" s="5" t="s">
        <v>23</v>
      </c>
      <c r="D21" s="37" t="s">
        <v>24</v>
      </c>
      <c r="E21" s="34"/>
    </row>
    <row r="22" spans="2:5" ht="30" customHeight="1" x14ac:dyDescent="0.35">
      <c r="B22" s="6" t="s">
        <v>1</v>
      </c>
      <c r="C22" s="7" t="s">
        <v>25</v>
      </c>
      <c r="D22" s="35" t="s">
        <v>26</v>
      </c>
      <c r="E22" s="36"/>
    </row>
    <row r="23" spans="2:5" ht="84" customHeight="1" x14ac:dyDescent="0.35">
      <c r="B23" s="6" t="s">
        <v>27</v>
      </c>
      <c r="C23" s="7" t="s">
        <v>28</v>
      </c>
      <c r="D23" s="35" t="s">
        <v>29</v>
      </c>
      <c r="E23" s="36"/>
    </row>
    <row r="24" spans="2:5" ht="97.5" customHeight="1" x14ac:dyDescent="0.35">
      <c r="B24" s="6" t="s">
        <v>30</v>
      </c>
      <c r="C24" s="7" t="s">
        <v>31</v>
      </c>
      <c r="D24" s="35" t="s">
        <v>32</v>
      </c>
      <c r="E24" s="36"/>
    </row>
    <row r="25" spans="2:5" ht="16.5" customHeight="1" x14ac:dyDescent="0.35">
      <c r="B25" s="6" t="s">
        <v>33</v>
      </c>
      <c r="C25" s="7" t="s">
        <v>34</v>
      </c>
      <c r="D25" s="35" t="s">
        <v>35</v>
      </c>
      <c r="E25" s="36"/>
    </row>
    <row r="27" spans="2:5" ht="18" customHeight="1" x14ac:dyDescent="0.35">
      <c r="B27" s="1" t="s">
        <v>36</v>
      </c>
      <c r="C27" s="1"/>
      <c r="D27" s="1"/>
      <c r="E27" s="1"/>
    </row>
    <row r="28" spans="2:5" ht="18" customHeight="1" x14ac:dyDescent="0.35">
      <c r="B28" s="5" t="s">
        <v>37</v>
      </c>
      <c r="C28" s="5" t="s">
        <v>38</v>
      </c>
      <c r="D28" s="37" t="s">
        <v>39</v>
      </c>
      <c r="E28" s="34"/>
    </row>
    <row r="29" spans="2:5" ht="16.5" customHeight="1" x14ac:dyDescent="0.35">
      <c r="B29" s="6" t="s">
        <v>40</v>
      </c>
      <c r="C29" s="7" t="s">
        <v>41</v>
      </c>
      <c r="D29" s="35" t="s">
        <v>42</v>
      </c>
      <c r="E29" s="36"/>
    </row>
    <row r="30" spans="2:5" ht="16.5" customHeight="1" x14ac:dyDescent="0.35">
      <c r="B30" s="6" t="s">
        <v>43</v>
      </c>
      <c r="C30" s="7" t="s">
        <v>44</v>
      </c>
      <c r="D30" s="35" t="s">
        <v>45</v>
      </c>
      <c r="E30" s="36"/>
    </row>
    <row r="31" spans="2:5" ht="30" customHeight="1" x14ac:dyDescent="0.35">
      <c r="B31" s="6" t="s">
        <v>46</v>
      </c>
      <c r="C31" s="7" t="s">
        <v>47</v>
      </c>
      <c r="D31" s="35" t="s">
        <v>48</v>
      </c>
      <c r="E31" s="36"/>
    </row>
    <row r="32" spans="2:5" ht="16.5" customHeight="1" x14ac:dyDescent="0.35">
      <c r="B32" s="6" t="s">
        <v>49</v>
      </c>
      <c r="C32" s="7" t="s">
        <v>50</v>
      </c>
      <c r="D32" s="35" t="s">
        <v>51</v>
      </c>
      <c r="E32" s="36"/>
    </row>
    <row r="33" spans="2:5" ht="30" customHeight="1" x14ac:dyDescent="0.35">
      <c r="B33" s="6" t="s">
        <v>52</v>
      </c>
      <c r="C33" s="7" t="s">
        <v>53</v>
      </c>
      <c r="D33" s="35" t="s">
        <v>54</v>
      </c>
      <c r="E33" s="36"/>
    </row>
    <row r="34" spans="2:5" ht="16.5" customHeight="1" x14ac:dyDescent="0.35">
      <c r="B34" s="6" t="s">
        <v>55</v>
      </c>
      <c r="C34" s="7" t="s">
        <v>56</v>
      </c>
      <c r="D34" s="35" t="s">
        <v>57</v>
      </c>
      <c r="E34" s="36"/>
    </row>
    <row r="35" spans="2:5" ht="16.5" customHeight="1" x14ac:dyDescent="0.35">
      <c r="B35" s="6" t="s">
        <v>58</v>
      </c>
      <c r="C35" s="7" t="s">
        <v>59</v>
      </c>
      <c r="D35" s="35" t="s">
        <v>60</v>
      </c>
      <c r="E35" s="36"/>
    </row>
    <row r="36" spans="2:5" ht="30" customHeight="1" x14ac:dyDescent="0.35">
      <c r="B36" s="33" t="s">
        <v>61</v>
      </c>
      <c r="C36" s="34"/>
      <c r="D36" s="34"/>
      <c r="E36" s="34"/>
    </row>
    <row r="38" spans="2:5" ht="18" customHeight="1" x14ac:dyDescent="0.35">
      <c r="B38" s="1" t="s">
        <v>62</v>
      </c>
      <c r="C38" s="1"/>
      <c r="D38" s="1"/>
      <c r="E38" s="1"/>
    </row>
    <row r="39" spans="2:5" ht="18" customHeight="1" x14ac:dyDescent="0.35">
      <c r="B39" s="5" t="s">
        <v>63</v>
      </c>
      <c r="C39" s="5" t="s">
        <v>64</v>
      </c>
      <c r="D39" s="5" t="s">
        <v>39</v>
      </c>
      <c r="E39" s="5" t="s">
        <v>65</v>
      </c>
    </row>
    <row r="40" spans="2:5" ht="84" customHeight="1" x14ac:dyDescent="0.35">
      <c r="B40" s="6" t="s">
        <v>66</v>
      </c>
      <c r="C40" s="7" t="s">
        <v>67</v>
      </c>
      <c r="D40" s="7" t="s">
        <v>68</v>
      </c>
      <c r="E40" s="7" t="s">
        <v>69</v>
      </c>
    </row>
    <row r="41" spans="2:5" ht="70.5" customHeight="1" x14ac:dyDescent="0.35">
      <c r="B41" s="6" t="s">
        <v>70</v>
      </c>
      <c r="C41" s="7" t="s">
        <v>71</v>
      </c>
      <c r="D41" s="7" t="s">
        <v>72</v>
      </c>
      <c r="E41" s="7" t="s">
        <v>73</v>
      </c>
    </row>
    <row r="42" spans="2:5" ht="30" customHeight="1" x14ac:dyDescent="0.35">
      <c r="B42" s="6" t="s">
        <v>74</v>
      </c>
      <c r="C42" s="7" t="s">
        <v>75</v>
      </c>
      <c r="D42" s="7" t="s">
        <v>76</v>
      </c>
      <c r="E42" s="7" t="s">
        <v>77</v>
      </c>
    </row>
    <row r="43" spans="2:5" ht="57" customHeight="1" x14ac:dyDescent="0.35">
      <c r="B43" s="6" t="s">
        <v>78</v>
      </c>
      <c r="C43" s="7" t="s">
        <v>79</v>
      </c>
      <c r="D43" s="7" t="s">
        <v>80</v>
      </c>
      <c r="E43" s="7" t="s">
        <v>81</v>
      </c>
    </row>
    <row r="44" spans="2:5" ht="111" customHeight="1" x14ac:dyDescent="0.35">
      <c r="B44" s="6" t="s">
        <v>82</v>
      </c>
      <c r="C44" s="7" t="s">
        <v>83</v>
      </c>
      <c r="D44" s="7" t="s">
        <v>84</v>
      </c>
      <c r="E44" s="7" t="s">
        <v>85</v>
      </c>
    </row>
    <row r="45" spans="2:5" ht="151.5" customHeight="1" x14ac:dyDescent="0.35">
      <c r="B45" s="6" t="s">
        <v>86</v>
      </c>
      <c r="C45" s="7" t="s">
        <v>87</v>
      </c>
      <c r="D45" s="7" t="s">
        <v>88</v>
      </c>
      <c r="E45" s="7" t="s">
        <v>89</v>
      </c>
    </row>
    <row r="46" spans="2:5" ht="30" customHeight="1" x14ac:dyDescent="0.35">
      <c r="B46" s="6" t="s">
        <v>90</v>
      </c>
      <c r="C46" s="7" t="s">
        <v>91</v>
      </c>
      <c r="D46" s="7" t="s">
        <v>92</v>
      </c>
      <c r="E46" s="7" t="s">
        <v>93</v>
      </c>
    </row>
    <row r="47" spans="2:5" ht="97.5" customHeight="1" x14ac:dyDescent="0.35">
      <c r="B47" s="6" t="s">
        <v>94</v>
      </c>
      <c r="C47" s="7" t="s">
        <v>95</v>
      </c>
      <c r="D47" s="7" t="s">
        <v>96</v>
      </c>
      <c r="E47" s="7" t="s">
        <v>97</v>
      </c>
    </row>
    <row r="49" spans="2:5" ht="18" customHeight="1" x14ac:dyDescent="0.35">
      <c r="B49" s="1" t="s">
        <v>98</v>
      </c>
      <c r="C49" s="1"/>
      <c r="D49" s="1"/>
      <c r="E49" s="1"/>
    </row>
    <row r="50" spans="2:5" ht="30" customHeight="1" x14ac:dyDescent="0.35">
      <c r="B50" s="33" t="s">
        <v>99</v>
      </c>
      <c r="C50" s="34"/>
      <c r="D50" s="34"/>
      <c r="E50" s="34"/>
    </row>
    <row r="51" spans="2:5" ht="30" customHeight="1" x14ac:dyDescent="0.35">
      <c r="B51" s="33" t="s">
        <v>100</v>
      </c>
      <c r="C51" s="34"/>
      <c r="D51" s="34"/>
      <c r="E51" s="34"/>
    </row>
    <row r="52" spans="2:5" ht="30" customHeight="1" x14ac:dyDescent="0.35">
      <c r="B52" s="33" t="s">
        <v>101</v>
      </c>
      <c r="C52" s="34"/>
      <c r="D52" s="34"/>
      <c r="E52" s="34"/>
    </row>
    <row r="53" spans="2:5" ht="43.5" customHeight="1" x14ac:dyDescent="0.35">
      <c r="B53" s="33" t="s">
        <v>102</v>
      </c>
      <c r="C53" s="34"/>
      <c r="D53" s="34"/>
      <c r="E53" s="34"/>
    </row>
    <row r="54" spans="2:5" ht="30" customHeight="1" x14ac:dyDescent="0.35">
      <c r="B54" s="33" t="s">
        <v>103</v>
      </c>
      <c r="C54" s="34"/>
      <c r="D54" s="34"/>
      <c r="E54" s="34"/>
    </row>
    <row r="55" spans="2:5" ht="43.5" customHeight="1" x14ac:dyDescent="0.35">
      <c r="B55" s="33" t="s">
        <v>104</v>
      </c>
      <c r="C55" s="34"/>
      <c r="D55" s="34"/>
      <c r="E55" s="34"/>
    </row>
    <row r="57" spans="2:5" ht="18" customHeight="1" x14ac:dyDescent="0.35">
      <c r="B57" s="1" t="s">
        <v>105</v>
      </c>
      <c r="C57" s="1"/>
      <c r="D57" s="1"/>
      <c r="E57" s="1"/>
    </row>
    <row r="58" spans="2:5" ht="18" customHeight="1" x14ac:dyDescent="0.35">
      <c r="B58" s="5" t="s">
        <v>106</v>
      </c>
      <c r="C58" s="5" t="s">
        <v>107</v>
      </c>
      <c r="D58" s="5" t="s">
        <v>108</v>
      </c>
      <c r="E58" s="5" t="s">
        <v>109</v>
      </c>
    </row>
    <row r="59" spans="2:5" ht="30" customHeight="1" x14ac:dyDescent="0.35">
      <c r="B59" s="6" t="s">
        <v>110</v>
      </c>
      <c r="C59" s="7" t="s">
        <v>111</v>
      </c>
      <c r="D59" s="7" t="s">
        <v>112</v>
      </c>
      <c r="E59" s="7" t="s">
        <v>113</v>
      </c>
    </row>
    <row r="60" spans="2:5" ht="30" customHeight="1" x14ac:dyDescent="0.35">
      <c r="B60" s="6" t="s">
        <v>114</v>
      </c>
      <c r="C60" s="7" t="s">
        <v>115</v>
      </c>
      <c r="D60" s="7" t="s">
        <v>116</v>
      </c>
      <c r="E60" s="7" t="s">
        <v>117</v>
      </c>
    </row>
    <row r="61" spans="2:5" ht="30" customHeight="1" x14ac:dyDescent="0.35">
      <c r="B61" s="6" t="s">
        <v>118</v>
      </c>
      <c r="C61" s="7" t="s">
        <v>119</v>
      </c>
      <c r="D61" s="7" t="s">
        <v>120</v>
      </c>
      <c r="E61" s="7" t="s">
        <v>121</v>
      </c>
    </row>
    <row r="62" spans="2:5" ht="30" customHeight="1" x14ac:dyDescent="0.35">
      <c r="B62" s="6" t="s">
        <v>122</v>
      </c>
      <c r="C62" s="7" t="s">
        <v>123</v>
      </c>
      <c r="D62" s="7" t="s">
        <v>124</v>
      </c>
      <c r="E62" s="7" t="s">
        <v>125</v>
      </c>
    </row>
    <row r="63" spans="2:5" ht="43.5" customHeight="1" x14ac:dyDescent="0.35">
      <c r="B63" s="6" t="s">
        <v>126</v>
      </c>
      <c r="C63" s="7" t="s">
        <v>127</v>
      </c>
      <c r="D63" s="7" t="s">
        <v>128</v>
      </c>
      <c r="E63" s="7" t="s">
        <v>129</v>
      </c>
    </row>
    <row r="64" spans="2:5" ht="43.5" customHeight="1" x14ac:dyDescent="0.35">
      <c r="B64" s="6" t="s">
        <v>130</v>
      </c>
      <c r="C64" s="7" t="s">
        <v>131</v>
      </c>
      <c r="D64" s="7" t="s">
        <v>132</v>
      </c>
      <c r="E64" s="7" t="s">
        <v>133</v>
      </c>
    </row>
    <row r="66" spans="2:5" ht="18" customHeight="1" x14ac:dyDescent="0.35">
      <c r="B66" s="1" t="s">
        <v>134</v>
      </c>
      <c r="C66" s="1"/>
      <c r="D66" s="1"/>
      <c r="E66" s="1"/>
    </row>
    <row r="67" spans="2:5" ht="43.5" customHeight="1" x14ac:dyDescent="0.35">
      <c r="B67" s="33" t="s">
        <v>135</v>
      </c>
      <c r="C67" s="34"/>
      <c r="D67" s="34"/>
      <c r="E67" s="34"/>
    </row>
    <row r="68" spans="2:5" ht="18" customHeight="1" x14ac:dyDescent="0.35">
      <c r="B68" s="5" t="s">
        <v>136</v>
      </c>
      <c r="C68" s="5" t="s">
        <v>137</v>
      </c>
      <c r="D68" s="5" t="s">
        <v>138</v>
      </c>
      <c r="E68" s="5" t="s">
        <v>139</v>
      </c>
    </row>
    <row r="69" spans="2:5" ht="16.5" customHeight="1" x14ac:dyDescent="0.35">
      <c r="B69" s="6" t="s">
        <v>140</v>
      </c>
      <c r="C69" s="7" t="s">
        <v>141</v>
      </c>
      <c r="D69" s="7" t="s">
        <v>142</v>
      </c>
      <c r="E69" s="7" t="s">
        <v>143</v>
      </c>
    </row>
    <row r="70" spans="2:5" ht="16.5" customHeight="1" x14ac:dyDescent="0.35">
      <c r="B70" s="6" t="s">
        <v>144</v>
      </c>
      <c r="C70" s="7" t="s">
        <v>145</v>
      </c>
      <c r="D70" s="7" t="s">
        <v>146</v>
      </c>
      <c r="E70" s="7" t="s">
        <v>147</v>
      </c>
    </row>
    <row r="71" spans="2:5" ht="30" customHeight="1" x14ac:dyDescent="0.35">
      <c r="B71" s="6" t="s">
        <v>148</v>
      </c>
      <c r="C71" s="7" t="s">
        <v>149</v>
      </c>
      <c r="D71" s="7" t="s">
        <v>150</v>
      </c>
      <c r="E71" s="7" t="s">
        <v>151</v>
      </c>
    </row>
    <row r="72" spans="2:5" ht="70.5" customHeight="1" x14ac:dyDescent="0.35">
      <c r="B72" s="6" t="s">
        <v>152</v>
      </c>
      <c r="C72" s="7" t="s">
        <v>153</v>
      </c>
      <c r="D72" s="7" t="s">
        <v>154</v>
      </c>
      <c r="E72" s="7" t="s">
        <v>155</v>
      </c>
    </row>
    <row r="73" spans="2:5" ht="16.5" customHeight="1" x14ac:dyDescent="0.35">
      <c r="B73" s="6" t="s">
        <v>156</v>
      </c>
      <c r="C73" s="7" t="s">
        <v>157</v>
      </c>
      <c r="D73" s="7" t="s">
        <v>158</v>
      </c>
      <c r="E73" s="7" t="s">
        <v>159</v>
      </c>
    </row>
    <row r="74" spans="2:5" ht="16.5" customHeight="1" x14ac:dyDescent="0.35">
      <c r="B74" s="6" t="s">
        <v>160</v>
      </c>
      <c r="C74" s="7" t="s">
        <v>161</v>
      </c>
      <c r="D74" s="7" t="s">
        <v>162</v>
      </c>
      <c r="E74" s="7" t="s">
        <v>163</v>
      </c>
    </row>
    <row r="75" spans="2:5" ht="57" customHeight="1" x14ac:dyDescent="0.35">
      <c r="B75" s="6" t="s">
        <v>164</v>
      </c>
      <c r="C75" s="7" t="s">
        <v>165</v>
      </c>
      <c r="D75" s="7" t="s">
        <v>166</v>
      </c>
      <c r="E75" s="7" t="s">
        <v>167</v>
      </c>
    </row>
    <row r="76" spans="2:5" ht="30" customHeight="1" x14ac:dyDescent="0.35">
      <c r="B76" s="6" t="s">
        <v>168</v>
      </c>
      <c r="C76" s="7" t="s">
        <v>169</v>
      </c>
      <c r="D76" s="7" t="s">
        <v>170</v>
      </c>
      <c r="E76" s="7" t="s">
        <v>171</v>
      </c>
    </row>
    <row r="77" spans="2:5" ht="16.5" customHeight="1" x14ac:dyDescent="0.35">
      <c r="B77" s="6" t="s">
        <v>172</v>
      </c>
      <c r="C77" s="7" t="s">
        <v>173</v>
      </c>
      <c r="D77" s="7" t="s">
        <v>174</v>
      </c>
      <c r="E77" s="7" t="s">
        <v>175</v>
      </c>
    </row>
    <row r="78" spans="2:5" ht="30" customHeight="1" x14ac:dyDescent="0.35">
      <c r="B78" s="6" t="s">
        <v>176</v>
      </c>
      <c r="C78" s="7" t="s">
        <v>177</v>
      </c>
      <c r="D78" s="7" t="s">
        <v>178</v>
      </c>
      <c r="E78" s="7" t="s">
        <v>179</v>
      </c>
    </row>
    <row r="79" spans="2:5" ht="30" customHeight="1" x14ac:dyDescent="0.35">
      <c r="B79" s="6" t="s">
        <v>180</v>
      </c>
      <c r="C79" s="7" t="s">
        <v>181</v>
      </c>
      <c r="D79" s="7" t="s">
        <v>182</v>
      </c>
      <c r="E79" s="7" t="s">
        <v>183</v>
      </c>
    </row>
    <row r="80" spans="2:5" ht="30" customHeight="1" x14ac:dyDescent="0.35">
      <c r="B80" s="6" t="s">
        <v>184</v>
      </c>
      <c r="C80" s="7" t="s">
        <v>185</v>
      </c>
      <c r="D80" s="7" t="s">
        <v>186</v>
      </c>
      <c r="E80" s="7" t="s">
        <v>187</v>
      </c>
    </row>
    <row r="81" spans="2:5" ht="57" customHeight="1" x14ac:dyDescent="0.35">
      <c r="B81" s="6" t="s">
        <v>188</v>
      </c>
      <c r="C81" s="7" t="s">
        <v>189</v>
      </c>
      <c r="D81" s="7" t="s">
        <v>190</v>
      </c>
      <c r="E81" s="7" t="s">
        <v>191</v>
      </c>
    </row>
    <row r="83" spans="2:5" ht="18" customHeight="1" x14ac:dyDescent="0.35">
      <c r="B83" s="1" t="s">
        <v>192</v>
      </c>
      <c r="C83" s="1"/>
      <c r="D83" s="1"/>
      <c r="E83" s="1"/>
    </row>
    <row r="84" spans="2:5" ht="18" customHeight="1" x14ac:dyDescent="0.35">
      <c r="B84" s="5" t="s">
        <v>193</v>
      </c>
      <c r="C84" s="37" t="s">
        <v>39</v>
      </c>
      <c r="D84" s="34"/>
      <c r="E84" s="34"/>
    </row>
    <row r="85" spans="2:5" ht="30" customHeight="1" x14ac:dyDescent="0.35">
      <c r="B85" s="6" t="s">
        <v>194</v>
      </c>
      <c r="C85" s="35" t="s">
        <v>195</v>
      </c>
      <c r="D85" s="36"/>
      <c r="E85" s="36"/>
    </row>
    <row r="86" spans="2:5" ht="30" customHeight="1" x14ac:dyDescent="0.35">
      <c r="B86" s="6" t="s">
        <v>196</v>
      </c>
      <c r="C86" s="35" t="s">
        <v>197</v>
      </c>
      <c r="D86" s="36"/>
      <c r="E86" s="36"/>
    </row>
    <row r="87" spans="2:5" ht="30" customHeight="1" x14ac:dyDescent="0.35">
      <c r="B87" s="6" t="s">
        <v>198</v>
      </c>
      <c r="C87" s="35" t="s">
        <v>199</v>
      </c>
      <c r="D87" s="36"/>
      <c r="E87" s="36"/>
    </row>
    <row r="89" spans="2:5" ht="18" customHeight="1" x14ac:dyDescent="0.35">
      <c r="B89" s="1" t="s">
        <v>200</v>
      </c>
      <c r="C89" s="1"/>
      <c r="D89" s="1"/>
      <c r="E89" s="1"/>
    </row>
    <row r="90" spans="2:5" ht="18" customHeight="1" x14ac:dyDescent="0.35">
      <c r="B90" s="5" t="s">
        <v>201</v>
      </c>
      <c r="C90" s="37" t="s">
        <v>202</v>
      </c>
      <c r="D90" s="34"/>
      <c r="E90" s="34"/>
    </row>
    <row r="91" spans="2:5" ht="43.5" customHeight="1" x14ac:dyDescent="0.35">
      <c r="B91" s="6" t="s">
        <v>203</v>
      </c>
      <c r="C91" s="35" t="s">
        <v>204</v>
      </c>
      <c r="D91" s="36"/>
      <c r="E91" s="36"/>
    </row>
    <row r="92" spans="2:5" ht="30" customHeight="1" x14ac:dyDescent="0.35">
      <c r="B92" s="6" t="s">
        <v>205</v>
      </c>
      <c r="C92" s="35" t="s">
        <v>206</v>
      </c>
      <c r="D92" s="36"/>
      <c r="E92" s="36"/>
    </row>
    <row r="93" spans="2:5" ht="30" customHeight="1" x14ac:dyDescent="0.35">
      <c r="B93" s="6" t="s">
        <v>207</v>
      </c>
      <c r="C93" s="35" t="s">
        <v>208</v>
      </c>
      <c r="D93" s="36"/>
      <c r="E93" s="36"/>
    </row>
    <row r="94" spans="2:5" ht="30" customHeight="1" x14ac:dyDescent="0.35">
      <c r="B94" s="6" t="s">
        <v>209</v>
      </c>
      <c r="C94" s="35" t="s">
        <v>210</v>
      </c>
      <c r="D94" s="36"/>
      <c r="E94" s="36"/>
    </row>
    <row r="95" spans="2:5" ht="30" customHeight="1" x14ac:dyDescent="0.35">
      <c r="B95" s="6" t="s">
        <v>211</v>
      </c>
      <c r="C95" s="35" t="s">
        <v>212</v>
      </c>
      <c r="D95" s="36"/>
      <c r="E95" s="36"/>
    </row>
    <row r="96" spans="2:5" ht="43.5" customHeight="1" x14ac:dyDescent="0.35">
      <c r="B96" s="6" t="s">
        <v>213</v>
      </c>
      <c r="C96" s="35" t="s">
        <v>214</v>
      </c>
      <c r="D96" s="36"/>
      <c r="E96" s="36"/>
    </row>
    <row r="97" spans="2:5" ht="30" customHeight="1" x14ac:dyDescent="0.35">
      <c r="B97" s="6" t="s">
        <v>215</v>
      </c>
      <c r="C97" s="35" t="s">
        <v>216</v>
      </c>
      <c r="D97" s="36"/>
      <c r="E97" s="36"/>
    </row>
    <row r="99" spans="2:5" ht="16.5" customHeight="1" x14ac:dyDescent="0.35">
      <c r="B99" s="40" t="s">
        <v>217</v>
      </c>
      <c r="C99" s="34"/>
      <c r="D99" s="34"/>
      <c r="E99" s="34"/>
    </row>
    <row r="101" spans="2:5" ht="36" customHeight="1" x14ac:dyDescent="0.35">
      <c r="B101" s="39" t="s">
        <v>218</v>
      </c>
      <c r="C101" s="34"/>
      <c r="D101" s="34"/>
      <c r="E101" s="34"/>
    </row>
  </sheetData>
  <sheetProtection sheet="1"/>
  <mergeCells count="45">
    <mergeCell ref="B101:E101"/>
    <mergeCell ref="B67:E67"/>
    <mergeCell ref="D25:E25"/>
    <mergeCell ref="C85:E85"/>
    <mergeCell ref="C14:E14"/>
    <mergeCell ref="D24:E24"/>
    <mergeCell ref="D30:E30"/>
    <mergeCell ref="B53:E53"/>
    <mergeCell ref="D33:E33"/>
    <mergeCell ref="D29:E29"/>
    <mergeCell ref="C97:E97"/>
    <mergeCell ref="D23:E23"/>
    <mergeCell ref="B99:E99"/>
    <mergeCell ref="D35:E35"/>
    <mergeCell ref="C96:E96"/>
    <mergeCell ref="D28:E28"/>
    <mergeCell ref="C86:E86"/>
    <mergeCell ref="C92:E92"/>
    <mergeCell ref="C15:E15"/>
    <mergeCell ref="B7:E7"/>
    <mergeCell ref="D32:E32"/>
    <mergeCell ref="C91:E91"/>
    <mergeCell ref="B18:E18"/>
    <mergeCell ref="C13:E13"/>
    <mergeCell ref="B52:E52"/>
    <mergeCell ref="C87:E87"/>
    <mergeCell ref="B8:E8"/>
    <mergeCell ref="C10:E10"/>
    <mergeCell ref="C95:E95"/>
    <mergeCell ref="D21:E21"/>
    <mergeCell ref="C11:E11"/>
    <mergeCell ref="B50:E50"/>
    <mergeCell ref="B54:E54"/>
    <mergeCell ref="B9:E9"/>
    <mergeCell ref="C94:E94"/>
    <mergeCell ref="C93:E93"/>
    <mergeCell ref="D34:E34"/>
    <mergeCell ref="C84:E84"/>
    <mergeCell ref="B55:E55"/>
    <mergeCell ref="D22:E22"/>
    <mergeCell ref="B51:E51"/>
    <mergeCell ref="C90:E90"/>
    <mergeCell ref="D31:E31"/>
    <mergeCell ref="C12:E12"/>
    <mergeCell ref="B36:E3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5AB0"/>
  </sheetPr>
  <dimension ref="B1:D70"/>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46" customWidth="1"/>
    <col min="3" max="3" width="15" customWidth="1"/>
    <col min="4" max="4" width="92" customWidth="1"/>
  </cols>
  <sheetData>
    <row r="1" spans="2:4" ht="20" customHeight="1" x14ac:dyDescent="0.35">
      <c r="B1" s="1" t="s">
        <v>0</v>
      </c>
      <c r="C1" s="1"/>
      <c r="D1" s="1"/>
    </row>
    <row r="2" spans="2:4" ht="26" customHeight="1" x14ac:dyDescent="0.35">
      <c r="B2" s="2" t="s">
        <v>219</v>
      </c>
    </row>
    <row r="3" spans="2:4" x14ac:dyDescent="0.35">
      <c r="B3" s="3" t="s">
        <v>220</v>
      </c>
    </row>
    <row r="5" spans="2:4" x14ac:dyDescent="0.35">
      <c r="B5" s="9" t="s">
        <v>221</v>
      </c>
    </row>
    <row r="6" spans="2:4" ht="18" customHeight="1" x14ac:dyDescent="0.35">
      <c r="B6" s="1" t="s">
        <v>222</v>
      </c>
      <c r="C6" s="1"/>
      <c r="D6" s="1"/>
    </row>
    <row r="7" spans="2:4" x14ac:dyDescent="0.35">
      <c r="B7" s="10" t="s">
        <v>223</v>
      </c>
      <c r="C7" s="11">
        <v>90000</v>
      </c>
      <c r="D7" s="9" t="s">
        <v>224</v>
      </c>
    </row>
    <row r="8" spans="2:4" x14ac:dyDescent="0.35">
      <c r="B8" s="10" t="s">
        <v>225</v>
      </c>
      <c r="C8" s="11">
        <v>9200</v>
      </c>
      <c r="D8" s="9" t="s">
        <v>226</v>
      </c>
    </row>
    <row r="9" spans="2:4" x14ac:dyDescent="0.35">
      <c r="B9" s="10" t="s">
        <v>227</v>
      </c>
      <c r="C9" s="11">
        <v>7500</v>
      </c>
      <c r="D9" s="9" t="str">
        <f>"Ordre de grandeur (Paramètres) : "&amp;ROUND(Paramètres!$C$24*100,1)&amp;" %"&amp;" du prix net vendeur dans l'ancien, "&amp;ROUND(Paramètres!$C$25*100,1)&amp;" %"&amp;" dans le neuf. Prenez le chiffre de votre notaire si vous l'avez."</f>
        <v>Ordre de grandeur (Paramètres) : 8 % du prix net vendeur dans l'ancien, 2,5 % dans le neuf. Prenez le chiffre de votre notaire si vous l'avez.</v>
      </c>
    </row>
    <row r="10" spans="2:4" x14ac:dyDescent="0.35">
      <c r="B10" s="10" t="s">
        <v>228</v>
      </c>
      <c r="C10" s="11">
        <v>20000</v>
      </c>
      <c r="D10" s="9" t="s">
        <v>229</v>
      </c>
    </row>
    <row r="11" spans="2:4" x14ac:dyDescent="0.35">
      <c r="B11" s="10" t="s">
        <v>230</v>
      </c>
      <c r="C11" s="11">
        <v>3000</v>
      </c>
      <c r="D11" s="9" t="s">
        <v>231</v>
      </c>
    </row>
    <row r="12" spans="2:4" x14ac:dyDescent="0.35">
      <c r="B12" s="10" t="s">
        <v>232</v>
      </c>
      <c r="C12" s="12">
        <v>72</v>
      </c>
      <c r="D12" s="9" t="s">
        <v>233</v>
      </c>
    </row>
    <row r="13" spans="2:4" x14ac:dyDescent="0.35">
      <c r="B13" s="13" t="s">
        <v>234</v>
      </c>
      <c r="C13" s="14">
        <f>SUM($C$7:$C$11)</f>
        <v>129700</v>
      </c>
      <c r="D13" s="9" t="s">
        <v>235</v>
      </c>
    </row>
    <row r="14" spans="2:4" x14ac:dyDescent="0.35">
      <c r="B14" s="10" t="s">
        <v>236</v>
      </c>
      <c r="C14" s="15">
        <f>IF($C$12&gt;0,$C$13/$C$12,"")</f>
        <v>1801.3888888888889</v>
      </c>
      <c r="D14" s="9" t="s">
        <v>237</v>
      </c>
    </row>
    <row r="16" spans="2:4" ht="18" customHeight="1" x14ac:dyDescent="0.35">
      <c r="B16" s="1" t="s">
        <v>238</v>
      </c>
      <c r="C16" s="1"/>
      <c r="D16" s="1"/>
    </row>
    <row r="17" spans="2:4" x14ac:dyDescent="0.35">
      <c r="B17" s="10" t="s">
        <v>239</v>
      </c>
      <c r="C17" s="11">
        <v>950</v>
      </c>
      <c r="D17" s="9" t="s">
        <v>240</v>
      </c>
    </row>
    <row r="18" spans="2:4" x14ac:dyDescent="0.35">
      <c r="B18" s="10" t="s">
        <v>241</v>
      </c>
      <c r="C18" s="16">
        <v>3</v>
      </c>
      <c r="D18" s="9" t="s">
        <v>242</v>
      </c>
    </row>
    <row r="19" spans="2:4" x14ac:dyDescent="0.35">
      <c r="B19" s="10" t="s">
        <v>243</v>
      </c>
      <c r="C19" s="17">
        <f>$C$17*12*(1-$C$18/52)</f>
        <v>10742.307692307691</v>
      </c>
      <c r="D19" s="9" t="s">
        <v>244</v>
      </c>
    </row>
    <row r="20" spans="2:4" x14ac:dyDescent="0.35">
      <c r="B20" s="10" t="s">
        <v>245</v>
      </c>
      <c r="C20" s="18">
        <f>IF($C$12&gt;0,$C$17/$C$12,"")</f>
        <v>13.194444444444445</v>
      </c>
      <c r="D20" s="9" t="s">
        <v>246</v>
      </c>
    </row>
    <row r="22" spans="2:4" ht="18" customHeight="1" x14ac:dyDescent="0.35">
      <c r="B22" s="1" t="s">
        <v>247</v>
      </c>
      <c r="C22" s="1"/>
      <c r="D22" s="1"/>
    </row>
    <row r="23" spans="2:4" x14ac:dyDescent="0.35">
      <c r="B23" s="10" t="s">
        <v>248</v>
      </c>
      <c r="C23" s="11">
        <v>900</v>
      </c>
      <c r="D23" s="9" t="s">
        <v>249</v>
      </c>
    </row>
    <row r="24" spans="2:4" x14ac:dyDescent="0.35">
      <c r="B24" s="10" t="s">
        <v>250</v>
      </c>
      <c r="C24" s="11">
        <v>180</v>
      </c>
      <c r="D24" s="9" t="str">
        <f>"Ordre de grandeur (Paramètres) : "&amp;Paramètres!$C$26&amp;" €"&amp;" par an pour un appartement."</f>
        <v>Ordre de grandeur (Paramètres) : 120 € par an pour un appartement.</v>
      </c>
    </row>
    <row r="25" spans="2:4" x14ac:dyDescent="0.35">
      <c r="B25" s="10" t="s">
        <v>251</v>
      </c>
      <c r="C25" s="11">
        <v>600</v>
      </c>
      <c r="D25" s="9" t="s">
        <v>252</v>
      </c>
    </row>
    <row r="26" spans="2:4" x14ac:dyDescent="0.35">
      <c r="B26" s="10" t="s">
        <v>253</v>
      </c>
      <c r="C26" s="11">
        <v>400</v>
      </c>
      <c r="D26" s="9" t="str">
        <f>"Expert-comptable, surtout en LMNP réel : repère (Paramètres) "&amp;Paramètres!$C$27&amp;" €"&amp;" par an. 0 sans expert-comptable, le cas courant en location nue."</f>
        <v>Expert-comptable, surtout en LMNP réel : repère (Paramètres) 500 € par an. 0 sans expert-comptable, le cas courant en location nue.</v>
      </c>
    </row>
    <row r="27" spans="2:4" x14ac:dyDescent="0.35">
      <c r="B27" s="10" t="s">
        <v>254</v>
      </c>
      <c r="C27" s="11">
        <v>500</v>
      </c>
      <c r="D27" s="9" t="s">
        <v>255</v>
      </c>
    </row>
    <row r="28" spans="2:4" x14ac:dyDescent="0.35">
      <c r="B28" s="10" t="s">
        <v>256</v>
      </c>
      <c r="C28" s="19">
        <v>0</v>
      </c>
      <c r="D28" s="9" t="str">
        <f>"Honoraires en pourcentage du loyer encaissé. Repère en agence (Paramètres) : "&amp;ROUND(Paramètres!$C$28*100,1)&amp;" %"&amp;". 0 en gestion directe."</f>
        <v>Honoraires en pourcentage du loyer encaissé. Repère en agence (Paramètres) : 7 %. 0 en gestion directe.</v>
      </c>
    </row>
    <row r="29" spans="2:4" x14ac:dyDescent="0.35">
      <c r="B29" s="10" t="s">
        <v>257</v>
      </c>
      <c r="C29" s="17">
        <f>SUM($C$23:$C$27)+$C$19*$C$28</f>
        <v>2580</v>
      </c>
      <c r="D29" s="9" t="s">
        <v>258</v>
      </c>
    </row>
    <row r="30" spans="2:4" x14ac:dyDescent="0.35">
      <c r="B30" s="13" t="s">
        <v>259</v>
      </c>
      <c r="C30" s="14">
        <f>$C$19-$C$29</f>
        <v>8162.3076923076915</v>
      </c>
      <c r="D30" s="9" t="s">
        <v>260</v>
      </c>
    </row>
    <row r="32" spans="2:4" ht="18" customHeight="1" x14ac:dyDescent="0.35">
      <c r="B32" s="1" t="s">
        <v>261</v>
      </c>
      <c r="C32" s="1"/>
      <c r="D32" s="1"/>
    </row>
    <row r="33" spans="2:4" x14ac:dyDescent="0.35">
      <c r="B33" s="10" t="s">
        <v>262</v>
      </c>
      <c r="C33" s="11">
        <v>5000</v>
      </c>
      <c r="D33" s="9" t="s">
        <v>263</v>
      </c>
    </row>
    <row r="34" spans="2:4" x14ac:dyDescent="0.35">
      <c r="B34" s="10" t="s">
        <v>264</v>
      </c>
      <c r="C34" s="19">
        <v>3.4000000000000002E-2</v>
      </c>
      <c r="D34" s="9" t="str">
        <f>"Taux nominal annuel. Repère (Paramètres) : "&amp;ROUND(Paramètres!$C$29*100,2)&amp;" %"&amp;" sur 20 ans, "&amp;ROUND(Paramètres!$C$30*100,2)&amp;" %"&amp;" sur 25 ans."</f>
        <v>Taux nominal annuel. Repère (Paramètres) : 3,27 % sur 20 ans, 3,35 % sur 25 ans.</v>
      </c>
    </row>
    <row r="35" spans="2:4" x14ac:dyDescent="0.35">
      <c r="B35" s="10" t="s">
        <v>265</v>
      </c>
      <c r="C35" s="20">
        <v>22</v>
      </c>
      <c r="D35" s="9" t="str">
        <f>"Années entières, de 1 à "&amp;Paramètres!$C$39&amp;". Le HCSF limite les prêts à "&amp;Paramètres!$C$17&amp;" ans (Paramètres)."</f>
        <v>Années entières, de 1 à 30. Le HCSF limite les prêts à 25 ans (Paramètres).</v>
      </c>
    </row>
    <row r="36" spans="2:4" x14ac:dyDescent="0.35">
      <c r="B36" s="10" t="s">
        <v>266</v>
      </c>
      <c r="C36" s="19">
        <v>3.3999999999999998E-3</v>
      </c>
      <c r="D36" s="9" t="str">
        <f>"Taux annuel, contrat de la banque sur le capital emprunté. Repère (Paramètres) : "&amp;ROUND(Paramètres!$C$31*100,2)&amp;" %"&amp;" en groupe, "&amp;ROUND(Paramètres!$C$32*100,2)&amp;" %"&amp;" en délégation (tapez le taux annoncé, le classeur sera un peu prudent)."</f>
        <v>Taux annuel, contrat de la banque sur le capital emprunté. Repère (Paramètres) : 0,36 % en groupe, 0,17 % en délégation (tapez le taux annoncé, le classeur sera un peu prudent).</v>
      </c>
    </row>
    <row r="37" spans="2:4" x14ac:dyDescent="0.35">
      <c r="B37" s="10" t="s">
        <v>267</v>
      </c>
      <c r="C37" s="17">
        <f>MAX(0,$C$13-$C$33)</f>
        <v>124700</v>
      </c>
      <c r="D37" s="9" t="s">
        <v>268</v>
      </c>
    </row>
    <row r="38" spans="2:4" x14ac:dyDescent="0.35">
      <c r="B38" s="10" t="s">
        <v>269</v>
      </c>
      <c r="C38" s="21">
        <f>IF($C$37=0,0,IF($C$35&gt;0,-PMT($C$34/12,$C$35*12,$C$37),""))</f>
        <v>671.46610693451646</v>
      </c>
      <c r="D38" s="9" t="s">
        <v>270</v>
      </c>
    </row>
    <row r="39" spans="2:4" x14ac:dyDescent="0.35">
      <c r="B39" s="10" t="s">
        <v>271</v>
      </c>
      <c r="C39" s="21">
        <f>IF($C$38="","",$C$37*$C$36/12)</f>
        <v>35.331666666666663</v>
      </c>
      <c r="D39" s="9" t="s">
        <v>272</v>
      </c>
    </row>
    <row r="40" spans="2:4" x14ac:dyDescent="0.35">
      <c r="B40" s="13" t="s">
        <v>273</v>
      </c>
      <c r="C40" s="22">
        <f>IF($C$38="","",$C$38+$C$39)</f>
        <v>706.79777360118317</v>
      </c>
      <c r="D40" s="9" t="s">
        <v>274</v>
      </c>
    </row>
    <row r="41" spans="2:4" x14ac:dyDescent="0.35">
      <c r="B41" s="10" t="s">
        <v>275</v>
      </c>
      <c r="C41" s="17">
        <f>IF($C$38="","",IF(OR($C$37=0,$C$34=0),0,-CUMIPMT($C$34/12,$C$35*12,$C$37,1,12,0)))</f>
        <v>4179.7405690848191</v>
      </c>
      <c r="D41" s="9" t="s">
        <v>276</v>
      </c>
    </row>
    <row r="42" spans="2:4" x14ac:dyDescent="0.35">
      <c r="B42" s="10" t="s">
        <v>277</v>
      </c>
      <c r="C42" s="17">
        <f>IF($C$39="","",$C$39*12)</f>
        <v>423.97999999999996</v>
      </c>
      <c r="D42" s="9" t="s">
        <v>278</v>
      </c>
    </row>
    <row r="43" spans="2:4" x14ac:dyDescent="0.35">
      <c r="B43" s="10" t="s">
        <v>279</v>
      </c>
      <c r="C43" s="23" t="str">
        <f>IF(AND($C$33&gt;=0,$C$33&lt;=$C$13,OR($C$37=0,$C$35&gt;0)),"OK","À CORRIGER")</f>
        <v>OK</v>
      </c>
      <c r="D43" s="9" t="s">
        <v>280</v>
      </c>
    </row>
    <row r="44" spans="2:4" x14ac:dyDescent="0.35">
      <c r="B44" s="10" t="s">
        <v>281</v>
      </c>
      <c r="C44" s="23" t="str">
        <f>IF(AND(ISNUMBER(Paramètres!$C$42),OR(NOT(ISNUMBER($C$34)),$C$34&lt;=0,$C$34&gt;=Paramètres!$C$42),OR(NOT(ISNUMBER($C$36)),$C$36&lt;=0,$C$36&gt;=Paramètres!$C$42)),"OK","À CORRIGER")</f>
        <v>OK</v>
      </c>
      <c r="D44" s="9" t="str">
        <f>"À CORRIGER si le taux du prêt ou le taux d'assurance est strictement positif et inférieur au plancher de plausibilité de Paramètres ("&amp;ROUND(Paramètres!$C$42*100,2)&amp;" %"&amp;") : vous avez sans doute tapé 0,034 au lieu de 3,4. Un prêt à taux zéro se saisit 0 exactement."</f>
        <v>À CORRIGER si le taux du prêt ou le taux d'assurance est strictement positif et inférieur au plancher de plausibilité de Paramètres (0,1 %) : vous avez sans doute tapé 0,034 au lieu de 3,4. Un prêt à taux zéro se saisit 0 exactement.</v>
      </c>
    </row>
    <row r="46" spans="2:4" ht="18" customHeight="1" x14ac:dyDescent="0.35">
      <c r="B46" s="1" t="s">
        <v>282</v>
      </c>
      <c r="C46" s="1"/>
      <c r="D46" s="1"/>
    </row>
    <row r="47" spans="2:4" x14ac:dyDescent="0.35">
      <c r="B47" s="10" t="s">
        <v>283</v>
      </c>
      <c r="C47" s="24" t="s">
        <v>284</v>
      </c>
      <c r="D47" s="9" t="s">
        <v>285</v>
      </c>
    </row>
    <row r="48" spans="2:4" x14ac:dyDescent="0.35">
      <c r="B48" s="10" t="s">
        <v>286</v>
      </c>
      <c r="C48" s="19">
        <v>0.3</v>
      </c>
      <c r="D48" s="9" t="str">
        <f>"Taux de la tranche la plus haute de votre foyer : "&amp;ROUND(Paramètres!$C$46*100,0)&amp;" %"&amp;", "&amp;ROUND(Paramètres!$C$47*100,0)&amp;" %"&amp;", "&amp;ROUND(Paramètres!$C$48*100,0)&amp;" %"&amp;", "&amp;ROUND(Paramètres!$C$49*100,0)&amp;" %"&amp;", "&amp;ROUND(Paramètres!$C$50*100,0)&amp;" %"&amp;" (avis d'impôt, ligne taux marginal d'imposition)."</f>
        <v>Taux de la tranche la plus haute de votre foyer : 0 %, 11 %, 30 %, 41 %, 45 % (avis d'impôt, ligne taux marginal d'imposition).</v>
      </c>
    </row>
    <row r="49" spans="2:4" x14ac:dyDescent="0.35">
      <c r="B49" s="10" t="s">
        <v>287</v>
      </c>
      <c r="C49" s="11">
        <v>20000</v>
      </c>
      <c r="D49" s="9" t="s">
        <v>288</v>
      </c>
    </row>
    <row r="50" spans="2:4" x14ac:dyDescent="0.35">
      <c r="B50" s="10" t="s">
        <v>289</v>
      </c>
      <c r="C50" s="19">
        <v>0.15</v>
      </c>
      <c r="D50" s="9" t="str">
        <f>"Sans effet hors LMNP réel : laissez la valeur. Usage (Paramètres) : "&amp;ROUND(Paramètres!$C$33*100,1)&amp;" %"&amp;" pour un appartement, davantage en zone tendue ou pour une maison."</f>
        <v>Sans effet hors LMNP réel : laissez la valeur. Usage (Paramètres) : 15 % pour un appartement, davantage en zone tendue ou pour une maison.</v>
      </c>
    </row>
    <row r="51" spans="2:4" x14ac:dyDescent="0.35">
      <c r="B51" s="10" t="s">
        <v>290</v>
      </c>
      <c r="C51" s="23" t="str">
        <f>IF(AND(NOT(ISNA(MATCH($C$47,Paramètres!$B$46:$B$50,0))),OR($C$47=Paramètres!$B$47,$C$47=Paramètres!$B$49,AND($C$47=Paramètres!$B$46,$C$17*12&lt;=Paramètres!$C$11),AND($C$47=Paramètres!$B$48,$C$17*12&lt;=Paramètres!$C$13),AND($C$47=Paramètres!$B$50,$C$17*12&lt;=Paramètres!$C$15))),"OK","À CORRIGER")</f>
        <v>OK</v>
      </c>
      <c r="D51" s="9" t="s">
        <v>291</v>
      </c>
    </row>
    <row r="52" spans="2:4" x14ac:dyDescent="0.35">
      <c r="B52" s="10" t="s">
        <v>292</v>
      </c>
      <c r="C52" s="17">
        <f>IF($C$47=Paramètres!$B$49,($C$7+$C$8+$C$9)*(1-$C$50)/Paramètres!$C$21+$C$10/Paramètres!$C$22+$C$11/Paramètres!$C$23,0)</f>
        <v>4785.0714285714284</v>
      </c>
      <c r="D52" s="9" t="s">
        <v>293</v>
      </c>
    </row>
    <row r="53" spans="2:4" x14ac:dyDescent="0.35">
      <c r="B53" s="10" t="s">
        <v>294</v>
      </c>
      <c r="C53" s="17">
        <f>IF(OR($C$51&lt;&gt;"OK",NOT(AND(ISNUMBER($C$48),NOT(ISNA(MATCH($C$48,Paramètres!$C$46:$C$50,0))))),$C$41=""),"",IF($C$47=Paramètres!$B$46,$C$19*(1-Paramètres!$C$10),IF($C$47=Paramètres!$B$47,$C$19-($C$23+$C$24+$C$25+$C$19*$C$28)-($C$41+$C$42)-$C$49,IF($C$47=Paramètres!$B$48,$C$19*(1-Paramètres!$C$12),IF($C$47=Paramètres!$B$49,$C$19-($C$23+$C$24+$C$25+$C$26+$C$19*$C$28)-($C$41+$C$42)-$C$52,$C$19*(1-Paramètres!$C$14))))))</f>
        <v>-726.48430534855561</v>
      </c>
      <c r="D53" s="9" t="s">
        <v>295</v>
      </c>
    </row>
    <row r="54" spans="2:4" x14ac:dyDescent="0.35">
      <c r="B54" s="10" t="s">
        <v>296</v>
      </c>
      <c r="C54" s="17">
        <f>IF($C$53="","",MAX(0,$C$53))</f>
        <v>0</v>
      </c>
      <c r="D54" s="9" t="s">
        <v>297</v>
      </c>
    </row>
    <row r="55" spans="2:4" x14ac:dyDescent="0.35">
      <c r="B55" s="10" t="s">
        <v>298</v>
      </c>
      <c r="C55" s="17">
        <f>IF($C$53="","",IF($C$47=Paramètres!$B$47,MIN(Paramètres!$C$16,MAX(0,-$C$53-MAX(0,($C$41+$C$42)-$C$19))),0))</f>
        <v>0</v>
      </c>
      <c r="D55" s="9" t="s">
        <v>299</v>
      </c>
    </row>
    <row r="56" spans="2:4" x14ac:dyDescent="0.35">
      <c r="B56" s="10" t="s">
        <v>300</v>
      </c>
      <c r="C56" s="17">
        <f>IF($C$53="","",IF($C$47=Paramètres!$B$47,MAX(0,-$C$53)-$C$55,IF($C$47=Paramètres!$B$49,MAX(0,-$C$53),0)))</f>
        <v>726.48430534855561</v>
      </c>
      <c r="D56" s="9" t="s">
        <v>301</v>
      </c>
    </row>
    <row r="57" spans="2:4" x14ac:dyDescent="0.35">
      <c r="B57" s="13" t="s">
        <v>302</v>
      </c>
      <c r="C57" s="14">
        <f>IF($C$53="","",$C$54*($C$48+IF(OR($C$47=Paramètres!$B$48,$C$47=Paramètres!$B$49,$C$47=Paramètres!$B$50),Paramètres!$C$9,Paramètres!$C$8))-$C$55*$C$48)</f>
        <v>0</v>
      </c>
      <c r="D57" s="9" t="s">
        <v>303</v>
      </c>
    </row>
    <row r="59" spans="2:4" ht="18" customHeight="1" x14ac:dyDescent="0.35">
      <c r="B59" s="1" t="s">
        <v>304</v>
      </c>
      <c r="C59" s="1"/>
      <c r="D59" s="1"/>
    </row>
    <row r="60" spans="2:4" x14ac:dyDescent="0.35">
      <c r="B60" s="10" t="s">
        <v>305</v>
      </c>
      <c r="C60" s="23" t="str">
        <f>IF(AND(ISNUMBER($C$7),$C$7&gt;0,ISNUMBER($C$12),$C$12&gt;=1,ISNUMBER($C$17),$C$17&gt;0,COUNT($C$7:$C$11)+COUNTBLANK($C$7:$C$11)=5,MIN($C$7:$C$11)&gt;=0,COUNT($C$23:$C$27)+COUNTBLANK($C$23:$C$27)=5,MIN($C$23:$C$27)&gt;=0,IF(ISBLANK($C$18),TRUE,IF(ISNUMBER($C$18),AND($C$18&gt;=0,$C$18&lt;=52),FALSE)),IF(ISBLANK($C$28),TRUE,IF(ISNUMBER($C$28),AND($C$28&gt;=0,$C$28&lt;=1),FALSE)),IF(ISNUMBER($C$34),AND($C$34&gt;=0,$C$34&lt;=Paramètres!$C$38),FALSE),IF(ISNUMBER($C$35),AND($C$35&gt;=1,$C$35&lt;=Paramètres!$C$39,$C$35=INT($C$35)),FALSE),IF(ISNUMBER($C$36),AND($C$36&gt;=0,$C$36&lt;=Paramètres!$C$40),FALSE),IF(ISBLANK($C$49),TRUE,IF(ISNUMBER($C$49),AND($C$49&gt;=0,$C$49&lt;=$C$10),FALSE)),IF(ISBLANK($C$50),TRUE,IF(ISNUMBER($C$50),AND($C$50&gt;=0,$C$50&lt;=Paramètres!$C$41),FALSE)),$C$43="OK",$C$44="OK",$C$51="OK",AND(ISNUMBER($C$48),NOT(ISNA(MATCH($C$48,Paramètres!$C$46:$C$50,0)))),$C$57&lt;&gt;"",COUNT(Paramètres!$C$8:$C$17)=10,COUNT(Paramètres!$C$21:$C$34)=14,COUNT(Paramètres!$C$38:$C$42)=5),"OK","À CORRIGER")</f>
        <v>OK</v>
      </c>
      <c r="D60" s="9" t="s">
        <v>306</v>
      </c>
    </row>
    <row r="61" spans="2:4" x14ac:dyDescent="0.35">
      <c r="B61" s="10" t="s">
        <v>307</v>
      </c>
      <c r="C61" s="25">
        <f>IF($C$13&gt;0,$C$19/$C$13,"")</f>
        <v>8.2824269023189609E-2</v>
      </c>
      <c r="D61" s="9" t="s">
        <v>308</v>
      </c>
    </row>
    <row r="62" spans="2:4" x14ac:dyDescent="0.35">
      <c r="B62" s="10" t="s">
        <v>309</v>
      </c>
      <c r="C62" s="25">
        <f>IF($C$7&gt;0,$C$17*12/$C$7,"")</f>
        <v>0.12666666666666668</v>
      </c>
      <c r="D62" s="9" t="s">
        <v>310</v>
      </c>
    </row>
    <row r="63" spans="2:4" x14ac:dyDescent="0.35">
      <c r="B63" s="10" t="s">
        <v>114</v>
      </c>
      <c r="C63" s="25">
        <f>IF($C$13&gt;0,$C$30/$C$13,"")</f>
        <v>6.293221042642784E-2</v>
      </c>
      <c r="D63" s="9" t="s">
        <v>311</v>
      </c>
    </row>
    <row r="64" spans="2:4" ht="21" customHeight="1" x14ac:dyDescent="0.35">
      <c r="B64" s="13" t="s">
        <v>312</v>
      </c>
      <c r="C64" s="26">
        <f>IF(OR($C$57="",$C$13=0),"",($C$30-$C$57)/$C$13)</f>
        <v>6.293221042642784E-2</v>
      </c>
      <c r="D64" s="9" t="s">
        <v>313</v>
      </c>
    </row>
    <row r="65" spans="2:4" x14ac:dyDescent="0.35">
      <c r="B65" s="10" t="s">
        <v>314</v>
      </c>
      <c r="C65" s="17">
        <f>IF(OR($C$57="",$C$40=""),"",$C$30-$C$57-$C$40*12)</f>
        <v>-319.26559090650699</v>
      </c>
      <c r="D65" s="9" t="s">
        <v>315</v>
      </c>
    </row>
    <row r="66" spans="2:4" ht="21" customHeight="1" x14ac:dyDescent="0.35">
      <c r="B66" s="13" t="s">
        <v>316</v>
      </c>
      <c r="C66" s="27">
        <f>IF($C$65="","",$C$65/12)</f>
        <v>-26.605465908875583</v>
      </c>
      <c r="D66" s="9" t="s">
        <v>317</v>
      </c>
    </row>
    <row r="67" spans="2:4" x14ac:dyDescent="0.35">
      <c r="B67" s="10" t="s">
        <v>318</v>
      </c>
      <c r="C67" s="21">
        <f>IF($C$66="","",MAX(0,-$C$66))</f>
        <v>26.605465908875583</v>
      </c>
      <c r="D67" s="9" t="s">
        <v>319</v>
      </c>
    </row>
    <row r="68" spans="2:4" x14ac:dyDescent="0.35">
      <c r="B68" s="10" t="s">
        <v>130</v>
      </c>
      <c r="C68" s="25">
        <f>IF(OR($C$40="",$C$17=0),"",$C$40/$C$17)</f>
        <v>0.74399765642229809</v>
      </c>
      <c r="D68" s="9" t="str">
        <f>"Au-delà de "&amp;ROUND(Paramètres!$C$34*100,0)&amp;" %"&amp;" (part des loyers retenue par les banques, Paramètres), le bien ne se finance pas seul : premier regard d'un banquier."</f>
        <v>Au-delà de 70 % (part des loyers retenue par les banques, Paramètres), le bien ne se finance pas seul : premier regard d'un banquier.</v>
      </c>
    </row>
    <row r="70" spans="2:4" ht="36" customHeight="1" x14ac:dyDescent="0.35">
      <c r="B70" s="39" t="s">
        <v>218</v>
      </c>
      <c r="C70" s="34"/>
      <c r="D70" s="34"/>
    </row>
  </sheetData>
  <sheetProtection sheet="1" formatColumns="0" formatRows="0"/>
  <mergeCells count="1">
    <mergeCell ref="B70:D70"/>
  </mergeCells>
  <conditionalFormatting sqref="C43:C44">
    <cfRule type="cellIs" dxfId="5" priority="1" operator="equal">
      <formula>"OK"</formula>
    </cfRule>
    <cfRule type="cellIs" dxfId="4" priority="2" operator="equal">
      <formula>"À CORRIGER"</formula>
    </cfRule>
  </conditionalFormatting>
  <conditionalFormatting sqref="C51">
    <cfRule type="cellIs" dxfId="3" priority="5" operator="equal">
      <formula>"OK"</formula>
    </cfRule>
    <cfRule type="cellIs" dxfId="2" priority="6" operator="equal">
      <formula>"À CORRIGER"</formula>
    </cfRule>
  </conditionalFormatting>
  <conditionalFormatting sqref="C60">
    <cfRule type="cellIs" dxfId="1" priority="7" operator="equal">
      <formula>"OK"</formula>
    </cfRule>
    <cfRule type="cellIs" dxfId="0" priority="8" operator="equal">
      <formula>"À CORRIGER"</formula>
    </cfRule>
  </conditionalFormatting>
  <dataValidations count="5">
    <dataValidation type="decimal" operator="greaterThanOrEqual" allowBlank="1" showErrorMessage="1" errorTitle="Saisie" error="Valeur hors des bornes admises." sqref="C33 C23:C27 C17 C7:C11" xr:uid="{00000000-0002-0000-0100-000002000000}">
      <formula1>0</formula1>
    </dataValidation>
    <dataValidation type="decimal" operator="greaterThanOrEqual" allowBlank="1" showErrorMessage="1" errorTitle="Saisie" error="Valeur hors des bornes admises." sqref="C12" xr:uid="{00000000-0002-0000-0100-000007000000}">
      <formula1>1</formula1>
    </dataValidation>
    <dataValidation type="decimal" allowBlank="1" showErrorMessage="1" errorTitle="Saisie" error="Vacance en semaines par an, entre 0 et 52." sqref="C18" xr:uid="{00000000-0002-0000-0100-000009000000}">
      <formula1>0</formula1>
      <formula2>52</formula2>
    </dataValidation>
    <dataValidation type="decimal" allowBlank="1" showErrorMessage="1" errorTitle="Saisie" error="Gestion locative entre 0 % et 100 % du loyer." sqref="C28" xr:uid="{00000000-0002-0000-0100-00000F000000}">
      <formula1>0</formula1>
      <formula2>1</formula2>
    </dataValidation>
    <dataValidation type="decimal" allowBlank="1" showErrorMessage="1" errorTitle="Saisie" error="Au plus le montant des travaux saisi plus haut." sqref="C49" xr:uid="{00000000-0002-0000-0100-000014000000}">
      <formula1>0</formula1>
      <formula2>$C$10</formula2>
    </dataValidation>
  </dataValidations>
  <pageMargins left="0.75" right="0.75" top="1" bottom="1" header="0.5" footer="0.5"/>
  <pageSetup orientation="landscape"/>
  <drawing r:id="rId1"/>
  <extLst>
    <ext xmlns:x14="http://schemas.microsoft.com/office/spreadsheetml/2009/9/main" uri="{CCE6A557-97BC-4b89-ADB6-D9C93CAAB3DF}">
      <x14:dataValidations xmlns:xm="http://schemas.microsoft.com/office/excel/2006/main" count="6">
        <x14:dataValidation type="list" allowBlank="1" showErrorMessage="1" errorTitle="Choisir dans la liste" error="Choisissez un régime dans la liste (onglet Paramètres)." xr:uid="{00000000-0002-0000-0100-000000000000}">
          <x14:formula1>
            <xm:f>Paramètres!$B$46:$B$50</xm:f>
          </x14:formula1>
          <xm:sqref>C47</xm:sqref>
        </x14:dataValidation>
        <x14:dataValidation type="list" allowBlank="1" showErrorMessage="1" errorTitle="Choisir dans la liste" error="Choisissez votre TMI dans la liste : 0, 11, 30, 41 ou 45 %." xr:uid="{00000000-0002-0000-0100-000001000000}">
          <x14:formula1>
            <xm:f>Paramètres!$C$46:$C$50</xm:f>
          </x14:formula1>
          <xm:sqref>C48</xm:sqref>
        </x14:dataValidation>
        <x14:dataValidation type="decimal" allowBlank="1" showErrorMessage="1" errorTitle="Saisie" error="Taux du prêt entre 0 % et la borne de Paramètres. Tapez 3,4 pour 3,40 %." xr:uid="{00000000-0002-0000-0100-000011000000}">
          <x14:formula1>
            <xm:f>0</xm:f>
          </x14:formula1>
          <x14:formula2>
            <xm:f>Paramètres!$C$38</xm:f>
          </x14:formula2>
          <xm:sqref>C34</xm:sqref>
        </x14:dataValidation>
        <x14:dataValidation type="whole" allowBlank="1" showErrorMessage="1" errorTitle="Saisie" error="Durée en années entières, de 1 à la borne de Paramètres." xr:uid="{00000000-0002-0000-0100-000012000000}">
          <x14:formula1>
            <xm:f>1</xm:f>
          </x14:formula1>
          <x14:formula2>
            <xm:f>Paramètres!$C$39</xm:f>
          </x14:formula2>
          <xm:sqref>C35</xm:sqref>
        </x14:dataValidation>
        <x14:dataValidation type="decimal" allowBlank="1" showErrorMessage="1" errorTitle="Saisie" error="Taux d'assurance entre 0 % et la borne de Paramètres. Tapez 0,34 pour 0,34 %." xr:uid="{00000000-0002-0000-0100-000013000000}">
          <x14:formula1>
            <xm:f>0</xm:f>
          </x14:formula1>
          <x14:formula2>
            <xm:f>Paramètres!$C$40</xm:f>
          </x14:formula2>
          <xm:sqref>C36</xm:sqref>
        </x14:dataValidation>
        <x14:dataValidation type="decimal" allowBlank="1" showErrorMessage="1" errorTitle="Saisie" error="Part du terrain entre 0 % et la borne de Paramètres." xr:uid="{00000000-0002-0000-0100-000015000000}">
          <x14:formula1>
            <xm:f>0</xm:f>
          </x14:formula1>
          <x14:formula2>
            <xm:f>Paramètres!$C$41</xm:f>
          </x14:formula2>
          <xm:sqref>C50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95669"/>
  </sheetPr>
  <dimension ref="B1:F58"/>
  <sheetViews>
    <sheetView showGridLines="0" workbookViewId="0">
      <selection activeCell="B1" sqref="B1"/>
    </sheetView>
  </sheetViews>
  <sheetFormatPr baseColWidth="10" defaultColWidth="8.7265625" defaultRowHeight="14.5" x14ac:dyDescent="0.35"/>
  <cols>
    <col min="1" max="1" width="2" customWidth="1"/>
    <col min="2" max="2" width="54" customWidth="1"/>
    <col min="3" max="3" width="13" customWidth="1"/>
    <col min="4" max="4" width="52" customWidth="1"/>
    <col min="5" max="5" width="20" customWidth="1"/>
    <col min="6" max="6" width="50" customWidth="1"/>
  </cols>
  <sheetData>
    <row r="1" spans="2:6" ht="20" customHeight="1" x14ac:dyDescent="0.35">
      <c r="B1" s="1" t="s">
        <v>0</v>
      </c>
      <c r="C1" s="1"/>
      <c r="D1" s="1"/>
      <c r="E1" s="1"/>
      <c r="F1" s="1"/>
    </row>
    <row r="2" spans="2:6" ht="26" customHeight="1" x14ac:dyDescent="0.35">
      <c r="B2" s="2" t="s">
        <v>30</v>
      </c>
    </row>
    <row r="3" spans="2:6" x14ac:dyDescent="0.35">
      <c r="B3" s="3" t="s">
        <v>320</v>
      </c>
    </row>
    <row r="5" spans="2:6" x14ac:dyDescent="0.35">
      <c r="B5" s="9" t="s">
        <v>221</v>
      </c>
    </row>
    <row r="6" spans="2:6" ht="18" customHeight="1" x14ac:dyDescent="0.35">
      <c r="B6" s="1" t="str">
        <f>"  BARÈMES RÉGLEMENTAIRES, MILLÉSIME "&amp;YEAR($C$52)</f>
        <v xml:space="preserve">  BARÈMES RÉGLEMENTAIRES, MILLÉSIME 2026</v>
      </c>
      <c r="C6" s="1"/>
      <c r="D6" s="1"/>
      <c r="E6" s="1"/>
      <c r="F6" s="1"/>
    </row>
    <row r="7" spans="2:6" ht="30" customHeight="1" x14ac:dyDescent="0.35">
      <c r="B7" s="28" t="s">
        <v>136</v>
      </c>
      <c r="C7" s="28" t="s">
        <v>321</v>
      </c>
      <c r="D7" s="28" t="s">
        <v>322</v>
      </c>
      <c r="E7" s="28" t="s">
        <v>323</v>
      </c>
      <c r="F7" s="28" t="s">
        <v>324</v>
      </c>
    </row>
    <row r="8" spans="2:6" ht="16.5" customHeight="1" x14ac:dyDescent="0.35">
      <c r="B8" s="29" t="s">
        <v>325</v>
      </c>
      <c r="C8" s="19">
        <v>0.17199999999999999</v>
      </c>
      <c r="D8" s="30" t="str">
        <f>"CSS art. L136-6 (assiette des revenus du patrimoine) et L136-8 (taux : CSG 9,2 %), CRDS 0,5 %, CGI art. 235 ter (solidarité 7,5 %). Inchangé par la LFSS 2026. Vérifié le "&amp;TEXT(DAY($C$52),"00")&amp;"/"&amp;TEXT(MONTH($C$52),"00")&amp;"/"&amp;YEAR($C$52)&amp;"."</f>
        <v>CSS art. L136-6 (assiette des revenus du patrimoine) et L136-8 (taux : CSG 9,2 %), CRDS 0,5 %, CGI art. 235 ter (solidarité 7,5 %). Inchangé par la LFSS 2026. Vérifié le 05/09/2026.</v>
      </c>
      <c r="E8" s="30" t="s">
        <v>326</v>
      </c>
      <c r="F8" s="30" t="s">
        <v>327</v>
      </c>
    </row>
    <row r="9" spans="2:6" ht="84" customHeight="1" x14ac:dyDescent="0.35">
      <c r="B9" s="29" t="s">
        <v>328</v>
      </c>
      <c r="C9" s="19">
        <v>0.186</v>
      </c>
      <c r="D9" s="30" t="str">
        <f>"LFSS 2026, loi n° 2025-1403 du 30/12/2025, art. 12, modifiant CSS art. L136-8 : CSG portée de 9,2 % à 10,6 % dès les revenus 2025. Vérifié le "&amp;TEXT(DAY($C$52),"00")&amp;"/"&amp;TEXT(MONTH($C$52),"00")&amp;"/"&amp;YEAR($C$52)&amp;"."</f>
        <v>LFSS 2026, loi n° 2025-1403 du 30/12/2025, art. 12, modifiant CSS art. L136-8 : CSG portée de 9,2 % à 10,6 % dès les revenus 2025. Vérifié le 05/09/2026.</v>
      </c>
      <c r="E9" s="30" t="s">
        <v>326</v>
      </c>
      <c r="F9" s="30" t="s">
        <v>329</v>
      </c>
    </row>
    <row r="10" spans="2:6" ht="30" customHeight="1" x14ac:dyDescent="0.35">
      <c r="B10" s="29" t="s">
        <v>330</v>
      </c>
      <c r="C10" s="19">
        <v>0.3</v>
      </c>
      <c r="D10" s="30" t="str">
        <f>"CGI art. 32. Vérifié le "&amp;TEXT(DAY($C$52),"00")&amp;"/"&amp;TEXT(MONTH($C$52),"00")&amp;"/"&amp;YEAR($C$52)&amp;"."</f>
        <v>CGI art. 32. Vérifié le 05/09/2026.</v>
      </c>
      <c r="E10" s="30" t="s">
        <v>331</v>
      </c>
      <c r="F10" s="30" t="s">
        <v>332</v>
      </c>
    </row>
    <row r="11" spans="2:6" ht="30" customHeight="1" x14ac:dyDescent="0.35">
      <c r="B11" s="29" t="s">
        <v>333</v>
      </c>
      <c r="C11" s="11">
        <v>15000</v>
      </c>
      <c r="D11" s="30" t="str">
        <f>"CGI art. 32, I. Vérifié le "&amp;TEXT(DAY($C$52),"00")&amp;"/"&amp;TEXT(MONTH($C$52),"00")&amp;"/"&amp;YEAR($C$52)&amp;"."</f>
        <v>CGI art. 32, I. Vérifié le 05/09/2026.</v>
      </c>
      <c r="E11" s="30" t="s">
        <v>331</v>
      </c>
      <c r="F11" s="30" t="s">
        <v>334</v>
      </c>
    </row>
    <row r="12" spans="2:6" ht="30" customHeight="1" x14ac:dyDescent="0.35">
      <c r="B12" s="29" t="s">
        <v>335</v>
      </c>
      <c r="C12" s="19">
        <v>0.5</v>
      </c>
      <c r="D12" s="30" t="str">
        <f>"CGI art. 50-0 modifié par la loi n° 2024-1039 du 19/11/2024 (dite Le Meur), revenus 2025 et suivants. Vérifié le "&amp;TEXT(DAY($C$52),"00")&amp;"/"&amp;TEXT(MONTH($C$52),"00")&amp;"/"&amp;YEAR($C$52)&amp;"."</f>
        <v>CGI art. 50-0 modifié par la loi n° 2024-1039 du 19/11/2024 (dite Le Meur), revenus 2025 et suivants. Vérifié le 05/09/2026.</v>
      </c>
      <c r="E12" s="30" t="s">
        <v>331</v>
      </c>
      <c r="F12" s="30" t="s">
        <v>336</v>
      </c>
    </row>
    <row r="13" spans="2:6" ht="30" customHeight="1" x14ac:dyDescent="0.35">
      <c r="B13" s="29" t="s">
        <v>337</v>
      </c>
      <c r="C13" s="11">
        <v>83600</v>
      </c>
      <c r="D13" s="30" t="str">
        <f>"CGI art. 50-0, revalorisation triennale 2026-2028 : 83 600 € pour les recettes 2026 (77 700 € pour 2025). jedeclaremonmeuble.com, cpim.fr. Vérifié le "&amp;TEXT(DAY($C$52),"00")&amp;"/"&amp;TEXT(MONTH($C$52),"00")&amp;"/"&amp;YEAR($C$52)&amp;"."</f>
        <v>CGI art. 50-0, revalorisation triennale 2026-2028 : 83 600 € pour les recettes 2026 (77 700 € pour 2025). jedeclaremonmeuble.com, cpim.fr. Vérifié le 05/09/2026.</v>
      </c>
      <c r="E13" s="30" t="s">
        <v>338</v>
      </c>
      <c r="F13" s="30" t="s">
        <v>339</v>
      </c>
    </row>
    <row r="14" spans="2:6" ht="16.5" customHeight="1" x14ac:dyDescent="0.35">
      <c r="B14" s="29" t="s">
        <v>340</v>
      </c>
      <c r="C14" s="19">
        <v>0.3</v>
      </c>
      <c r="D14" s="30" t="str">
        <f>"CGI art. 50-0, loi n° 2024-1039 du 19/11/2024, revenus 2025 et suivants. Vérifié le "&amp;TEXT(DAY($C$52),"00")&amp;"/"&amp;TEXT(MONTH($C$52),"00")&amp;"/"&amp;YEAR($C$52)&amp;"."</f>
        <v>CGI art. 50-0, loi n° 2024-1039 du 19/11/2024, revenus 2025 et suivants. Vérifié le 05/09/2026.</v>
      </c>
      <c r="E14" s="30" t="s">
        <v>331</v>
      </c>
      <c r="F14" s="30"/>
    </row>
    <row r="15" spans="2:6" ht="16.5" customHeight="1" x14ac:dyDescent="0.35">
      <c r="B15" s="29" t="s">
        <v>341</v>
      </c>
      <c r="C15" s="11">
        <v>15000</v>
      </c>
      <c r="D15" s="30" t="str">
        <f>"CGI art. 50-0, loi n° 2024-1039 du 19/11/2024. Vérifié le "&amp;TEXT(DAY($C$52),"00")&amp;"/"&amp;TEXT(MONTH($C$52),"00")&amp;"/"&amp;YEAR($C$52)&amp;"."</f>
        <v>CGI art. 50-0, loi n° 2024-1039 du 19/11/2024. Vérifié le 05/09/2026.</v>
      </c>
      <c r="E15" s="30" t="s">
        <v>331</v>
      </c>
      <c r="F15" s="30"/>
    </row>
    <row r="16" spans="2:6" ht="219" customHeight="1" x14ac:dyDescent="0.35">
      <c r="B16" s="29" t="s">
        <v>342</v>
      </c>
      <c r="C16" s="11">
        <v>10700</v>
      </c>
      <c r="D16" s="30" t="str">
        <f>"CGI art. 156, I-3°. Rehaussement à 21 400 € institué par la loi n° 2022-1499 du 01/12/2022 de finances rectificative pour 2022, art. 12 ; décret n° 2023-297 du 21/04/2023 ; CGI annexe III art. 41 DO ; BOFiP BOI-RFPI-BASE-30-20. Vérifié le "&amp;TEXT(DAY($C$52),"00")&amp;"/"&amp;TEXT(MONTH($C$52),"00")&amp;"/"&amp;YEAR($C$52)&amp;"."</f>
        <v>CGI art. 156, I-3°. Rehaussement à 21 400 € institué par la loi n° 2022-1499 du 01/12/2022 de finances rectificative pour 2022, art. 12 ; décret n° 2023-297 du 21/04/2023 ; CGI annexe III art. 41 DO ; BOFiP BOI-RFPI-BASE-30-20. Vérifié le 05/09/2026.</v>
      </c>
      <c r="E16" s="30" t="s">
        <v>331</v>
      </c>
      <c r="F16" s="30" t="s">
        <v>343</v>
      </c>
    </row>
    <row r="17" spans="2:6" ht="43.5" customHeight="1" x14ac:dyDescent="0.35">
      <c r="B17" s="29" t="s">
        <v>344</v>
      </c>
      <c r="C17" s="20">
        <v>25</v>
      </c>
      <c r="D17" s="30" t="str">
        <f>"HCSF, décision D-HCSF-2021-7 du 29/09/2021, contraignante depuis le 01/01/2022, confirmée par la décision D-HCSF-2023-2 du 29/06/2023 : 25 ans (27 ans avec différé), taux d'effort 35 %. economie.gouv.fr/hcsf. Vérifié le "&amp;TEXT(DAY($C$52),"00")&amp;"/"&amp;TEXT(MONTH($C$52),"00")&amp;"/"&amp;YEAR($C$52)&amp;"."</f>
        <v>HCSF, décision D-HCSF-2021-7 du 29/09/2021, contraignante depuis le 01/01/2022, confirmée par la décision D-HCSF-2023-2 du 29/06/2023 : 25 ans (27 ans avec différé), taux d'effort 35 %. economie.gouv.fr/hcsf. Vérifié le 05/09/2026.</v>
      </c>
      <c r="E17" s="30" t="s">
        <v>345</v>
      </c>
      <c r="F17" s="30" t="s">
        <v>346</v>
      </c>
    </row>
    <row r="19" spans="2:6" ht="18" customHeight="1" x14ac:dyDescent="0.35">
      <c r="B19" s="1" t="s">
        <v>347</v>
      </c>
      <c r="C19" s="1"/>
      <c r="D19" s="1"/>
      <c r="E19" s="1"/>
      <c r="F19" s="1"/>
    </row>
    <row r="20" spans="2:6" ht="30" customHeight="1" x14ac:dyDescent="0.35">
      <c r="B20" s="28" t="s">
        <v>136</v>
      </c>
      <c r="C20" s="28" t="s">
        <v>321</v>
      </c>
      <c r="D20" s="28" t="s">
        <v>322</v>
      </c>
      <c r="E20" s="28" t="s">
        <v>323</v>
      </c>
      <c r="F20" s="28" t="s">
        <v>324</v>
      </c>
    </row>
    <row r="21" spans="2:6" ht="30" customHeight="1" x14ac:dyDescent="0.35">
      <c r="B21" s="29" t="s">
        <v>348</v>
      </c>
      <c r="C21" s="20">
        <v>30</v>
      </c>
      <c r="D21" s="30" t="str">
        <f>"Usage des experts-comptables LMNP : 25 à 40 ans en linéaire simplifié (ou par composants, BOFiP BOI-BIC-AMT-10-40-10). jedeclaremonmeuble.com, calcunet.fr. Vérifié le "&amp;TEXT(DAY($C$52),"00")&amp;"/"&amp;TEXT(MONTH($C$52),"00")&amp;"/"&amp;YEAR($C$52)&amp;"."</f>
        <v>Usage des experts-comptables LMNP : 25 à 40 ans en linéaire simplifié (ou par composants, BOFiP BOI-BIC-AMT-10-40-10). jedeclaremonmeuble.com, calcunet.fr. Vérifié le 05/09/2026.</v>
      </c>
      <c r="E21" s="30" t="s">
        <v>349</v>
      </c>
      <c r="F21" s="30" t="s">
        <v>350</v>
      </c>
    </row>
    <row r="22" spans="2:6" ht="30" customHeight="1" x14ac:dyDescent="0.35">
      <c r="B22" s="29" t="s">
        <v>351</v>
      </c>
      <c r="C22" s="20">
        <v>15</v>
      </c>
      <c r="D22" s="30" t="str">
        <f>"Usage : 10 à 20 ans selon la nature (aménagements 10 à 12 ans, gros œuvre 25 à 30 ans). calcunet.fr. Vérifié le "&amp;TEXT(DAY($C$52),"00")&amp;"/"&amp;TEXT(MONTH($C$52),"00")&amp;"/"&amp;YEAR($C$52)&amp;"."</f>
        <v>Usage : 10 à 20 ans selon la nature (aménagements 10 à 12 ans, gros œuvre 25 à 30 ans). calcunet.fr. Vérifié le 05/09/2026.</v>
      </c>
      <c r="E22" s="30" t="s">
        <v>349</v>
      </c>
      <c r="F22" s="30" t="s">
        <v>352</v>
      </c>
    </row>
    <row r="23" spans="2:6" ht="30" customHeight="1" x14ac:dyDescent="0.35">
      <c r="B23" s="29" t="s">
        <v>353</v>
      </c>
      <c r="C23" s="20">
        <v>7</v>
      </c>
      <c r="D23" s="30" t="str">
        <f>"Usage : 5 à 10 ans. jedeclaremonmeuble.com. Vérifié le "&amp;TEXT(DAY($C$52),"00")&amp;"/"&amp;TEXT(MONTH($C$52),"00")&amp;"/"&amp;YEAR($C$52)&amp;"."</f>
        <v>Usage : 5 à 10 ans. jedeclaremonmeuble.com. Vérifié le 05/09/2026.</v>
      </c>
      <c r="E23" s="30" t="s">
        <v>349</v>
      </c>
      <c r="F23" s="30" t="s">
        <v>354</v>
      </c>
    </row>
    <row r="24" spans="2:6" ht="30" customHeight="1" x14ac:dyDescent="0.35">
      <c r="B24" s="29" t="s">
        <v>355</v>
      </c>
      <c r="C24" s="31">
        <v>0.08</v>
      </c>
      <c r="D24" s="30" t="str">
        <f>"DMTO 6,32 % dans la grande majorité des départements (LF 2025 art. 116, droit majoré du 01/04/2025 au 31/03/2028), émoluments (barème prorogé au 29/02/2028), CSI 0,10 % : 7,5 à 8,5 % pour 90 000 €. taximmo.fr, pretto.fr. Vérifié le "&amp;TEXT(DAY($C$52),"00")&amp;"/"&amp;TEXT(MONTH($C$52),"00")&amp;"/"&amp;YEAR($C$52)&amp;"."</f>
        <v>DMTO 6,32 % dans la grande majorité des départements (LF 2025 art. 116, droit majoré du 01/04/2025 au 31/03/2028), émoluments (barème prorogé au 29/02/2028), CSI 0,10 % : 7,5 à 8,5 % pour 90 000 €. taximmo.fr, pretto.fr. Vérifié le 05/09/2026.</v>
      </c>
      <c r="E24" s="30" t="s">
        <v>356</v>
      </c>
      <c r="F24" s="30" t="s">
        <v>357</v>
      </c>
    </row>
    <row r="25" spans="2:6" ht="16.5" customHeight="1" x14ac:dyDescent="0.35">
      <c r="B25" s="29" t="s">
        <v>358</v>
      </c>
      <c r="C25" s="31">
        <v>2.5000000000000001E-2</v>
      </c>
      <c r="D25" s="30" t="str">
        <f>"Vente en TVA : taxe de publicité foncière 0,715 %, émoluments, CSI : 2 à 3 % du prix. pretto.fr. Vérifié le "&amp;TEXT(DAY($C$52),"00")&amp;"/"&amp;TEXT(MONTH($C$52),"00")&amp;"/"&amp;YEAR($C$52)&amp;"."</f>
        <v>Vente en TVA : taxe de publicité foncière 0,715 %, émoluments, CSI : 2 à 3 % du prix. pretto.fr. Vérifié le 05/09/2026.</v>
      </c>
      <c r="E25" s="30" t="s">
        <v>359</v>
      </c>
      <c r="F25" s="30"/>
    </row>
    <row r="26" spans="2:6" ht="16.5" customHeight="1" x14ac:dyDescent="0.35">
      <c r="B26" s="29" t="s">
        <v>360</v>
      </c>
      <c r="C26" s="11">
        <v>120</v>
      </c>
      <c r="D26" s="30" t="str">
        <f>"Comparateurs 2026 : 100 à 150 € par an pour un appartement, davantage en grande ville. selectra.info, lesfurets.com. Vérifié le "&amp;TEXT(DAY($C$52),"00")&amp;"/"&amp;TEXT(MONTH($C$52),"00")&amp;"/"&amp;YEAR($C$52)&amp;"."</f>
        <v>Comparateurs 2026 : 100 à 150 € par an pour un appartement, davantage en grande ville. selectra.info, lesfurets.com. Vérifié le 05/09/2026.</v>
      </c>
      <c r="E26" s="30" t="s">
        <v>361</v>
      </c>
      <c r="F26" s="30" t="s">
        <v>362</v>
      </c>
    </row>
    <row r="27" spans="2:6" ht="30" customHeight="1" x14ac:dyDescent="0.35">
      <c r="B27" s="29" t="s">
        <v>363</v>
      </c>
      <c r="C27" s="11">
        <v>500</v>
      </c>
      <c r="D27" s="30" t="str">
        <f>"Tarifs 2026 : 300 à 600 € TTC en cabinet en ligne, 600 à 900 € en cabinet traditionnel, pour un lot. jedeclaremonmeuble.com, indy.fr. Vérifié le "&amp;TEXT(DAY($C$52),"00")&amp;"/"&amp;TEXT(MONTH($C$52),"00")&amp;"/"&amp;YEAR($C$52)&amp;"."</f>
        <v>Tarifs 2026 : 300 à 600 € TTC en cabinet en ligne, 600 à 900 € en cabinet traditionnel, pour un lot. jedeclaremonmeuble.com, indy.fr. Vérifié le 05/09/2026.</v>
      </c>
      <c r="E27" s="30" t="s">
        <v>361</v>
      </c>
      <c r="F27" s="30" t="s">
        <v>364</v>
      </c>
    </row>
    <row r="28" spans="2:6" ht="16.5" customHeight="1" x14ac:dyDescent="0.35">
      <c r="B28" s="29" t="s">
        <v>365</v>
      </c>
      <c r="C28" s="31">
        <v>7.0000000000000007E-2</v>
      </c>
      <c r="D28" s="30" t="str">
        <f>"Marché 2026 : 6 à 9 % TTC du loyer charges comprises en gestion complète, 4 à 6 % en agence en ligne. manda.fr, nousgerons.com. Vérifié le "&amp;TEXT(DAY($C$52),"00")&amp;"/"&amp;TEXT(MONTH($C$52),"00")&amp;"/"&amp;YEAR($C$52)&amp;"."</f>
        <v>Marché 2026 : 6 à 9 % TTC du loyer charges comprises en gestion complète, 4 à 6 % en agence en ligne. manda.fr, nousgerons.com. Vérifié le 05/09/2026.</v>
      </c>
      <c r="E28" s="30" t="s">
        <v>361</v>
      </c>
      <c r="F28" s="30" t="s">
        <v>366</v>
      </c>
    </row>
    <row r="29" spans="2:6" ht="30" customHeight="1" x14ac:dyDescent="0.35">
      <c r="B29" s="29" t="s">
        <v>367</v>
      </c>
      <c r="C29" s="19">
        <v>3.27E-2</v>
      </c>
      <c r="D29" s="30" t="str">
        <f>"Observatoire Crédit Logement / CSA, analyse du marché du mois d'août 2026 : 3,27 % sur 20 ans, taux moyen toutes durées 3,31 %, en hausse de 3 centièmes de point en juillet comme en août. lobservatoire.creditlogement.fr. Vérifié le "&amp;TEXT(DAY($C$52),"00")&amp;"/"&amp;TEXT(MONTH($C$52),"00")&amp;"/"&amp;YEAR($C$52)&amp;"."</f>
        <v>Observatoire Crédit Logement / CSA, analyse du marché du mois d'août 2026 : 3,27 % sur 20 ans, taux moyen toutes durées 3,31 %, en hausse de 3 centièmes de point en juillet comme en août. lobservatoire.creditlogement.fr. Vérifié le 05/09/2026.</v>
      </c>
      <c r="E29" s="30" t="s">
        <v>368</v>
      </c>
      <c r="F29" s="30" t="s">
        <v>369</v>
      </c>
    </row>
    <row r="30" spans="2:6" ht="16.5" customHeight="1" x14ac:dyDescent="0.35">
      <c r="B30" s="29" t="s">
        <v>370</v>
      </c>
      <c r="C30" s="19">
        <v>3.3500000000000002E-2</v>
      </c>
      <c r="D30" s="30" t="str">
        <f>"Observatoire Crédit Logement / CSA, analyse du marché du mois d'août 2026 : 3,35 % sur 25 ans, 3,14 % sur 15 ans, en hausse de 15 centièmes de point depuis décembre 2025. lobservatoire.creditlogement.fr. Vérifié le "&amp;TEXT(DAY($C$52),"00")&amp;"/"&amp;TEXT(MONTH($C$52),"00")&amp;"/"&amp;YEAR($C$52)&amp;"."</f>
        <v>Observatoire Crédit Logement / CSA, analyse du marché du mois d'août 2026 : 3,35 % sur 25 ans, 3,14 % sur 15 ans, en hausse de 15 centièmes de point depuis décembre 2025. lobservatoire.creditlogement.fr. Vérifié le 05/09/2026.</v>
      </c>
      <c r="E30" s="30" t="s">
        <v>368</v>
      </c>
      <c r="F30" s="30"/>
    </row>
    <row r="31" spans="2:6" ht="16.5" customHeight="1" x14ac:dyDescent="0.35">
      <c r="B31" s="29" t="s">
        <v>371</v>
      </c>
      <c r="C31" s="19">
        <v>3.5999999999999999E-3</v>
      </c>
      <c r="D31" s="30" t="str">
        <f>"Baromètres 2026, emprunteur de 35 ans non fumeur. pretclair.fr, covelia.fr. Vérifié le "&amp;TEXT(DAY($C$52),"00")&amp;"/"&amp;TEXT(MONTH($C$52),"00")&amp;"/"&amp;YEAR($C$52)&amp;"."</f>
        <v>Baromètres 2026, emprunteur de 35 ans non fumeur. pretclair.fr, covelia.fr. Vérifié le 05/09/2026.</v>
      </c>
      <c r="E31" s="30" t="s">
        <v>361</v>
      </c>
      <c r="F31" s="30" t="s">
        <v>372</v>
      </c>
    </row>
    <row r="32" spans="2:6" ht="30" customHeight="1" x14ac:dyDescent="0.35">
      <c r="B32" s="29" t="s">
        <v>373</v>
      </c>
      <c r="C32" s="19">
        <v>1.6999999999999999E-3</v>
      </c>
      <c r="D32" s="30" t="str">
        <f>"Baromètres 2026, emprunteur de 35 ans non fumeur, équivalent sur capital initial. pretclair.fr, covelia.fr. Vérifié le "&amp;TEXT(DAY($C$52),"00")&amp;"/"&amp;TEXT(MONTH($C$52),"00")&amp;"/"&amp;YEAR($C$52)&amp;"."</f>
        <v>Baromètres 2026, emprunteur de 35 ans non fumeur, équivalent sur capital initial. pretclair.fr, covelia.fr. Vérifié le 05/09/2026.</v>
      </c>
      <c r="E32" s="30" t="s">
        <v>361</v>
      </c>
      <c r="F32" s="30" t="s">
        <v>374</v>
      </c>
    </row>
    <row r="33" spans="2:6" ht="16.5" customHeight="1" x14ac:dyDescent="0.35">
      <c r="B33" s="29" t="s">
        <v>375</v>
      </c>
      <c r="C33" s="31">
        <v>0.15</v>
      </c>
      <c r="D33" s="30" t="str">
        <f>"Terrain non amortissable (BOFiP BOI-BIC-AMT-10-20). Usage comptable : 10 à 20 % pour un appartement, 20 à 30 % en zone tendue ou pour une maison. jedeclaremonmeuble.com, calcunet.fr. Vérifié le "&amp;TEXT(DAY($C$52),"00")&amp;"/"&amp;TEXT(MONTH($C$52),"00")&amp;"/"&amp;YEAR($C$52)&amp;"."</f>
        <v>Terrain non amortissable (BOFiP BOI-BIC-AMT-10-20). Usage comptable : 10 à 20 % pour un appartement, 20 à 30 % en zone tendue ou pour une maison. jedeclaremonmeuble.com, calcunet.fr. Vérifié le 05/09/2026.</v>
      </c>
      <c r="E33" s="30" t="s">
        <v>349</v>
      </c>
      <c r="F33" s="30" t="s">
        <v>376</v>
      </c>
    </row>
    <row r="34" spans="2:6" ht="30" customHeight="1" x14ac:dyDescent="0.35">
      <c r="B34" s="29" t="s">
        <v>377</v>
      </c>
      <c r="C34" s="31">
        <v>0.7</v>
      </c>
      <c r="D34" s="30" t="str">
        <f>"Pratique bancaire dans le calcul du taux d'effort HCSF : loyers comptés à 70 % pour couvrir vacance et charges. cpim.fr. Vérifié le "&amp;TEXT(DAY($C$52),"00")&amp;"/"&amp;TEXT(MONTH($C$52),"00")&amp;"/"&amp;YEAR($C$52)&amp;"."</f>
        <v>Pratique bancaire dans le calcul du taux d'effort HCSF : loyers comptés à 70 % pour couvrir vacance et charges. cpim.fr. Vérifié le 05/09/2026.</v>
      </c>
      <c r="E34" s="30" t="s">
        <v>361</v>
      </c>
      <c r="F34" s="30" t="s">
        <v>378</v>
      </c>
    </row>
    <row r="36" spans="2:6" ht="18" customHeight="1" x14ac:dyDescent="0.35">
      <c r="B36" s="1" t="s">
        <v>379</v>
      </c>
      <c r="C36" s="1"/>
      <c r="D36" s="1"/>
      <c r="E36" s="1"/>
      <c r="F36" s="1"/>
    </row>
    <row r="37" spans="2:6" ht="30" customHeight="1" x14ac:dyDescent="0.35">
      <c r="B37" s="28" t="s">
        <v>136</v>
      </c>
      <c r="C37" s="28" t="s">
        <v>321</v>
      </c>
      <c r="D37" s="28" t="s">
        <v>322</v>
      </c>
      <c r="E37" s="28" t="s">
        <v>323</v>
      </c>
      <c r="F37" s="28" t="s">
        <v>324</v>
      </c>
    </row>
    <row r="38" spans="2:6" ht="30" customHeight="1" x14ac:dyDescent="0.35">
      <c r="B38" s="29" t="s">
        <v>380</v>
      </c>
      <c r="C38" s="19">
        <v>0.2</v>
      </c>
      <c r="D38" s="30" t="str">
        <f>"Borne technique du classeur, pas un barème : refuse une saisie aberrante. Vérifié le "&amp;TEXT(DAY($C$52),"00")&amp;"/"&amp;TEXT(MONTH($C$52),"00")&amp;"/"&amp;YEAR($C$52)&amp;"."</f>
        <v>Borne technique du classeur, pas un barème : refuse une saisie aberrante. Vérifié le 05/09/2026.</v>
      </c>
      <c r="E38" s="30" t="s">
        <v>381</v>
      </c>
      <c r="F38" s="30" t="s">
        <v>382</v>
      </c>
    </row>
    <row r="39" spans="2:6" ht="16.5" customHeight="1" x14ac:dyDescent="0.35">
      <c r="B39" s="29" t="s">
        <v>383</v>
      </c>
      <c r="C39" s="20">
        <v>30</v>
      </c>
      <c r="D39" s="30" t="str">
        <f>"Borne technique du classeur, au-dessus du plafond HCSF pour les cas dérogatoires. Vérifié le "&amp;TEXT(DAY($C$52),"00")&amp;"/"&amp;TEXT(MONTH($C$52),"00")&amp;"/"&amp;YEAR($C$52)&amp;"."</f>
        <v>Borne technique du classeur, au-dessus du plafond HCSF pour les cas dérogatoires. Vérifié le 05/09/2026.</v>
      </c>
      <c r="E39" s="30" t="s">
        <v>381</v>
      </c>
      <c r="F39" s="30" t="s">
        <v>384</v>
      </c>
    </row>
    <row r="40" spans="2:6" ht="16.5" customHeight="1" x14ac:dyDescent="0.35">
      <c r="B40" s="29" t="s">
        <v>385</v>
      </c>
      <c r="C40" s="19">
        <v>0.05</v>
      </c>
      <c r="D40" s="30" t="str">
        <f>"Borne technique du classeur, pas un barème. Vérifié le "&amp;TEXT(DAY($C$52),"00")&amp;"/"&amp;TEXT(MONTH($C$52),"00")&amp;"/"&amp;YEAR($C$52)&amp;"."</f>
        <v>Borne technique du classeur, pas un barème. Vérifié le 05/09/2026.</v>
      </c>
      <c r="E40" s="30" t="s">
        <v>381</v>
      </c>
      <c r="F40" s="30"/>
    </row>
    <row r="41" spans="2:6" ht="16.5" customHeight="1" x14ac:dyDescent="0.35">
      <c r="B41" s="29" t="s">
        <v>386</v>
      </c>
      <c r="C41" s="19">
        <v>0.5</v>
      </c>
      <c r="D41" s="30" t="str">
        <f>"Borne technique du classeur, pas un barème. Vérifié le "&amp;TEXT(DAY($C$52),"00")&amp;"/"&amp;TEXT(MONTH($C$52),"00")&amp;"/"&amp;YEAR($C$52)&amp;"."</f>
        <v>Borne technique du classeur, pas un barème. Vérifié le 05/09/2026.</v>
      </c>
      <c r="E41" s="30" t="s">
        <v>381</v>
      </c>
      <c r="F41" s="30"/>
    </row>
    <row r="42" spans="2:6" ht="57" customHeight="1" x14ac:dyDescent="0.35">
      <c r="B42" s="29" t="s">
        <v>387</v>
      </c>
      <c r="C42" s="19">
        <v>1E-3</v>
      </c>
      <c r="D42" s="30" t="str">
        <f>"Convention CorpusImmo, commune aux matrices qui saisissent des taux. Vérifié le "&amp;TEXT(DAY($C$52),"00")&amp;"/"&amp;TEXT(MONTH($C$52),"00")&amp;"/"&amp;YEAR($C$52)&amp;"."</f>
        <v>Convention CorpusImmo, commune aux matrices qui saisissent des taux. Vérifié le 05/09/2026.</v>
      </c>
      <c r="E42" s="30" t="s">
        <v>349</v>
      </c>
      <c r="F42" s="30" t="s">
        <v>388</v>
      </c>
    </row>
    <row r="44" spans="2:6" ht="18" customHeight="1" x14ac:dyDescent="0.35">
      <c r="B44" s="1" t="s">
        <v>389</v>
      </c>
      <c r="C44" s="1"/>
      <c r="D44" s="1"/>
      <c r="E44" s="1"/>
      <c r="F44" s="1"/>
    </row>
    <row r="45" spans="2:6" ht="30" customHeight="1" x14ac:dyDescent="0.35">
      <c r="B45" s="28" t="s">
        <v>390</v>
      </c>
      <c r="C45" s="28" t="s">
        <v>391</v>
      </c>
      <c r="D45" s="28" t="s">
        <v>322</v>
      </c>
      <c r="E45" s="28" t="s">
        <v>323</v>
      </c>
      <c r="F45" s="28" t="s">
        <v>324</v>
      </c>
    </row>
    <row r="46" spans="2:6" ht="54" customHeight="1" x14ac:dyDescent="0.35">
      <c r="B46" s="10" t="s">
        <v>392</v>
      </c>
      <c r="C46" s="19">
        <v>0</v>
      </c>
      <c r="D46" s="30" t="str">
        <f>"Régimes : libellés fixes, testés par les formules du Calculateur. TMI : CGI art. 197, barème de la LF 2026 (loi n° 2026-103 du 19/02/2026) : 0, 11, 30, 41, 45 %. service-public.gouv.fr. Vérifié le "&amp;TEXT(DAY($C$52),"00")&amp;"/"&amp;TEXT(MONTH($C$52),"00")&amp;"/"&amp;YEAR($C$52)&amp;"."</f>
        <v>Régimes : libellés fixes, testés par les formules du Calculateur. TMI : CGI art. 197, barème de la LF 2026 (loi n° 2026-103 du 19/02/2026) : 0, 11, 30, 41, 45 %. service-public.gouv.fr. Vérifié le 05/09/2026.</v>
      </c>
      <c r="E46" s="9" t="s">
        <v>393</v>
      </c>
      <c r="F46" s="9" t="s">
        <v>394</v>
      </c>
    </row>
    <row r="47" spans="2:6" x14ac:dyDescent="0.35">
      <c r="B47" s="10" t="s">
        <v>395</v>
      </c>
      <c r="C47" s="19">
        <v>0.11</v>
      </c>
      <c r="F47" s="9" t="s">
        <v>396</v>
      </c>
    </row>
    <row r="48" spans="2:6" x14ac:dyDescent="0.35">
      <c r="B48" s="10" t="s">
        <v>397</v>
      </c>
      <c r="C48" s="19">
        <v>0.3</v>
      </c>
      <c r="F48" s="9" t="s">
        <v>398</v>
      </c>
    </row>
    <row r="49" spans="2:6" x14ac:dyDescent="0.35">
      <c r="B49" s="10" t="s">
        <v>284</v>
      </c>
      <c r="C49" s="19">
        <v>0.41</v>
      </c>
      <c r="F49" s="9" t="s">
        <v>399</v>
      </c>
    </row>
    <row r="50" spans="2:6" x14ac:dyDescent="0.35">
      <c r="B50" s="10" t="s">
        <v>400</v>
      </c>
      <c r="C50" s="19">
        <v>0.45</v>
      </c>
      <c r="F50" s="9" t="s">
        <v>401</v>
      </c>
    </row>
    <row r="52" spans="2:6" x14ac:dyDescent="0.35">
      <c r="B52" s="13" t="s">
        <v>402</v>
      </c>
      <c r="C52" s="32">
        <v>46270</v>
      </c>
      <c r="D52" s="9" t="s">
        <v>403</v>
      </c>
    </row>
    <row r="54" spans="2:6" x14ac:dyDescent="0.35">
      <c r="B54" s="9" t="s">
        <v>404</v>
      </c>
    </row>
    <row r="55" spans="2:6" x14ac:dyDescent="0.35">
      <c r="B55" s="9" t="s">
        <v>405</v>
      </c>
    </row>
    <row r="58" spans="2:6" ht="36" customHeight="1" x14ac:dyDescent="0.35">
      <c r="B58" s="39" t="s">
        <v>218</v>
      </c>
      <c r="C58" s="34"/>
      <c r="D58" s="34"/>
      <c r="E58" s="34"/>
      <c r="F58" s="34"/>
    </row>
  </sheetData>
  <sheetProtection sheet="1" formatColumns="0" formatRows="0"/>
  <mergeCells count="1">
    <mergeCell ref="B58:F58"/>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A93A6"/>
  </sheetPr>
  <dimension ref="B1:C58"/>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2" customWidth="1"/>
  </cols>
  <sheetData>
    <row r="1" spans="2:3" ht="20" customHeight="1" x14ac:dyDescent="0.35">
      <c r="B1" s="1" t="s">
        <v>0</v>
      </c>
      <c r="C1" s="1"/>
    </row>
    <row r="2" spans="2:3" ht="26" customHeight="1" x14ac:dyDescent="0.35">
      <c r="B2" s="2" t="s">
        <v>406</v>
      </c>
    </row>
    <row r="3" spans="2:3" x14ac:dyDescent="0.35">
      <c r="B3" s="3" t="s">
        <v>407</v>
      </c>
    </row>
    <row r="5" spans="2:3" ht="18" customHeight="1" x14ac:dyDescent="0.35">
      <c r="B5" s="1" t="s">
        <v>408</v>
      </c>
      <c r="C5" s="1"/>
    </row>
    <row r="6" spans="2:3" ht="30" customHeight="1" x14ac:dyDescent="0.35">
      <c r="B6" s="8" t="s">
        <v>234</v>
      </c>
      <c r="C6" s="4" t="s">
        <v>409</v>
      </c>
    </row>
    <row r="7" spans="2:3" ht="30" customHeight="1" x14ac:dyDescent="0.35">
      <c r="B7" s="8" t="s">
        <v>243</v>
      </c>
      <c r="C7" s="4" t="s">
        <v>410</v>
      </c>
    </row>
    <row r="8" spans="2:3" ht="43.5" customHeight="1" x14ac:dyDescent="0.35">
      <c r="B8" s="8" t="s">
        <v>110</v>
      </c>
      <c r="C8" s="4" t="s">
        <v>411</v>
      </c>
    </row>
    <row r="9" spans="2:3" ht="43.5" customHeight="1" x14ac:dyDescent="0.35">
      <c r="B9" s="8" t="s">
        <v>114</v>
      </c>
      <c r="C9" s="4" t="s">
        <v>412</v>
      </c>
    </row>
    <row r="10" spans="2:3" ht="30" customHeight="1" x14ac:dyDescent="0.35">
      <c r="B10" s="8" t="s">
        <v>118</v>
      </c>
      <c r="C10" s="4" t="s">
        <v>413</v>
      </c>
    </row>
    <row r="11" spans="2:3" ht="97.5" customHeight="1" x14ac:dyDescent="0.35">
      <c r="B11" s="8" t="s">
        <v>414</v>
      </c>
      <c r="C11" s="4" t="s">
        <v>415</v>
      </c>
    </row>
    <row r="12" spans="2:3" ht="124.5" customHeight="1" x14ac:dyDescent="0.35">
      <c r="B12" s="8" t="s">
        <v>416</v>
      </c>
      <c r="C12" s="4" t="s">
        <v>417</v>
      </c>
    </row>
    <row r="13" spans="2:3" ht="84" customHeight="1" x14ac:dyDescent="0.35">
      <c r="B13" s="8" t="s">
        <v>418</v>
      </c>
      <c r="C13" s="4" t="s">
        <v>419</v>
      </c>
    </row>
    <row r="14" spans="2:3" ht="43.5" customHeight="1" x14ac:dyDescent="0.35">
      <c r="B14" s="8" t="s">
        <v>420</v>
      </c>
      <c r="C14" s="4" t="s">
        <v>421</v>
      </c>
    </row>
    <row r="15" spans="2:3" ht="30" customHeight="1" x14ac:dyDescent="0.35">
      <c r="B15" s="8" t="s">
        <v>422</v>
      </c>
      <c r="C15" s="4" t="s">
        <v>423</v>
      </c>
    </row>
    <row r="16" spans="2:3" ht="43.5" customHeight="1" x14ac:dyDescent="0.35">
      <c r="B16" s="8" t="s">
        <v>424</v>
      </c>
      <c r="C16" s="4" t="s">
        <v>425</v>
      </c>
    </row>
    <row r="17" spans="2:3" ht="30" customHeight="1" x14ac:dyDescent="0.35">
      <c r="B17" s="8" t="s">
        <v>426</v>
      </c>
      <c r="C17" s="4" t="s">
        <v>427</v>
      </c>
    </row>
    <row r="18" spans="2:3" ht="70.5" customHeight="1" x14ac:dyDescent="0.35">
      <c r="B18" s="8" t="s">
        <v>428</v>
      </c>
      <c r="C18" s="4" t="s">
        <v>429</v>
      </c>
    </row>
    <row r="19" spans="2:3" ht="43.5" customHeight="1" x14ac:dyDescent="0.35">
      <c r="B19" s="8" t="s">
        <v>430</v>
      </c>
      <c r="C19" s="4" t="s">
        <v>431</v>
      </c>
    </row>
    <row r="21" spans="2:3" ht="18" customHeight="1" x14ac:dyDescent="0.35">
      <c r="B21" s="1" t="s">
        <v>432</v>
      </c>
      <c r="C21" s="1"/>
    </row>
    <row r="22" spans="2:3" ht="16.5" customHeight="1" x14ac:dyDescent="0.35">
      <c r="B22" s="33" t="s">
        <v>433</v>
      </c>
      <c r="C22" s="34"/>
    </row>
    <row r="23" spans="2:3" ht="16.5" customHeight="1" x14ac:dyDescent="0.35">
      <c r="B23" s="33" t="s">
        <v>434</v>
      </c>
      <c r="C23" s="34"/>
    </row>
    <row r="24" spans="2:3" ht="30" customHeight="1" x14ac:dyDescent="0.35">
      <c r="B24" s="33" t="s">
        <v>435</v>
      </c>
      <c r="C24" s="34"/>
    </row>
    <row r="25" spans="2:3" ht="16.5" customHeight="1" x14ac:dyDescent="0.35">
      <c r="B25" s="33" t="s">
        <v>436</v>
      </c>
      <c r="C25" s="34"/>
    </row>
    <row r="26" spans="2:3" ht="16.5" customHeight="1" x14ac:dyDescent="0.35">
      <c r="B26" s="33" t="s">
        <v>437</v>
      </c>
      <c r="C26" s="34"/>
    </row>
    <row r="27" spans="2:3" ht="16.5" customHeight="1" x14ac:dyDescent="0.35">
      <c r="B27" s="33" t="s">
        <v>438</v>
      </c>
      <c r="C27" s="34"/>
    </row>
    <row r="29" spans="2:3" ht="18" customHeight="1" x14ac:dyDescent="0.35">
      <c r="B29" s="1" t="s">
        <v>439</v>
      </c>
      <c r="C29" s="1"/>
    </row>
    <row r="30" spans="2:3" ht="30" customHeight="1" x14ac:dyDescent="0.35">
      <c r="B30" s="8" t="s">
        <v>325</v>
      </c>
      <c r="C30" s="30" t="str">
        <f>Paramètres!$D$8</f>
        <v>CSS art. L136-6 (assiette des revenus du patrimoine) et L136-8 (taux : CSG 9,2 %), CRDS 0,5 %, CGI art. 235 ter (solidarité 7,5 %). Inchangé par la LFSS 2026. Vérifié le 05/09/2026.</v>
      </c>
    </row>
    <row r="31" spans="2:3" ht="30" customHeight="1" x14ac:dyDescent="0.35">
      <c r="B31" s="8" t="s">
        <v>328</v>
      </c>
      <c r="C31" s="30" t="str">
        <f>Paramètres!$D$9</f>
        <v>LFSS 2026, loi n° 2025-1403 du 30/12/2025, art. 12, modifiant CSS art. L136-8 : CSG portée de 9,2 % à 10,6 % dès les revenus 2025. Vérifié le 05/09/2026.</v>
      </c>
    </row>
    <row r="32" spans="2:3" ht="16.5" customHeight="1" x14ac:dyDescent="0.35">
      <c r="B32" s="8" t="s">
        <v>330</v>
      </c>
      <c r="C32" s="30" t="str">
        <f>Paramètres!$D$10</f>
        <v>CGI art. 32. Vérifié le 05/09/2026.</v>
      </c>
    </row>
    <row r="33" spans="2:3" ht="16.5" customHeight="1" x14ac:dyDescent="0.35">
      <c r="B33" s="8" t="s">
        <v>333</v>
      </c>
      <c r="C33" s="30" t="str">
        <f>Paramètres!$D$11</f>
        <v>CGI art. 32, I. Vérifié le 05/09/2026.</v>
      </c>
    </row>
    <row r="34" spans="2:3" ht="16.5" customHeight="1" x14ac:dyDescent="0.35">
      <c r="B34" s="8" t="s">
        <v>335</v>
      </c>
      <c r="C34" s="30" t="str">
        <f>Paramètres!$D$12</f>
        <v>CGI art. 50-0 modifié par la loi n° 2024-1039 du 19/11/2024 (dite Le Meur), revenus 2025 et suivants. Vérifié le 05/09/2026.</v>
      </c>
    </row>
    <row r="35" spans="2:3" ht="30" customHeight="1" x14ac:dyDescent="0.35">
      <c r="B35" s="8" t="s">
        <v>337</v>
      </c>
      <c r="C35" s="30" t="str">
        <f>Paramètres!$D$13</f>
        <v>CGI art. 50-0, revalorisation triennale 2026-2028 : 83 600 € pour les recettes 2026 (77 700 € pour 2025). jedeclaremonmeuble.com, cpim.fr. Vérifié le 05/09/2026.</v>
      </c>
    </row>
    <row r="36" spans="2:3" ht="16.5" customHeight="1" x14ac:dyDescent="0.35">
      <c r="B36" s="8" t="s">
        <v>340</v>
      </c>
      <c r="C36" s="30" t="str">
        <f>Paramètres!$D$14</f>
        <v>CGI art. 50-0, loi n° 2024-1039 du 19/11/2024, revenus 2025 et suivants. Vérifié le 05/09/2026.</v>
      </c>
    </row>
    <row r="37" spans="2:3" ht="16.5" customHeight="1" x14ac:dyDescent="0.35">
      <c r="B37" s="8" t="s">
        <v>341</v>
      </c>
      <c r="C37" s="30" t="str">
        <f>Paramètres!$D$15</f>
        <v>CGI art. 50-0, loi n° 2024-1039 du 19/11/2024. Vérifié le 05/09/2026.</v>
      </c>
    </row>
    <row r="38" spans="2:3" ht="30" customHeight="1" x14ac:dyDescent="0.35">
      <c r="B38" s="8" t="s">
        <v>342</v>
      </c>
      <c r="C38" s="30" t="str">
        <f>Paramètres!$D$16</f>
        <v>CGI art. 156, I-3°. Rehaussement à 21 400 € institué par la loi n° 2022-1499 du 01/12/2022 de finances rectificative pour 2022, art. 12 ; décret n° 2023-297 du 21/04/2023 ; CGI annexe III art. 41 DO ; BOFiP BOI-RFPI-BASE-30-20. Vérifié le 05/09/2026.</v>
      </c>
    </row>
    <row r="39" spans="2:3" ht="30" customHeight="1" x14ac:dyDescent="0.35">
      <c r="B39" s="8" t="s">
        <v>344</v>
      </c>
      <c r="C39" s="30" t="str">
        <f>Paramètres!$D$17</f>
        <v>HCSF, décision D-HCSF-2021-7 du 29/09/2021, contraignante depuis le 01/01/2022, confirmée par la décision D-HCSF-2023-2 du 29/06/2023 : 25 ans (27 ans avec différé), taux d'effort 35 %. economie.gouv.fr/hcsf. Vérifié le 05/09/2026.</v>
      </c>
    </row>
    <row r="40" spans="2:3" ht="30" customHeight="1" x14ac:dyDescent="0.35">
      <c r="B40" s="8" t="s">
        <v>348</v>
      </c>
      <c r="C40" s="30" t="str">
        <f>Paramètres!$D$21</f>
        <v>Usage des experts-comptables LMNP : 25 à 40 ans en linéaire simplifié (ou par composants, BOFiP BOI-BIC-AMT-10-40-10). jedeclaremonmeuble.com, calcunet.fr. Vérifié le 05/09/2026.</v>
      </c>
    </row>
    <row r="41" spans="2:3" ht="16.5" customHeight="1" x14ac:dyDescent="0.35">
      <c r="B41" s="8" t="s">
        <v>351</v>
      </c>
      <c r="C41" s="30" t="str">
        <f>Paramètres!$D$22</f>
        <v>Usage : 10 à 20 ans selon la nature (aménagements 10 à 12 ans, gros œuvre 25 à 30 ans). calcunet.fr. Vérifié le 05/09/2026.</v>
      </c>
    </row>
    <row r="42" spans="2:3" ht="16.5" customHeight="1" x14ac:dyDescent="0.35">
      <c r="B42" s="8" t="s">
        <v>353</v>
      </c>
      <c r="C42" s="30" t="str">
        <f>Paramètres!$D$23</f>
        <v>Usage : 5 à 10 ans. jedeclaremonmeuble.com. Vérifié le 05/09/2026.</v>
      </c>
    </row>
    <row r="43" spans="2:3" ht="30" customHeight="1" x14ac:dyDescent="0.35">
      <c r="B43" s="8" t="s">
        <v>355</v>
      </c>
      <c r="C43" s="30" t="str">
        <f>Paramètres!$D$24</f>
        <v>DMTO 6,32 % dans la grande majorité des départements (LF 2025 art. 116, droit majoré du 01/04/2025 au 31/03/2028), émoluments (barème prorogé au 29/02/2028), CSI 0,10 % : 7,5 à 8,5 % pour 90 000 €. taximmo.fr, pretto.fr. Vérifié le 05/09/2026.</v>
      </c>
    </row>
    <row r="44" spans="2:3" ht="16.5" customHeight="1" x14ac:dyDescent="0.35">
      <c r="B44" s="8" t="s">
        <v>358</v>
      </c>
      <c r="C44" s="30" t="str">
        <f>Paramètres!$D$25</f>
        <v>Vente en TVA : taxe de publicité foncière 0,715 %, émoluments, CSI : 2 à 3 % du prix. pretto.fr. Vérifié le 05/09/2026.</v>
      </c>
    </row>
    <row r="45" spans="2:3" ht="30" customHeight="1" x14ac:dyDescent="0.35">
      <c r="B45" s="8" t="s">
        <v>360</v>
      </c>
      <c r="C45" s="30" t="str">
        <f>Paramètres!$D$26</f>
        <v>Comparateurs 2026 : 100 à 150 € par an pour un appartement, davantage en grande ville. selectra.info, lesfurets.com. Vérifié le 05/09/2026.</v>
      </c>
    </row>
    <row r="46" spans="2:3" ht="30" customHeight="1" x14ac:dyDescent="0.35">
      <c r="B46" s="8" t="s">
        <v>363</v>
      </c>
      <c r="C46" s="30" t="str">
        <f>Paramètres!$D$27</f>
        <v>Tarifs 2026 : 300 à 600 € TTC en cabinet en ligne, 600 à 900 € en cabinet traditionnel, pour un lot. jedeclaremonmeuble.com, indy.fr. Vérifié le 05/09/2026.</v>
      </c>
    </row>
    <row r="47" spans="2:3" ht="30" customHeight="1" x14ac:dyDescent="0.35">
      <c r="B47" s="8" t="s">
        <v>365</v>
      </c>
      <c r="C47" s="30" t="str">
        <f>Paramètres!$D$28</f>
        <v>Marché 2026 : 6 à 9 % TTC du loyer charges comprises en gestion complète, 4 à 6 % en agence en ligne. manda.fr, nousgerons.com. Vérifié le 05/09/2026.</v>
      </c>
    </row>
    <row r="48" spans="2:3" ht="30" customHeight="1" x14ac:dyDescent="0.35">
      <c r="B48" s="8" t="s">
        <v>367</v>
      </c>
      <c r="C48" s="30" t="str">
        <f>Paramètres!$D$29</f>
        <v>Observatoire Crédit Logement / CSA, analyse du marché du mois d'août 2026 : 3,27 % sur 20 ans, taux moyen toutes durées 3,31 %, en hausse de 3 centièmes de point en juillet comme en août. lobservatoire.creditlogement.fr. Vérifié le 05/09/2026.</v>
      </c>
    </row>
    <row r="49" spans="2:3" ht="30" customHeight="1" x14ac:dyDescent="0.35">
      <c r="B49" s="8" t="s">
        <v>370</v>
      </c>
      <c r="C49" s="30" t="str">
        <f>Paramètres!$D$30</f>
        <v>Observatoire Crédit Logement / CSA, analyse du marché du mois d'août 2026 : 3,35 % sur 25 ans, 3,14 % sur 15 ans, en hausse de 15 centièmes de point depuis décembre 2025. lobservatoire.creditlogement.fr. Vérifié le 05/09/2026.</v>
      </c>
    </row>
    <row r="50" spans="2:3" ht="16.5" customHeight="1" x14ac:dyDescent="0.35">
      <c r="B50" s="8" t="s">
        <v>371</v>
      </c>
      <c r="C50" s="30" t="str">
        <f>Paramètres!$D$31</f>
        <v>Baromètres 2026, emprunteur de 35 ans non fumeur. pretclair.fr, covelia.fr. Vérifié le 05/09/2026.</v>
      </c>
    </row>
    <row r="51" spans="2:3" ht="30" customHeight="1" x14ac:dyDescent="0.35">
      <c r="B51" s="8" t="s">
        <v>373</v>
      </c>
      <c r="C51" s="30" t="str">
        <f>Paramètres!$D$32</f>
        <v>Baromètres 2026, emprunteur de 35 ans non fumeur, équivalent sur capital initial. pretclair.fr, covelia.fr. Vérifié le 05/09/2026.</v>
      </c>
    </row>
    <row r="52" spans="2:3" ht="30" customHeight="1" x14ac:dyDescent="0.35">
      <c r="B52" s="8" t="s">
        <v>375</v>
      </c>
      <c r="C52" s="30" t="str">
        <f>Paramètres!$D$33</f>
        <v>Terrain non amortissable (BOFiP BOI-BIC-AMT-10-20). Usage comptable : 10 à 20 % pour un appartement, 20 à 30 % en zone tendue ou pour une maison. jedeclaremonmeuble.com, calcunet.fr. Vérifié le 05/09/2026.</v>
      </c>
    </row>
    <row r="53" spans="2:3" ht="30" customHeight="1" x14ac:dyDescent="0.35">
      <c r="B53" s="8" t="s">
        <v>377</v>
      </c>
      <c r="C53" s="30" t="str">
        <f>Paramètres!$D$34</f>
        <v>Pratique bancaire dans le calcul du taux d'effort HCSF : loyers comptés à 70 % pour couvrir vacance et charges. cpim.fr. Vérifié le 05/09/2026.</v>
      </c>
    </row>
    <row r="54" spans="2:3" ht="16.5" customHeight="1" x14ac:dyDescent="0.35">
      <c r="B54" s="8" t="s">
        <v>440</v>
      </c>
      <c r="C54" s="30" t="str">
        <f>Paramètres!$D$46</f>
        <v>Régimes : libellés fixes, testés par les formules du Calculateur. TMI : CGI art. 197, barème de la LF 2026 (loi n° 2026-103 du 19/02/2026) : 0, 11, 30, 41, 45 %. service-public.gouv.fr. Vérifié le 05/09/2026.</v>
      </c>
    </row>
    <row r="55" spans="2:3" ht="16.5" customHeight="1" x14ac:dyDescent="0.35">
      <c r="B55" s="8" t="s">
        <v>441</v>
      </c>
      <c r="C55" s="30" t="s">
        <v>442</v>
      </c>
    </row>
    <row r="56" spans="2:3" ht="30" customHeight="1" x14ac:dyDescent="0.35">
      <c r="B56" s="8" t="s">
        <v>443</v>
      </c>
      <c r="C56" s="30" t="s">
        <v>444</v>
      </c>
    </row>
    <row r="58" spans="2:3" ht="36" customHeight="1" x14ac:dyDescent="0.35">
      <c r="B58" s="39" t="s">
        <v>218</v>
      </c>
      <c r="C58" s="34"/>
    </row>
  </sheetData>
  <sheetProtection sheet="1" formatColumns="0" formatRows="0"/>
  <mergeCells count="7">
    <mergeCell ref="B27:C27"/>
    <mergeCell ref="B58:C58"/>
    <mergeCell ref="B24:C24"/>
    <mergeCell ref="B25:C25"/>
    <mergeCell ref="B23:C23"/>
    <mergeCell ref="B22:C22"/>
    <mergeCell ref="B26:C2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Mode d'emploi</vt:lpstr>
      <vt:lpstr>Calculateur</vt:lpstr>
      <vt:lpstr>Paramètres</vt:lpstr>
      <vt:lpstr>Méthode</vt:lpstr>
      <vt:lpstr>Calculateur!Zone_d_impression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Calculateur de rentabilité locative</dc:title>
  <dc:creator>CorpusImmo</dc:creator>
  <cp:lastModifiedBy>CorpusImmo</cp:lastModifiedBy>
  <dcterms:created xsi:type="dcterms:W3CDTF">2026-08-16T17:23:02Z</dcterms:created>
  <dcterms:modified xsi:type="dcterms:W3CDTF">2026-09-09T13:20:17Z</dcterms:modified>
</cp:coreProperties>
</file>