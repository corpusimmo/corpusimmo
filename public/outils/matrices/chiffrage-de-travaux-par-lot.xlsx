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xr:revisionPtr revIDLastSave="0" documentId="13_ncr:1_{F9E461A7-6F7E-47BC-9B95-2296D7A8839F}" xr6:coauthVersionLast="47" xr6:coauthVersionMax="47" xr10:uidLastSave="{00000000-0000-0000-0000-000000000000}"/>
  <bookViews>
    <workbookView xWindow="2240" yWindow="2240" windowWidth="19200" windowHeight="9970" xr2:uid="{00000000-000D-0000-FFFF-FFFF00000000}"/>
  </bookViews>
  <sheets>
    <sheet name="Mode d'emploi" sheetId="1" r:id="rId1"/>
    <sheet name="Chiffrage" sheetId="2" r:id="rId2"/>
    <sheet name="Référentiel" sheetId="3" r:id="rId3"/>
    <sheet name="Méthode"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55" i="4" l="1"/>
  <c r="C54" i="4"/>
  <c r="C53" i="4"/>
  <c r="C52" i="4"/>
  <c r="C51" i="4"/>
  <c r="C50" i="4"/>
  <c r="C49" i="4"/>
  <c r="C48" i="4"/>
  <c r="C47" i="4"/>
  <c r="C46" i="4"/>
  <c r="C45" i="4"/>
  <c r="C44" i="4"/>
  <c r="C43" i="4"/>
  <c r="C42" i="4"/>
  <c r="C41" i="4"/>
  <c r="C40" i="4"/>
  <c r="C39" i="4"/>
  <c r="C38" i="4"/>
  <c r="C37" i="4"/>
  <c r="D109" i="3"/>
  <c r="J100" i="3"/>
  <c r="J99" i="3"/>
  <c r="J98" i="3"/>
  <c r="J97" i="3"/>
  <c r="J96" i="3"/>
  <c r="J95" i="3"/>
  <c r="J94" i="3"/>
  <c r="J93" i="3"/>
  <c r="J92" i="3"/>
  <c r="J91" i="3"/>
  <c r="J90" i="3"/>
  <c r="J89" i="3"/>
  <c r="J88" i="3"/>
  <c r="J87" i="3"/>
  <c r="J86" i="3"/>
  <c r="J85" i="3"/>
  <c r="J84" i="3"/>
  <c r="J83" i="3"/>
  <c r="J82" i="3"/>
  <c r="J81" i="3"/>
  <c r="J80" i="3"/>
  <c r="J79" i="3"/>
  <c r="J78" i="3"/>
  <c r="J77" i="3"/>
  <c r="J76" i="3"/>
  <c r="J75" i="3"/>
  <c r="J74" i="3"/>
  <c r="J73" i="3"/>
  <c r="J72" i="3"/>
  <c r="J71" i="3"/>
  <c r="J70" i="3"/>
  <c r="J36" i="3"/>
  <c r="J32" i="3"/>
  <c r="J31" i="3"/>
  <c r="J30" i="3"/>
  <c r="J29" i="3"/>
  <c r="J28" i="3"/>
  <c r="J27" i="3"/>
  <c r="J23" i="3"/>
  <c r="J22" i="3"/>
  <c r="J21" i="3"/>
  <c r="J20" i="3"/>
  <c r="J19" i="3"/>
  <c r="J15" i="3"/>
  <c r="J14" i="3"/>
  <c r="J13" i="3"/>
  <c r="J12" i="3"/>
  <c r="J11" i="3"/>
  <c r="J10" i="3"/>
  <c r="C7" i="3"/>
  <c r="D25" i="2" s="1"/>
  <c r="G109" i="2"/>
  <c r="F109" i="2"/>
  <c r="C109" i="2"/>
  <c r="B109" i="2"/>
  <c r="G108" i="2"/>
  <c r="F108" i="2"/>
  <c r="C108" i="2"/>
  <c r="B108" i="2"/>
  <c r="G107" i="2"/>
  <c r="F107" i="2"/>
  <c r="C107" i="2"/>
  <c r="B107" i="2"/>
  <c r="G106" i="2"/>
  <c r="F106" i="2"/>
  <c r="C106" i="2"/>
  <c r="B106" i="2"/>
  <c r="G105" i="2"/>
  <c r="F105" i="2"/>
  <c r="C105" i="2"/>
  <c r="B105" i="2"/>
  <c r="G104" i="2"/>
  <c r="F104" i="2"/>
  <c r="C104" i="2"/>
  <c r="B104" i="2"/>
  <c r="D81" i="2"/>
  <c r="D80" i="2"/>
  <c r="D74" i="2"/>
  <c r="D75" i="2" s="1"/>
  <c r="B63" i="2"/>
  <c r="I59" i="2"/>
  <c r="H59" i="2"/>
  <c r="K59" i="2" s="1"/>
  <c r="D59" i="2"/>
  <c r="C59" i="2"/>
  <c r="B59" i="2"/>
  <c r="I58" i="2"/>
  <c r="H58" i="2"/>
  <c r="K58" i="2" s="1"/>
  <c r="D58" i="2"/>
  <c r="C58" i="2"/>
  <c r="B58" i="2"/>
  <c r="I57" i="2"/>
  <c r="H57" i="2"/>
  <c r="K57" i="2" s="1"/>
  <c r="D57" i="2"/>
  <c r="C57" i="2"/>
  <c r="B57" i="2"/>
  <c r="I56" i="2"/>
  <c r="H56" i="2"/>
  <c r="K56" i="2" s="1"/>
  <c r="G56" i="2"/>
  <c r="D56" i="2"/>
  <c r="C56" i="2"/>
  <c r="B56" i="2"/>
  <c r="I55" i="2"/>
  <c r="H55" i="2"/>
  <c r="K55" i="2" s="1"/>
  <c r="G55" i="2"/>
  <c r="L55" i="2" s="1"/>
  <c r="D55" i="2"/>
  <c r="C55" i="2"/>
  <c r="B55" i="2"/>
  <c r="I54" i="2"/>
  <c r="H54" i="2"/>
  <c r="D54" i="2"/>
  <c r="C54" i="2"/>
  <c r="B54" i="2"/>
  <c r="I53" i="2"/>
  <c r="H53" i="2"/>
  <c r="K53" i="2" s="1"/>
  <c r="D53" i="2"/>
  <c r="C53" i="2"/>
  <c r="B53" i="2"/>
  <c r="I52" i="2"/>
  <c r="H52" i="2"/>
  <c r="K52" i="2" s="1"/>
  <c r="E52" i="2"/>
  <c r="G52" i="2" s="1"/>
  <c r="L52" i="2" s="1"/>
  <c r="D52" i="2"/>
  <c r="C52" i="2"/>
  <c r="B52" i="2"/>
  <c r="I51" i="2"/>
  <c r="H51" i="2"/>
  <c r="K51" i="2" s="1"/>
  <c r="D51" i="2"/>
  <c r="C51" i="2"/>
  <c r="B51" i="2"/>
  <c r="I50" i="2"/>
  <c r="H50" i="2"/>
  <c r="K50" i="2" s="1"/>
  <c r="D50" i="2"/>
  <c r="C50" i="2"/>
  <c r="B50" i="2"/>
  <c r="I49" i="2"/>
  <c r="H49" i="2"/>
  <c r="K49" i="2" s="1"/>
  <c r="D49" i="2"/>
  <c r="C49" i="2"/>
  <c r="B49" i="2"/>
  <c r="I48" i="2"/>
  <c r="H48" i="2"/>
  <c r="K48" i="2" s="1"/>
  <c r="D48" i="2"/>
  <c r="C48" i="2"/>
  <c r="B48" i="2"/>
  <c r="I47" i="2"/>
  <c r="H47" i="2"/>
  <c r="K47" i="2" s="1"/>
  <c r="E47" i="2"/>
  <c r="G47" i="2" s="1"/>
  <c r="L47" i="2" s="1"/>
  <c r="D47" i="2"/>
  <c r="C47" i="2"/>
  <c r="B47" i="2"/>
  <c r="I46" i="2"/>
  <c r="H46" i="2"/>
  <c r="K46" i="2" s="1"/>
  <c r="D46" i="2"/>
  <c r="C46" i="2"/>
  <c r="B46" i="2"/>
  <c r="I45" i="2"/>
  <c r="H45" i="2"/>
  <c r="K45" i="2" s="1"/>
  <c r="L45" i="2" s="1"/>
  <c r="G45" i="2"/>
  <c r="E45" i="2"/>
  <c r="D45" i="2"/>
  <c r="C45" i="2"/>
  <c r="B45" i="2"/>
  <c r="I44" i="2"/>
  <c r="H44" i="2"/>
  <c r="K44" i="2" s="1"/>
  <c r="E44" i="2"/>
  <c r="G44" i="2" s="1"/>
  <c r="D44" i="2"/>
  <c r="C44" i="2"/>
  <c r="B44" i="2"/>
  <c r="I43" i="2"/>
  <c r="H43" i="2"/>
  <c r="K43" i="2" s="1"/>
  <c r="D43" i="2"/>
  <c r="C43" i="2"/>
  <c r="B43" i="2"/>
  <c r="I42" i="2"/>
  <c r="H42" i="2"/>
  <c r="K42" i="2" s="1"/>
  <c r="E42" i="2"/>
  <c r="G42" i="2" s="1"/>
  <c r="L42" i="2" s="1"/>
  <c r="D42" i="2"/>
  <c r="C42" i="2"/>
  <c r="B42" i="2"/>
  <c r="I41" i="2"/>
  <c r="H41" i="2"/>
  <c r="K41" i="2" s="1"/>
  <c r="D41" i="2"/>
  <c r="C41" i="2"/>
  <c r="B41" i="2"/>
  <c r="I40" i="2"/>
  <c r="H40" i="2"/>
  <c r="K40" i="2" s="1"/>
  <c r="D40" i="2"/>
  <c r="C40" i="2"/>
  <c r="B40" i="2"/>
  <c r="I39" i="2"/>
  <c r="H39" i="2"/>
  <c r="K39" i="2" s="1"/>
  <c r="D39" i="2"/>
  <c r="C39" i="2"/>
  <c r="B39" i="2"/>
  <c r="I38" i="2"/>
  <c r="H38" i="2"/>
  <c r="K38" i="2" s="1"/>
  <c r="G38" i="2"/>
  <c r="L38" i="2" s="1"/>
  <c r="D38" i="2"/>
  <c r="C38" i="2"/>
  <c r="B38" i="2"/>
  <c r="I37" i="2"/>
  <c r="H37" i="2"/>
  <c r="K37" i="2" s="1"/>
  <c r="D37" i="2"/>
  <c r="C37" i="2"/>
  <c r="B37" i="2"/>
  <c r="I36" i="2"/>
  <c r="H36" i="2"/>
  <c r="K36" i="2" s="1"/>
  <c r="E36" i="2"/>
  <c r="G36" i="2" s="1"/>
  <c r="D36" i="2"/>
  <c r="C36" i="2"/>
  <c r="B36" i="2"/>
  <c r="I35" i="2"/>
  <c r="H35" i="2"/>
  <c r="K35" i="2" s="1"/>
  <c r="D35" i="2"/>
  <c r="C35" i="2"/>
  <c r="B35" i="2"/>
  <c r="I34" i="2"/>
  <c r="H34" i="2"/>
  <c r="K34" i="2" s="1"/>
  <c r="G34" i="2"/>
  <c r="L34" i="2" s="1"/>
  <c r="D34" i="2"/>
  <c r="C34" i="2"/>
  <c r="B34" i="2"/>
  <c r="I33" i="2"/>
  <c r="H33" i="2"/>
  <c r="K33" i="2" s="1"/>
  <c r="G33" i="2"/>
  <c r="L33" i="2" s="1"/>
  <c r="D33" i="2"/>
  <c r="C33" i="2"/>
  <c r="B33" i="2"/>
  <c r="I32" i="2"/>
  <c r="H32" i="2"/>
  <c r="K32" i="2" s="1"/>
  <c r="G32" i="2"/>
  <c r="L32" i="2" s="1"/>
  <c r="D32" i="2"/>
  <c r="C32" i="2"/>
  <c r="B32" i="2"/>
  <c r="I31" i="2"/>
  <c r="H31" i="2"/>
  <c r="K31" i="2" s="1"/>
  <c r="G31" i="2"/>
  <c r="L31" i="2" s="1"/>
  <c r="D31" i="2"/>
  <c r="C31" i="2"/>
  <c r="B31" i="2"/>
  <c r="I30" i="2"/>
  <c r="H30" i="2"/>
  <c r="K30" i="2" s="1"/>
  <c r="D30" i="2"/>
  <c r="C30" i="2"/>
  <c r="B30" i="2"/>
  <c r="I29" i="2"/>
  <c r="H29" i="2"/>
  <c r="K29" i="2" s="1"/>
  <c r="D29" i="2"/>
  <c r="C29" i="2"/>
  <c r="B29" i="2"/>
  <c r="D24" i="2"/>
  <c r="D19" i="2"/>
  <c r="E16" i="2"/>
  <c r="E15" i="2"/>
  <c r="E14" i="2"/>
  <c r="K54" i="2" l="1"/>
  <c r="L56" i="2"/>
  <c r="L36" i="2"/>
  <c r="D76" i="2"/>
  <c r="D78" i="2"/>
  <c r="E51" i="2"/>
  <c r="G51" i="2" s="1"/>
  <c r="L51" i="2" s="1"/>
  <c r="E53" i="2"/>
  <c r="G53" i="2" s="1"/>
  <c r="L53" i="2" s="1"/>
  <c r="E54" i="2"/>
  <c r="G54" i="2" s="1"/>
  <c r="L54" i="2" s="1"/>
  <c r="E49" i="2"/>
  <c r="G49" i="2" s="1"/>
  <c r="L49" i="2" s="1"/>
  <c r="E56" i="2"/>
  <c r="E39" i="2"/>
  <c r="G39" i="2" s="1"/>
  <c r="L39" i="2" s="1"/>
  <c r="E57" i="2"/>
  <c r="G57" i="2" s="1"/>
  <c r="L57" i="2" s="1"/>
  <c r="E38" i="2"/>
  <c r="E58" i="2"/>
  <c r="G58" i="2" s="1"/>
  <c r="L58" i="2" s="1"/>
  <c r="E32" i="2"/>
  <c r="E35" i="2"/>
  <c r="G35" i="2" s="1"/>
  <c r="L35" i="2" s="1"/>
  <c r="E31" i="2"/>
  <c r="E59" i="2"/>
  <c r="G59" i="2" s="1"/>
  <c r="L59" i="2" s="1"/>
  <c r="E30" i="2"/>
  <c r="G30" i="2" s="1"/>
  <c r="E46" i="2"/>
  <c r="G46" i="2" s="1"/>
  <c r="L46" i="2" s="1"/>
  <c r="E34" i="2"/>
  <c r="D23" i="2"/>
  <c r="E33" i="2" s="1"/>
  <c r="D22" i="2"/>
  <c r="D20" i="2"/>
  <c r="D21" i="2" s="1"/>
  <c r="L44" i="2"/>
  <c r="E41" i="2" l="1"/>
  <c r="G41" i="2" s="1"/>
  <c r="L41" i="2" s="1"/>
  <c r="E29" i="2"/>
  <c r="G29" i="2" s="1"/>
  <c r="L29" i="2" s="1"/>
  <c r="M57" i="2"/>
  <c r="N57" i="2" s="1"/>
  <c r="M58" i="2"/>
  <c r="N58" i="2" s="1"/>
  <c r="M59" i="2"/>
  <c r="N59" i="2" s="1"/>
  <c r="M30" i="2"/>
  <c r="N30" i="2" s="1"/>
  <c r="M29" i="2"/>
  <c r="M31" i="2"/>
  <c r="N31" i="2" s="1"/>
  <c r="M32" i="2"/>
  <c r="N32" i="2" s="1"/>
  <c r="M33" i="2"/>
  <c r="N33" i="2" s="1"/>
  <c r="M36" i="2"/>
  <c r="N36" i="2" s="1"/>
  <c r="M34" i="2"/>
  <c r="N34" i="2" s="1"/>
  <c r="M35" i="2"/>
  <c r="N35" i="2" s="1"/>
  <c r="M37" i="2"/>
  <c r="M38" i="2"/>
  <c r="N38" i="2" s="1"/>
  <c r="M44" i="2"/>
  <c r="N44" i="2" s="1"/>
  <c r="M45" i="2"/>
  <c r="N45" i="2" s="1"/>
  <c r="M46" i="2"/>
  <c r="N46" i="2" s="1"/>
  <c r="M47" i="2"/>
  <c r="N47" i="2" s="1"/>
  <c r="M48" i="2"/>
  <c r="M49" i="2"/>
  <c r="N49" i="2" s="1"/>
  <c r="M50" i="2"/>
  <c r="M39" i="2"/>
  <c r="N39" i="2" s="1"/>
  <c r="M40" i="2"/>
  <c r="M41" i="2"/>
  <c r="M42" i="2"/>
  <c r="N42" i="2" s="1"/>
  <c r="M43" i="2"/>
  <c r="M51" i="2"/>
  <c r="N51" i="2" s="1"/>
  <c r="M52" i="2"/>
  <c r="N52" i="2" s="1"/>
  <c r="M53" i="2"/>
  <c r="N53" i="2" s="1"/>
  <c r="M54" i="2"/>
  <c r="N54" i="2" s="1"/>
  <c r="M55" i="2"/>
  <c r="N55" i="2" s="1"/>
  <c r="M56" i="2"/>
  <c r="N56" i="2" s="1"/>
  <c r="L30" i="2"/>
  <c r="E50" i="2"/>
  <c r="G50" i="2" s="1"/>
  <c r="L50" i="2" s="1"/>
  <c r="E48" i="2"/>
  <c r="G48" i="2" s="1"/>
  <c r="L48" i="2" s="1"/>
  <c r="E43" i="2"/>
  <c r="G43" i="2" s="1"/>
  <c r="E40" i="2"/>
  <c r="G40" i="2" s="1"/>
  <c r="L40" i="2" s="1"/>
  <c r="E55" i="2"/>
  <c r="E37" i="2"/>
  <c r="G37" i="2" s="1"/>
  <c r="L37" i="2" s="1"/>
  <c r="N41" i="2" l="1"/>
  <c r="N50" i="2"/>
  <c r="N48" i="2"/>
  <c r="N29" i="2"/>
  <c r="D82" i="2"/>
  <c r="N40" i="2"/>
  <c r="N37" i="2"/>
  <c r="L43" i="2"/>
  <c r="D87" i="2"/>
  <c r="F87" i="2"/>
  <c r="D93" i="2" l="1"/>
  <c r="F92" i="2"/>
  <c r="E92" i="2"/>
  <c r="F93" i="2"/>
  <c r="D92" i="2"/>
  <c r="D91" i="2"/>
  <c r="D94" i="2" s="1"/>
  <c r="F91" i="2"/>
  <c r="E91" i="2"/>
  <c r="E87" i="2"/>
  <c r="N43" i="2"/>
  <c r="D79" i="2"/>
  <c r="D83" i="2" s="1"/>
  <c r="D88" i="2"/>
  <c r="D90" i="2" s="1"/>
  <c r="D98" i="2" s="1"/>
  <c r="D89" i="2"/>
  <c r="D97" i="2"/>
  <c r="F88" i="2"/>
  <c r="F89" i="2"/>
  <c r="F90" i="2"/>
  <c r="F98" i="2" s="1"/>
  <c r="F97" i="2"/>
  <c r="E88" i="2" l="1"/>
  <c r="E89" i="2"/>
  <c r="E97" i="2"/>
  <c r="D104" i="2"/>
  <c r="D105" i="2"/>
  <c r="D106" i="2"/>
  <c r="D109" i="2"/>
  <c r="D107" i="2"/>
  <c r="D108" i="2"/>
  <c r="D95" i="2"/>
  <c r="D99" i="2" s="1"/>
  <c r="F94" i="2"/>
  <c r="F95" i="2" s="1"/>
  <c r="F99" i="2" s="1"/>
  <c r="D110" i="2" l="1"/>
  <c r="E104" i="2"/>
  <c r="H104" i="2" s="1"/>
  <c r="E105" i="2"/>
  <c r="H105" i="2"/>
  <c r="E106" i="2"/>
  <c r="H106" i="2" s="1"/>
  <c r="E109" i="2"/>
  <c r="H109" i="2"/>
  <c r="E107" i="2"/>
  <c r="H107" i="2"/>
  <c r="E108" i="2"/>
  <c r="H108" i="2"/>
  <c r="E93" i="2"/>
  <c r="E94" i="2" s="1"/>
  <c r="E95" i="2" s="1"/>
  <c r="E90" i="2"/>
  <c r="E98" i="2" s="1"/>
  <c r="H110" i="2" l="1"/>
  <c r="E110" i="2"/>
  <c r="E99" i="2"/>
  <c r="E100" i="2" s="1"/>
  <c r="E96" i="2"/>
</calcChain>
</file>

<file path=xl/sharedStrings.xml><?xml version="1.0" encoding="utf-8"?>
<sst xmlns="http://schemas.openxmlformats.org/spreadsheetml/2006/main" count="736" uniqueCount="568">
  <si>
    <t>CorpusImmo  ·  www.corpus.immo  ·  Estimer, comparer, décider. Sur les ventes réelles.</t>
  </si>
  <si>
    <t>Mode d'emploi</t>
  </si>
  <si>
    <t>À quoi sert ce classeur, dans quel ordre le remplir, et comment lire ce qu'il répond.</t>
  </si>
  <si>
    <t xml:space="preserve">  À QUOI SERT CE CLASSEUR</t>
  </si>
  <si>
    <t>Vous regardez un appartement ou une maison à rénover. Ce classeur répond à la question qui précède toute offre d'achat : combien vont coûter les travaux, en fourchette crédible, avant d'avoir un seul devis ?</t>
  </si>
  <si>
    <t>Il part de cinq données du bien (surface, niveaux, hauteur sous plafond, façades exposées, part rénovée), en déduit la géométrie, chiffre vingt-huit postes en quantité × prix unitaire, le prix étant pris dans une fourchette de marché selon un curseur, ajoute aléas et honoraires, calcule la TVA ligne à ligne à trois taux, et qualifie le chantier au regard de la règle de l'immeuble rendu neuf. Il rend trois budgets : bas de fourchette, retenu, haut de fourchette.</t>
  </si>
  <si>
    <t>Vous remplissez les cellules violettes de haut en bas ; à mesure que les devis arrivent, vous forcez les quantités et les prix, et la fourchette se referme. Deux mots reviennent partout : le gros œuvre, ce qui tient le bâtiment (fondations, murs porteurs, planchers porteurs, charpente), et le second œuvre, tout ce qui vient ensuite (cloisons, fenêtres, plomberie, électricité, chauffage, finitions).</t>
  </si>
  <si>
    <t>Vous êtes</t>
  </si>
  <si>
    <t>Ce que le classeur vous donne</t>
  </si>
  <si>
    <t>Marchand de biens</t>
  </si>
  <si>
    <t>Le budget travaux TTC en fourchette pour bâtir l'offre, et l'alerte sur la bascule de tout le chantier à 20 % de TVA (immeuble rendu neuf).</t>
  </si>
  <si>
    <t>Investisseur locatif</t>
  </si>
  <si>
    <t>Un ordre de grandeur au m² à comparer aux repères du marché, et la liste des postes à faire deviser.</t>
  </si>
  <si>
    <t>Maître d'œuvre, architecte</t>
  </si>
  <si>
    <t>Un cadrage par lot à confronter aux devis d'entreprises, avec le contrôle des parts par famille.</t>
  </si>
  <si>
    <t>Agent immobilier, chasseur</t>
  </si>
  <si>
    <t>Une réponse chiffrée en cinq minutes à « combien de travaux ? », avec ses hypothèses écrites.</t>
  </si>
  <si>
    <t>Banquier, courtier</t>
  </si>
  <si>
    <t>Un budget travaux justifié ligne à ligne, aléas et honoraires compris, pour le plan de financement.</t>
  </si>
  <si>
    <t xml:space="preserve">  LE PRINCIPE, EN UNE LIGNE</t>
  </si>
  <si>
    <t>Quantité déduite du bien × prix pris dans la fourchette selon le curseur = lot ; lots + aléas + honoraires + TVA par ligne = budget TTC</t>
  </si>
  <si>
    <t xml:space="preserve">  LES ONGLETS, DANS L'ORDRE OÙ ON LES REMPLIT</t>
  </si>
  <si>
    <t>Onglet</t>
  </si>
  <si>
    <t>Ce que vous y faites</t>
  </si>
  <si>
    <t>Ce que vous y lisez</t>
  </si>
  <si>
    <t>Rien à saisir. Vous lisez ce guide.</t>
  </si>
  <si>
    <t>La marche à suivre et l'exemple guidé.</t>
  </si>
  <si>
    <t>Chiffrage</t>
  </si>
  <si>
    <t>Vous décrivez le bien, réglez le curseur, les aléas et les honoraires, forcez des quantités et des prix dans le tableau, puis répondez aux douze questions du bloc TVA.</t>
  </si>
  <si>
    <t>Le tableau des lots, le récapitulatif en trois colonnes (bas, retenu, haut), les coûts au m², le niveau de rénovation, le contrôle par famille et sept contrôles vert / rouge.</t>
  </si>
  <si>
    <t>Référentiel</t>
  </si>
  <si>
    <t>Vous confrontez les fourchettes de prix, les taux de TVA et les ratios à vos chantiers, et les corrigez. Vous nommez les postes libres.</t>
  </si>
  <si>
    <t>Chaque valeur avec sa source datée : barèmes de TVA, seuils de l'immeuble neuf, coefficients de géométrie, bandes par famille, fourchettes 2026.</t>
  </si>
  <si>
    <t>Méthode</t>
  </si>
  <si>
    <t>Rien à saisir.</t>
  </si>
  <si>
    <t>Les conventions de calcul, la règle de TVA complète, ce que le modèle ne fait pas, les sources.</t>
  </si>
  <si>
    <t xml:space="preserve">  LE CODE COULEUR, ET COMMENT DÉVERROUILLER UNE CELLULE</t>
  </si>
  <si>
    <t>Cellule</t>
  </si>
  <si>
    <t>Ce que c'est</t>
  </si>
  <si>
    <t>Ce que vous faites</t>
  </si>
  <si>
    <t>Fond violet clair</t>
  </si>
  <si>
    <t>Saisie utilisateur</t>
  </si>
  <si>
    <t>Vous la remplissez, ou vous l'effacez avec la touche Suppr, même feuille protégée. Jamais de formule dedans. Dans le tableau, une cellule violette vide laisse l'automatisme.</t>
  </si>
  <si>
    <t>Fond blanc</t>
  </si>
  <si>
    <t>Calcul</t>
  </si>
  <si>
    <t>Vous la lisez. Elle est verrouillée.</t>
  </si>
  <si>
    <t>Fond violet pâle, gras</t>
  </si>
  <si>
    <t>Résultat de bloc, chiffre clé</t>
  </si>
  <si>
    <t>Vous la lisez. C'est un chiffre à retenir.</t>
  </si>
  <si>
    <t>Bandeau violet</t>
  </si>
  <si>
    <t>Titre de section, en-tête de tableau</t>
  </si>
  <si>
    <t>Repère de navigation.</t>
  </si>
  <si>
    <t>Texte gris, à droite</t>
  </si>
  <si>
    <t>Commentaire d'aide, ordre de grandeur</t>
  </si>
  <si>
    <t>Une phrase par ligne pour savoir quoi saisir.</t>
  </si>
  <si>
    <t>Vert / rouge</t>
  </si>
  <si>
    <t>Contrôle de cohérence</t>
  </si>
  <si>
    <t>Rouge, la cellule affiche « À CORRIGER » : corrigez la saisie indiquée par le commentaire à droite. Le récapitulatif reste vide tant qu'un contrôle bloquant est rouge.</t>
  </si>
  <si>
    <t>Les onglets sont protégés sans mot de passe pour éviter d'écraser une formule par erreur. Pour modifier une cellule blanche : onglet Révision, puis « Ôter la protection de la feuille ». Aucun mot de passe n'est demandé. En pratique, tout ce qu'un professionnel doit régler est violet, dans le Chiffrage ou dans le Référentiel.</t>
  </si>
  <si>
    <t xml:space="preserve">  LA MARCHE À SUIVRE, ÉTAPE PAR ÉTAPE</t>
  </si>
  <si>
    <t>Étape</t>
  </si>
  <si>
    <t>Où (onglet et plage)</t>
  </si>
  <si>
    <t>Pourquoi</t>
  </si>
  <si>
    <t>0. L'exemple livré</t>
  </si>
  <si>
    <t>Chiffrage!D7:D16, F29:F59 et J29:J59, D62:D77</t>
  </si>
  <si>
    <t>Le classeur est livré rempli d'un exemple (appartement de 90 m², détaillé plus bas). Gardez-le pour vous repérer, ou effacez toutes les cellules violettes du Chiffrage avant de saisir votre dossier : sélectionnez-les et appuyez sur Suppr, la protection de la feuille ne s'y oppose pas. Vérifiez surtout les saisies secondaires qui n'ont pas de raison d'être chez vous : les 8 quantités forcées de la colonne F (dont les 6 zéros qui désactivent couverture, charpente, combles, chaudière, ravalement et VRD, la voirie et les réseaux du terrain), les douze réponses du bloc TVA, le taux forcé D77 (à laisser vide) et le curseur D14.</t>
  </si>
  <si>
    <t>Une saisie résiduelle de l'exemple est l'erreur la plus probable d'un premier usage : sur une maison, les trois zéros hérités de l'appartement (couverture, charpente, combles) font disparaître 15 030 € de travaux sans un mot.</t>
  </si>
  <si>
    <t>1. Vos prix</t>
  </si>
  <si>
    <t>Référentiel!E70:G100, puis C109</t>
  </si>
  <si>
    <t>Premier chiffrage, sans chantier derrière vous : ne touchez à rien, les fourchettes livrées sont sourcées ligne à ligne et datées 2026, elles suffisent à cadrer. Ensuite, à chaque devis reçu, corrigez la ligne concernée, ainsi que son taux de TVA si le devis en applique un autre, et mettez la date de vérification à jour. Nommez les postes libres (lignes 98 à 100) si votre chantier a du désamiantage, du plomb ou un ascenseur.</t>
  </si>
  <si>
    <t>Ce sont vos prix et vos ratios qui comptent dès que vous en avez. Tout le classeur pointe ici : rien n'est écrit en dur ailleurs.</t>
  </si>
  <si>
    <t>2. Le bien</t>
  </si>
  <si>
    <t>Chiffrage!D7:D11</t>
  </si>
  <si>
    <t>Surface habitable (à défaut, la surface Carrez de l'annonce en est très proche pour un appartement), nombre de niveaux, hauteur sous plafond mesurée sur place, façades exposées (4 pour une maison, 2 pour un appartement traversant, 1 sinon), part du logement rénovée.</t>
  </si>
  <si>
    <t>La surface pilote presque toutes les quantités ; les façades distinguent une maison d'un appartement ; la part rénovée réduit dépose, réseaux, sols et peinture.</t>
  </si>
  <si>
    <t>3. Le chiffrage</t>
  </si>
  <si>
    <t>Chiffrage!D14:D16</t>
  </si>
  <si>
    <t>Curseur de fourchette (repères du Référentiel : province 40 % à 60 %, Île-de-France 60 % à 80 %), provision pour aléas (10 % à 15 % dans l'ancien), honoraires de maîtrise d'œuvre (8 % à 12 % en exécution).</t>
  </si>
  <si>
    <t>Le curseur représente la tension du marché et le type d'entreprise. Les aléas et les honoraires s'ajoutent aux lots avant TVA.</t>
  </si>
  <si>
    <t>4. Le tableau des lots</t>
  </si>
  <si>
    <t>Chiffrage!F29:F59 et J29:J59</t>
  </si>
  <si>
    <t>Deux colonnes violettes seulement, F (quantité forcée) et J (prix forcé) : les autres sont calculées. Quantité forcée : 0 pour désactiver un poste (couverture, charpente, combles, chaudière, ravalement et VRD sont livrés à 0 pour un appartement), une valeur comptée sur plan sinon, vide pour l'automatisme. Prix forcés à mesure que les devis arrivent, en priorité sur pompe à chaleur, cuisine, salle de bains, ventilation.</t>
  </si>
  <si>
    <t>Une valeur forcée l'emporte toujours sur le calcul sans le détruire. Un prix forcé vaut dans les trois colonnes du récapitulatif : c'est un devis.</t>
  </si>
  <si>
    <t>5. La TVA du chantier</t>
  </si>
  <si>
    <t>Chiffrage!D62:D73 et D77</t>
  </si>
  <si>
    <t>Douze réponses dans des listes déroulantes : nature du local, ancienneté, extension, trois critères de gros œuvre, six éléments de second œuvre. Lisez D76 : vert « Taux par ligne », ou rouge « TOUT À 20 % ». Laissez D77 vide sauf pour imposer un taux unique.</t>
  </si>
  <si>
    <t>C'est la règle de l'immeuble rendu neuf (CGI art. 257) : dès qu'un critère est rempli, l'opération entière perd les taux réduits. Le classeur l'applique et l'affiche.</t>
  </si>
  <si>
    <t>6. Les sept contrôles</t>
  </si>
  <si>
    <t>Chiffrage!D24:D25, D80:D83, H110 ; Référentiel!C7</t>
  </si>
  <si>
    <t>Vérifiez que tout est vert. Un rouge désigne la saisie à corriger dans son commentaire. Les contrôles rejouent aussi les bornes des listes et des validations : une valeur collée ou héritée de l'exemple n'y échappe pas.</t>
  </si>
  <si>
    <t>Tant qu'un contrôle bloquant est rouge, le récapitulatif ou la TVA restent vides : le classeur préfère ne rien afficher plutôt qu'un chiffre faux.</t>
  </si>
  <si>
    <t>7. Les résultats</t>
  </si>
  <si>
    <t>Chiffrage!D87:F99 et E100</t>
  </si>
  <si>
    <t>Rien à saisir. Lisez les trois colonnes : bas de fourchette, retenu, haut de fourchette. Puis le contrôle par famille en dessous.</t>
  </si>
  <si>
    <t>Le sous-total des lots se compare à un devis d'entreprise générale ; le TTC est le budget à financer ; les parts par famille disent si un lot manque.</t>
  </si>
  <si>
    <t xml:space="preserve">  EXEMPLE GUIDÉ</t>
  </si>
  <si>
    <t>Le fichier est livré avec un appartement traversant de 90 m² sur un niveau, hauteur sous plafond 2,50 m, deux façades exposées, rénové à 100 %. Le classeur en déduit une emprise de 90 m² (D19), un périmètre de 39,8 m (D20) et 50 m² de murs de façade (D21). Curseur à 50 %, aléas 12 %, honoraires 10 %.</t>
  </si>
  <si>
    <t>Dans le tableau, 8 quantités sont forcées : 1 ouverture de mur porteur, 20 m² de reprise de maçonnerie, et 0 sur la couverture, la charpente, les combles, la chaudière fossile, le ravalement et les VRD (un appartement n'a pas de toit à lui, et il est chauffé par une pompe à chaleur). Tout le reste est automatique : 7 fenêtres, 6 radiateurs, 6 blocs-portes, 1 salle de bains, 2 WC. La peinture, par exemple, ressort à 90 m² au sol × 82 € = 7 380 € HT (L50) ; la pompe à chaleur à 8 750 € HT au milieu de sa fourchette (L44), un prix à forcer dès le premier devis.</t>
  </si>
  <si>
    <t>Le bloc TVA dit : habitation, achevée depuis plus de deux ans, sans extension, gros œuvre intact, et cinq éléments de second œuvre refaits sur six (huisseries, cloisons, plomberie, électricité, chauffage ; les planchers non porteurs sont conservés). D74 affiche 5, D75 affiche Non, D76 affiche « Taux par ligne » en vert : les taux par ligne s'appliquent. D79 compte 5 éléments refaits par le chiffrage lui-même, cohérent avec les réponses (D83 : OK).</t>
  </si>
  <si>
    <t>Récapitulatif, colonne retenue : sous-total des lots 99 905 € (E87), aléas 11 989 €, honoraires 9 991 €, total HT 121 884 € (E90). TVA : 1 474 € à 5,5 % (fenêtres, porte, isolation, pompe à chaleur, VMC), 8 510 € à 10 %, 1 998 € à 20 % (les honoraires), soit 11 982 €. Total TTC 133 866 € (E95), 1 487 € par m² (E99) : niveau « Rénovation » (E100). Lots seuls : 1 110 € par m² HT (E97).</t>
  </si>
  <si>
    <t>Fourchette : 72 166 € TTC au bas de fourchette (D95) et 195 565 € au haut (F95), soit 802 € à 2 173 € par m². C'est la fourchette d'un chantier sans aucun devis : elle se referme à mesure que vous forcez des prix.</t>
  </si>
  <si>
    <t>Contrôle par famille : la famille Technique pèse 35,9 % du sous-total (E106) pour une bande de 25 à 35 % : « Élevé : à justifier ». C'est normal, une pompe à chaleur déplace le centre de gravité du budget ; le contrôle fait son travail, il ne signale pas un défaut. H110 affiche « Tout est classé ».</t>
  </si>
  <si>
    <t>Deux variantes à essayer. Passez D68 à Oui : les six éléments sont refaits, D75 passe à Oui, D76 vire au rouge « TOUT À 20 % », toutes les lignes passent à 20 % et le TTC monte à 146 261 € (+ 12 395 €). Remettez Non. Puis remplacez la pompe à chaleur par une chaudière gaz : 0 en F44, cellule F45 vidée : la ligne chaudière est à 20 % de TVA et le TTC devient 130 529 €.</t>
  </si>
  <si>
    <t xml:space="preserve">  LES CHIFFRES À REGARDER, ET CE QU'ILS VALENT</t>
  </si>
  <si>
    <t>Indicateur</t>
  </si>
  <si>
    <t>Où</t>
  </si>
  <si>
    <t>Repère métier</t>
  </si>
  <si>
    <t>Ce qu'il dit vraiment</t>
  </si>
  <si>
    <t>Sous-total des lots HT</t>
  </si>
  <si>
    <t>Chiffrage!E87</t>
  </si>
  <si>
    <t>Le chiffre à comparer à un devis d'entreprise générale.</t>
  </si>
  <si>
    <t>Hors aléas, hors honoraires, hors TVA. Les colonnes bas et haut donnent la marge d'incertitude tant que les devis manquent.</t>
  </si>
  <si>
    <t>Total TTC</t>
  </si>
  <si>
    <t>Chiffrage!E95</t>
  </si>
  <si>
    <t>Le budget à financer.</t>
  </si>
  <si>
    <t>Lots, aléas, honoraires et TVA. La colonne haute est celle à présenter au banquier prudent.</t>
  </si>
  <si>
    <t>Coût au m² TTC</t>
  </si>
  <si>
    <t>Chiffrage!E99 et E100</t>
  </si>
  <si>
    <t>250 à 750 €/m² rafraîchir, 750 à 1 500 rénover, 1 500 et plus rénovation lourde ou restructuration (Hellowatt, Illico 2026).</t>
  </si>
  <si>
    <t>Aléas et honoraires compris. Très en dessous de la fourchette basse : un lot manque, regardez le contrôle par famille.</t>
  </si>
  <si>
    <t>Taux réduits admis</t>
  </si>
  <si>
    <t>Chiffrage!D76</t>
  </si>
  <si>
    <t>Vert : taux par ligne. Rouge : tout le chantier à 20 %.</t>
  </si>
  <si>
    <t>La règle de l'immeuble rendu neuf. Rouge sur une rénovation lourde n'est pas rare : c'est le moment de reconsidérer le programme (garder un élément de second œuvre) ou le prix d'achat.</t>
  </si>
  <si>
    <t>Dont TVA à 5,5 %</t>
  </si>
  <si>
    <t>Chiffrage!E91</t>
  </si>
  <si>
    <t>Le montant à défendre.</t>
  </si>
  <si>
    <t>Par les critères techniques des équipements (arrêté du 24/12/2024) et la mention certifiée sur le devis.</t>
  </si>
  <si>
    <t>Part de la famille Technique</t>
  </si>
  <si>
    <t>Chiffrage!E106</t>
  </si>
  <si>
    <t>25 à 35 % en rénovation lourde ; une pompe à chaleur pousse au-dessus.</t>
  </si>
  <si>
    <t>Une famille sous sa bande signale presque toujours un poste oublié ; au-dessus, un choix à justifier.</t>
  </si>
  <si>
    <t xml:space="preserve">  LES DONNÉES À METTRE À JOUR, OÙ ET POURQUOI</t>
  </si>
  <si>
    <t>Deux familles de données. Les barèmes et les repères (taux de TVA, seuils de l'immeuble neuf, fourchettes de prix, bandes par famille, repères au m²) changent avec la loi ou le marché, à date fixe, et se rafraîchissent depuis une source indiquée dans le Référentiel. Les données de projet (surface, niveaux, façades, curseur, quantités et prix forcés, réponses du bloc TVA) sont propres à chaque dossier. L'architecture du classeur ne change pas quand les données changent : seules les cellules violettes bougent.</t>
  </si>
  <si>
    <t>Une seule date commande tout, Référentiel!C109 : chaque mention « Vérifié le » du Référentiel et de Méthode la lit, vous n'avez donc qu'une cellule à corriger. En revanche, les chiffres cités en toutes lettres dans ce guide et dans Méthode (repères au m², fourchettes de curseur, d'aléas et d'honoraires, montants de l'exemple) sont du texte, millésime 2026 : relisez-les à chaque mise à jour du Référentiel, ils ne se recalculent pas.</t>
  </si>
  <si>
    <t>Paramètre</t>
  </si>
  <si>
    <t>Onglet et cellule</t>
  </si>
  <si>
    <t>Ce qu'il pilote</t>
  </si>
  <si>
    <t>Source à consulter, fréquence</t>
  </si>
  <si>
    <t>Taux de TVA (20, 10, 5,5 %)</t>
  </si>
  <si>
    <t>Référentiel!C10:C12</t>
  </si>
  <si>
    <t>Liste des taux par ligne et du taux forcé, TVA du récapitulatif</t>
  </si>
  <si>
    <t>CGI art. 278, 279-0 bis, 278-0 bis A ; chaque loi de finances</t>
  </si>
  <si>
    <t>Seuils de l'immeuble neuf et de l'extension</t>
  </si>
  <si>
    <t>Référentiel!C13:C14</t>
  </si>
  <si>
    <t>Indication des éléments refaits, règle de bascule</t>
  </si>
  <si>
    <t>CGI art. 257 et annexe II art. 245 A ; stable</t>
  </si>
  <si>
    <t>Coefficients de géométrie</t>
  </si>
  <si>
    <t>Référentiel!C19:C21</t>
  </si>
  <si>
    <t>Périmètre, murs de façade, surface de toit</t>
  </si>
  <si>
    <t>Convention CorpusImmo ; à adapter par dossier (plan en L, toit plat)</t>
  </si>
  <si>
    <t>Repères au m² TTC</t>
  </si>
  <si>
    <t>Référentiel!C22:C23</t>
  </si>
  <si>
    <t>Niveau de rénovation affiché</t>
  </si>
  <si>
    <t>Hellowatt, Illico Travaux ; annuelle</t>
  </si>
  <si>
    <t>Repères de saisie (curseur par zone, aléas, honoraires)</t>
  </si>
  <si>
    <t>Référentiel!C27:D32</t>
  </si>
  <si>
    <t>Les ordres de grandeur affichés dans les commentaires du Chiffrage</t>
  </si>
  <si>
    <t>Observatoire ARTEP, maitre-doeuvre.fr, Ootravaux ; annuelle</t>
  </si>
  <si>
    <t>Bandes usuelles par famille</t>
  </si>
  <si>
    <t>Référentiel!C36:D41</t>
  </si>
  <si>
    <t>Verdicts du contrôle par famille</t>
  </si>
  <si>
    <t>Convention CorpusImmo ; à caler sur vos chantiers</t>
  </si>
  <si>
    <t>Fourchettes, TVA et ratios par prestation</t>
  </si>
  <si>
    <t>Référentiel!E70:I100</t>
  </si>
  <si>
    <t>Tout le tableau des lots</t>
  </si>
  <si>
    <t>Grilles 2026 citées ligne à ligne ; chaque janvier, puis date en Référentiel!C109</t>
  </si>
  <si>
    <t>Ancienneté minimale du logement</t>
  </si>
  <si>
    <t>Référentiel!C15</t>
  </si>
  <si>
    <t>La question d'ancienneté du bloc TVA, et la règle des deux ans</t>
  </si>
  <si>
    <t>CGI art. 279-0 bis, 1 ; stable</t>
  </si>
  <si>
    <t>Date de dernière vérification du Référentiel</t>
  </si>
  <si>
    <t>Référentiel!C109</t>
  </si>
  <si>
    <t>Toutes les mentions « Vérifié le », et l'alerte au-delà d'un an</t>
  </si>
  <si>
    <t>La vôtre, le jour où vous relisez les prix ; chaque janvier</t>
  </si>
  <si>
    <t>Le bien, le curseur, les forçages, le bloc TVA</t>
  </si>
  <si>
    <t>Tout le reste</t>
  </si>
  <si>
    <t>Données de projet, propres à chaque dossier</t>
  </si>
  <si>
    <t xml:space="preserve">  TROIS FAÇONS DE S'EN SERVIR</t>
  </si>
  <si>
    <t>Votre situation</t>
  </si>
  <si>
    <t>Vous préparez une offre sur un bien à rénover, sans aucun devis</t>
  </si>
  <si>
    <t>Saisissez le bien et le curseur de votre zone, forcez 0 sur les postes absents, répondez au bloc TVA. Retenez la colonne haute du TTC (F95) pour l'offre, la colonne retenue pour le prévisionnel. Vérifiez D76 avant d'annoncer 5,5 % ou 10 % à qui que ce soit.</t>
  </si>
  <si>
    <t>Les devis arrivent</t>
  </si>
  <si>
    <t>Forcez le prix de chaque poste devisé dans la colonne J (hors taxes, le taux de la ligne fait le reste) et sa quantité si elle diffère. Rapprochez la somme des devis de la ligne « Somme des TTC de ligne » (E96) : les devis ne contiennent ni aléas ni honoraires.</t>
  </si>
  <si>
    <t>Vous arbitrez le programme de travaux pour rester aux taux réduits</t>
  </si>
  <si>
    <t>Jouez sur les six réponses du second œuvre (D68:D73). À cinq Oui, un seul élément de plus fait basculer tout le chantier à 20 % : comparez le TTC des deux programmes, l'écart est le coût fiscal du sixième élément.</t>
  </si>
  <si>
    <t xml:space="preserve">  LES ERREURS QUI FAUSSENT TOUT</t>
  </si>
  <si>
    <t>Le piège</t>
  </si>
  <si>
    <t>Le dégât</t>
  </si>
  <si>
    <t>Saisir une surface de murs en quantité forcée sur la ligne peinture (F50)</t>
  </si>
  <si>
    <t>Le prix est au m² au sol, ratio murs + plafonds de 3 inclus : le poste triple, soit plus de 14 000 € HT en trop sur l'exemple.</t>
  </si>
  <si>
    <t>Mettre 4 façades exposées pour un appartement (D10)</t>
  </si>
  <si>
    <t>Les murs de façade doublent par rapport à un traversant : isolation, doublage et ravalement suivent.</t>
  </si>
  <si>
    <t>Taper 10 au lieu de 10 % dans le taux forcé (D77)</t>
  </si>
  <si>
    <t>La liste le refuse ; un taux collé en texte est arrêté par les contrôles D81 et D82, et la TVA reste vide. Sans ces garde-fous, un 10 vaudrait 1 000 % de TVA.</t>
  </si>
  <si>
    <t>Laisser le bloc TVA sur des réponses par défaut (D62:D73)</t>
  </si>
  <si>
    <t>Répondre Non partout sur une rénovation qui refait tout affiche 5,5 % et 10 % sur un chantier qui est en réalité à 20 % : 12 395 € d'écart sur l'exemple. Le contrôle « À VÉRIFIER » le signale quand le chiffrage contredit les réponses.</t>
  </si>
  <si>
    <t>Laisser la surface vide ou à 0 (D7)</t>
  </si>
  <si>
    <t>Les postes comptés à l'unité (porte, tableau électrique, chauffage, ventilation, cuisine) resteraient à 1 et fabriqueraient un budget fantôme. Ici le récapitulatif reste vide et D24 passe au rouge : le classeur refuse de chiffrer.</t>
  </si>
  <si>
    <t>Renommer un lot dans le Référentiel après déprotection</t>
  </si>
  <si>
    <t>Le contrôle par famille perd ses lignes : H110 affiche « LOT HORS FAMILLE ».</t>
  </si>
  <si>
    <t>Oublier que les fourchettes sont hors Paris intra-muros et hors contraintes de site</t>
  </si>
  <si>
    <t>Étage sans ascenseur, accès difficile, copropriété, immeuble suivi par un architecte des Bâtiments de France : seul le curseur peut les absorber, montez-le.</t>
  </si>
  <si>
    <t>Ce que le classeur ne fait pas, et sur quelles sources reposent ses chiffres : voir l'onglet Méthode.</t>
  </si>
  <si>
    <t>CorpusImmo, millésime 2026. Modèle d'aide à la décision : ne constitue ni un conseil en investissement, ni un conseil fiscal, ni une expertise au sens de la charte de l'expertise en évaluation immobilière. Vérifiez les paramètres avant tout engagement.</t>
  </si>
  <si>
    <t>Chiffrage de travaux par lot</t>
  </si>
  <si>
    <t>Cinq entrées, vingt-huit postes chiffrés en fourchette, chaque quantité et chaque prix restent forçables, et la TVA du chantier est qualifiée.</t>
  </si>
  <si>
    <t>Cellules violettes : à remplir.  Cellules blanches : calculées automatiquement.</t>
  </si>
  <si>
    <t xml:space="preserve">  LE BIEN</t>
  </si>
  <si>
    <t>Surface habitable</t>
  </si>
  <si>
    <t>Le pivot : elle pilote la plupart des quantités. Bornes de saisie : 9 à 5 000 m².</t>
  </si>
  <si>
    <t>Nombre de niveaux</t>
  </si>
  <si>
    <t>Sert à déduire l'emprise au sol : toiture, combles, charpente. Entier de 1 à 6.</t>
  </si>
  <si>
    <t>Hauteur sous plafond</t>
  </si>
  <si>
    <t>Sert aux murs et aux cloisons. Mesurez-la sur place. Bornes de saisie : 2 à 5 m.</t>
  </si>
  <si>
    <t>Façades exposées</t>
  </si>
  <si>
    <t>4 pour une maison, 2 pour un appartement traversant, 1 sinon (mitoyen ou en cœur d'îlot).</t>
  </si>
  <si>
    <t>Part du logement rénovée</t>
  </si>
  <si>
    <t>100 % = rénovation complète. Pilote dépose, électricité, plomberie, sols, peinture, cloisons.</t>
  </si>
  <si>
    <t xml:space="preserve">  LE CHIFFRAGE</t>
  </si>
  <si>
    <t>Positionnement dans la fourchette</t>
  </si>
  <si>
    <t>Provision pour aléas</t>
  </si>
  <si>
    <t>Honoraires de maîtrise d'œuvre</t>
  </si>
  <si>
    <t xml:space="preserve">  CE QUE LA GÉOMÉTRIE EN DÉDUIT</t>
  </si>
  <si>
    <t>Emprise au sol</t>
  </si>
  <si>
    <t>Surface habitable / nombre de niveaux.</t>
  </si>
  <si>
    <t>Périmètre estimé</t>
  </si>
  <si>
    <t>Coefficient du Référentiel × racine de l'emprise. Le périmètre n'est pas proportionnel à la surface.</t>
  </si>
  <si>
    <t>Murs de façade</t>
  </si>
  <si>
    <t>Périmètre × HSP × niveaux × façades exposées / nombre de façades (Référentiel). Pilote isolation, doublage, ravalement.</t>
  </si>
  <si>
    <t>Surface traitée</t>
  </si>
  <si>
    <t>Surface habitable × part rénovée.</t>
  </si>
  <si>
    <t>Surface de toit</t>
  </si>
  <si>
    <t>Emprise × coefficient de pente (Référentiel).</t>
  </si>
  <si>
    <t>Saisies du bien et du chiffrage complètes et dans leurs bornes</t>
  </si>
  <si>
    <t>À CORRIGER : une saisie manque, sort de ses bornes, ou un forçage du tableau est négatif ou en texte. Le récapitulatif reste vide tant que c'est rouge.</t>
  </si>
  <si>
    <t>Référentiel cohérent</t>
  </si>
  <si>
    <t>À CORRIGER : une valeur du Référentiel manque ou sort de ses bornes (prix, ratio, taux hors liste, bas supérieur au haut). Le récapitulatif reste vide.</t>
  </si>
  <si>
    <t xml:space="preserve">  LES LOTS : QUANTITÉ × PRIX UNITAIRE, PRIX PRIS DANS LA FOURCHETTE SELON LE CURSEUR</t>
  </si>
  <si>
    <t>Lot</t>
  </si>
  <si>
    <t>Prestation</t>
  </si>
  <si>
    <t>Unité</t>
  </si>
  <si>
    <t>Qté auto</t>
  </si>
  <si>
    <t>Qté forcée</t>
  </si>
  <si>
    <t>Qté retenue</t>
  </si>
  <si>
    <t>PU bas</t>
  </si>
  <si>
    <t>PU haut</t>
  </si>
  <si>
    <t>PU forcé</t>
  </si>
  <si>
    <t>PU retenu</t>
  </si>
  <si>
    <t>Total HT</t>
  </si>
  <si>
    <t>TVA</t>
  </si>
  <si>
    <t xml:space="preserve">  LA TVA DU CHANTIER : QUALIFICATION</t>
  </si>
  <si>
    <t>Nature du local</t>
  </si>
  <si>
    <t>Habitation</t>
  </si>
  <si>
    <t>Habitation : taux réduits possibles. Local autre (bureau, commerce, entrepôt, local professionnel) : 20 % sur tout le chantier.</t>
  </si>
  <si>
    <t>Oui</t>
  </si>
  <si>
    <t>Non : 20 % sur tout le chantier (CGI art. 279-0 bis).</t>
  </si>
  <si>
    <t>Extension de surface de plancher de plus de 10 % ?</t>
  </si>
  <si>
    <t>Non</t>
  </si>
  <si>
    <t>Oui : 20 % sur tout (surélévation, addition, aménagement de combles créant de la surface).</t>
  </si>
  <si>
    <t>Gros œuvre : majorité des fondations refaite ?</t>
  </si>
  <si>
    <t>Immeuble rendu neuf (CGI art. 257 I-2-2°, ann. II art. 245 A) : 20 % sur tout.</t>
  </si>
  <si>
    <t>Gros œuvre : majorité de la structure (hors fondations) refaite ?</t>
  </si>
  <si>
    <t>Éléments qui déterminent la résistance et la rigidité de l'ouvrage : murs porteurs, planchers porteurs, charpente.</t>
  </si>
  <si>
    <t>Gros œuvre : majorité des façades refaite (hors ravalement) ?</t>
  </si>
  <si>
    <t>Un ravalement ne compte pas ; une reconstruction de façade, oui.</t>
  </si>
  <si>
    <t>Second œuvre : planchers non porteurs refaits à au moins deux tiers ?</t>
  </si>
  <si>
    <t>Chapes, planchers légers, faux planchers. Ce tableau ne les chiffre pas : répondez d'après votre projet.</t>
  </si>
  <si>
    <t>Second œuvre : huisseries extérieures refaites à au moins deux tiers ?</t>
  </si>
  <si>
    <t>Fenêtres, portes-fenêtres, porte d'entrée.</t>
  </si>
  <si>
    <t>Second œuvre : cloisons intérieures refaites à au moins deux tiers ?</t>
  </si>
  <si>
    <t>Cloisons de distribution.</t>
  </si>
  <si>
    <t>Second œuvre : plomberie et sanitaires refaits à au moins deux tiers ?</t>
  </si>
  <si>
    <t>Réseau, appareils sanitaires.</t>
  </si>
  <si>
    <t>Second œuvre : électricité refaite à au moins deux tiers ?</t>
  </si>
  <si>
    <t>Réseau et tableau.</t>
  </si>
  <si>
    <t>Second œuvre : chauffage refait à au moins deux tiers ?</t>
  </si>
  <si>
    <t>Générateur et émetteurs (pour un local d'habitation).</t>
  </si>
  <si>
    <t>Éléments de second œuvre déclarés refaits (sur 6)</t>
  </si>
  <si>
    <t>Les six ensemble rendent l'immeuble neuf. À cinq, un seul élément de plus fait basculer tout le chantier à 20 %.</t>
  </si>
  <si>
    <t>Immeuble rendu à l'état neuf ?</t>
  </si>
  <si>
    <t>Oui dès qu'un critère de gros œuvre est rempli, ou que les six éléments de second œuvre le sont.</t>
  </si>
  <si>
    <t>Taux réduits (5,5 % et 10 %) admis sur ce chantier</t>
  </si>
  <si>
    <t>Rouge : l'opération entière est au taux normal, les taux par ligne sont ignorés.</t>
  </si>
  <si>
    <t>Taux de TVA forcé (facultatif)</t>
  </si>
  <si>
    <t>Vide : chaque ligne garde son taux du Référentiel. Sinon, choisissez 5,5 %, 10 % ou 20 % dans la liste.</t>
  </si>
  <si>
    <t>Taux appliqué à toutes les lignes</t>
  </si>
  <si>
    <t>Vide : taux par ligne. 20 % si l'opération bascule. Sinon le taux forcé.</t>
  </si>
  <si>
    <t>Éléments de second œuvre que ce chiffrage refait (sur 5, indication)</t>
  </si>
  <si>
    <t>Compté sur les lignes actives quand la part rénovée atteint les deux tiers : huisseries, cloisons, plomberie, électricité, chauffage.</t>
  </si>
  <si>
    <t>Bloc TVA entièrement renseigné</t>
  </si>
  <si>
    <t>À CORRIGER : une des douze réponses manque. La TVA et le TTC restent vides tant que c'est rouge.</t>
  </si>
  <si>
    <t>Taux forcé valide</t>
  </si>
  <si>
    <t>À CORRIGER : le taux forcé n'est pas 5,5 %, 10 % ou 20 % (par exemple 10 tapé au lieu de 10 %, ou un taux collé en texte).</t>
  </si>
  <si>
    <t>Taux de chaque ligne dans la liste des trois taux</t>
  </si>
  <si>
    <t>À CORRIGER : un taux hors liste dans le Référentiel (colonne TVA), ou un taux collé en texte dans le taux forcé. Vérifiez le Référentiel.</t>
  </si>
  <si>
    <t>Réponses du bloc TVA cohérentes avec le chiffrage</t>
  </si>
  <si>
    <t>À VÉRIFIER : le chiffrage refait plus d'éléments de second œuvre que vous n'en déclarez. Relisez vos réponses.</t>
  </si>
  <si>
    <t xml:space="preserve">  RÉCAPITULATIF : BAS DE FOURCHETTE, CHIFFRAGE RETENU, HAUT DE FOURCHETTE</t>
  </si>
  <si>
    <t>Montant</t>
  </si>
  <si>
    <t>Bas de fourchette (curseur 0 %)</t>
  </si>
  <si>
    <t>Retenu (curseur saisi)</t>
  </si>
  <si>
    <t>Haut de fourchette (curseur 100 %)</t>
  </si>
  <si>
    <t>Ce qu'il faut lire</t>
  </si>
  <si>
    <t>Le chiffre à comparer à un devis d'entreprise générale (hors aléas, hors honoraires).</t>
  </si>
  <si>
    <t>Appliquée aux lots, avant honoraires et avant TVA.</t>
  </si>
  <si>
    <t>Pourcentage des lots HT. Toujours à 20 % de TVA.</t>
  </si>
  <si>
    <t>Lots, aléas et honoraires.</t>
  </si>
  <si>
    <t>dont TVA à 5,5 %</t>
  </si>
  <si>
    <t>Le montant à défendre par les critères techniques et la mention sur le devis.</t>
  </si>
  <si>
    <t>dont TVA à 10 %</t>
  </si>
  <si>
    <t>dont TVA à 20 %</t>
  </si>
  <si>
    <t>Honoraires compris.</t>
  </si>
  <si>
    <t>Total TVA</t>
  </si>
  <si>
    <t>Somme des trois taux. Vide tant qu'un contrôle du bloc TVA est rouge.</t>
  </si>
  <si>
    <t>TOTAL TOUTES TAXES COMPRISES</t>
  </si>
  <si>
    <t>Somme des TTC de ligne, hors aléas et honoraires</t>
  </si>
  <si>
    <t>À rapprocher de la somme des devis d'entreprises, qui sont TTC et ne contiennent ni aléas ni honoraires.</t>
  </si>
  <si>
    <t>Lots seuls HT au m² habitable</t>
  </si>
  <si>
    <t>Le chiffre que l'on compare à un devis d'entreprise générale.</t>
  </si>
  <si>
    <t>Coût au m² HT, aléas et honoraires compris</t>
  </si>
  <si>
    <t>Pour comparer entre professionnels.</t>
  </si>
  <si>
    <t>Coût au m² TTC, aléas et honoraires compris</t>
  </si>
  <si>
    <t>Pour parler à un particulier. Seuils de lecture dans le Référentiel (lignes 22 et 23).</t>
  </si>
  <si>
    <t>Niveau de rénovation (lecture du coût TTC au m²)</t>
  </si>
  <si>
    <t>Rafraîchissement sous le premier seuil, rénovation jusqu'au second, rénovation lourde ou restructuration au-delà.</t>
  </si>
  <si>
    <t xml:space="preserve">  CONTRÔLE DE COHÉRENCE : PART DE CHAQUE FAMILLE DE LOTS</t>
  </si>
  <si>
    <t>Famille de lots</t>
  </si>
  <si>
    <t>Ce qu'elle regroupe</t>
  </si>
  <si>
    <t>Montant HT</t>
  </si>
  <si>
    <t>Part</t>
  </si>
  <si>
    <t>Bande basse</t>
  </si>
  <si>
    <t>Bande haute</t>
  </si>
  <si>
    <t>Verdict</t>
  </si>
  <si>
    <t>Total contrôlé</t>
  </si>
  <si>
    <t>Rouge : un lot a été renommé dans le Référentiel et ne rentre plus dans sa famille.</t>
  </si>
  <si>
    <t>Un prix, un taux de TVA et un ratio par prestation ; les barèmes et les conventions du classeur. Rien n'est écrit en dur ailleurs.</t>
  </si>
  <si>
    <t>Fourchettes indicatives 2026, France hors Paris intra-muros. Fournitures et pose, hors taxes. Les cellules violettes sont vos prix : confrontez-les à vos trois derniers chantiers.</t>
  </si>
  <si>
    <t>Référentiel cohérent (bornes des barèmes, des prix, des ratios et des taux)</t>
  </si>
  <si>
    <t>Rouge : une cellule violette de cet onglet manque ou sort de ses bornes. Le Chiffrage le reprend et suspend son récapitulatif.</t>
  </si>
  <si>
    <t xml:space="preserve">  BARÈMES RÉGLEMENTAIRES : TVA DES TRAVAUX ET IMMEUBLE RENDU NEUF (DROIT 2026)</t>
  </si>
  <si>
    <t>Valeur</t>
  </si>
  <si>
    <t>Mise à jour</t>
  </si>
  <si>
    <t>Source (organisme, texte, date)</t>
  </si>
  <si>
    <t>Commentaire</t>
  </si>
  <si>
    <t>TVA, taux normal</t>
  </si>
  <si>
    <t>Chaque loi de finances</t>
  </si>
  <si>
    <t>Local de moins de 2 ans, local non affecté à l'habitation, immeuble rendu neuf, extension de plus de 10 %, honoraires (prestation intellectuelle), chaudière fossile.</t>
  </si>
  <si>
    <t>TVA, taux intermédiaire (amélioration d'un logement de plus de 2 ans)</t>
  </si>
  <si>
    <t>Travaux d'amélioration, de transformation, d'aménagement et d'entretien. Taux par défaut du Référentiel.</t>
  </si>
  <si>
    <t>TVA, taux réduit (rénovation énergétique éligible)</t>
  </si>
  <si>
    <t>Loi de finances et arrêtés</t>
  </si>
  <si>
    <t>Isolation, fenêtres et portes extérieures, pompes à chaleur (air/air depuis le 18/07/2026), VMC double flux ou hygroréglable. Chaudières fossiles exclues depuis le 01/03/2025.</t>
  </si>
  <si>
    <t>Immeuble rendu neuf : proportion de chaque élément de second œuvre</t>
  </si>
  <si>
    <t>Stable</t>
  </si>
  <si>
    <t>Les six éléments (planchers non porteurs, huisseries extérieures, cloisons, plomberie et sanitaires, électricité, chauffage) refaits chacun à au moins cette proportion rendent l'immeuble neuf : 20 % sur tout.</t>
  </si>
  <si>
    <t>Extension de surface de plancher qui exclut les taux réduits</t>
  </si>
  <si>
    <t>Au-delà de cette augmentation de surface, l'ensemble des travaux est au taux normal.</t>
  </si>
  <si>
    <t>Ancienneté minimale du logement pour les taux réduits</t>
  </si>
  <si>
    <t>Achevé depuis plus de deux ans au début des travaux. Sinon 20 % sur tout le chantier.</t>
  </si>
  <si>
    <t xml:space="preserve">  REPÈRES DE MARCHÉ ET CONVENTIONS DE CHIFFRAGE</t>
  </si>
  <si>
    <t>Coefficient de périmètre (périmètre = coefficient × racine de l'emprise)</t>
  </si>
  <si>
    <t>Par dossier</t>
  </si>
  <si>
    <t>Convention CorpusImmo pour un plan allongé. Plan en L ou très étroit : montez à 4,5 ou forcez les murs.</t>
  </si>
  <si>
    <t>Nombre de façades d'un bâtiment (diviseur des façades exposées)</t>
  </si>
  <si>
    <t>Jamais</t>
  </si>
  <si>
    <t>Murs de façade = périmètre × hauteur × niveaux × façades exposées / ce nombre.</t>
  </si>
  <si>
    <t>Coefficient de toiture (surface de toit = emprise × coefficient)</t>
  </si>
  <si>
    <t>1,20 pour une pente de 30 à 35°. Toit plat : 1,00.</t>
  </si>
  <si>
    <t>Coût TTC au m² : au-dessus, on ne rafraîchit plus, on rénove</t>
  </si>
  <si>
    <t>Annuelle</t>
  </si>
  <si>
    <t>Aléas et honoraires compris, comme le chiffrage.</t>
  </si>
  <si>
    <t>Coût TTC au m² : au-dessus, rénovation lourde ou restructuration</t>
  </si>
  <si>
    <t>Au-delà, un maître d'œuvre s'impose.</t>
  </si>
  <si>
    <t xml:space="preserve">  REPÈRES DE SAISIE DU CHIFFRAGE (BAS / HAUT) : CURSEUR PAR ZONE, ALÉAS, HONORAIRES</t>
  </si>
  <si>
    <t>Repère</t>
  </si>
  <si>
    <t>Bas</t>
  </si>
  <si>
    <t>Haut</t>
  </si>
  <si>
    <t>Curseur de fourchette usuel, province</t>
  </si>
  <si>
    <t>Tension du marché et type d'entreprise : artisans en direct en bas, entreprise générale en haut.</t>
  </si>
  <si>
    <t>Curseur de fourchette usuel, Île-de-France</t>
  </si>
  <si>
    <t>Curseur de fourchette usuel, Paris intra-muros</t>
  </si>
  <si>
    <t>Les fourchettes du Référentiel sont hors Paris intra-muros : c'est le curseur qui absorbe le surcoût.</t>
  </si>
  <si>
    <t>Provision pour aléas, rénovation dans l'ancien</t>
  </si>
  <si>
    <t>En dessous, vous pariez. Jusqu'à 20 % avec inconnues structurelles.</t>
  </si>
  <si>
    <t>Honoraires de maîtrise d'œuvre d'exécution</t>
  </si>
  <si>
    <t>Pourcentage des travaux HT, TVA 20 %.</t>
  </si>
  <si>
    <t>Honoraires d'architecte en mission complète, rénovation</t>
  </si>
  <si>
    <t xml:space="preserve">  FAMILLES DE LOTS ET BANDES USUELLES (PART DU SOUS-TOTAL HT)</t>
  </si>
  <si>
    <t>Famille</t>
  </si>
  <si>
    <t>Part basse</t>
  </si>
  <si>
    <t>Part haute</t>
  </si>
  <si>
    <t>Source</t>
  </si>
  <si>
    <t>Dépose et gros œuvre</t>
  </si>
  <si>
    <t>Dépose et démolition, gros œuvre</t>
  </si>
  <si>
    <t>Enveloppe</t>
  </si>
  <si>
    <t>Idem.</t>
  </si>
  <si>
    <t>Toiture, menuiseries extérieures, isolation, extérieurs</t>
  </si>
  <si>
    <t>Technique</t>
  </si>
  <si>
    <t>Électricité, plomberie, chauffage, ventilation</t>
  </si>
  <si>
    <t>Cloisons et finitions</t>
  </si>
  <si>
    <t>Plâtrerie, sols, peinture, menuiseries intérieures</t>
  </si>
  <si>
    <t>Cuisine et salle de bains</t>
  </si>
  <si>
    <t>Cuisine équipée, salle de bains, WC</t>
  </si>
  <si>
    <t>Postes libres</t>
  </si>
  <si>
    <t>Lignes ajoutées : désamiantage, plomb, ascenseur, escalier, diagnostics</t>
  </si>
  <si>
    <t xml:space="preserve">  LOTS ET FAMILLES : LIBELLÉS FIXES, TESTÉS PAR LES FORMULES DU CHIFFRAGE</t>
  </si>
  <si>
    <t>Dépose et démolition</t>
  </si>
  <si>
    <t>Renommer un lot ici sans le renommer dans le tableau des fourchettes fait sortir ses lignes du contrôle par famille (le Chiffrage le signale).</t>
  </si>
  <si>
    <t>Gros œuvre</t>
  </si>
  <si>
    <t>Charpente et toiture</t>
  </si>
  <si>
    <t>Menuiseries extérieures</t>
  </si>
  <si>
    <t>Isolation</t>
  </si>
  <si>
    <t>Extérieurs</t>
  </si>
  <si>
    <t>Électricité</t>
  </si>
  <si>
    <t>Plomberie et chauffage</t>
  </si>
  <si>
    <t>Ventilation</t>
  </si>
  <si>
    <t>Cloisons et plâtrerie</t>
  </si>
  <si>
    <t>Revêtements de sol</t>
  </si>
  <si>
    <t>Peinture et finitions</t>
  </si>
  <si>
    <t>Menuiseries intérieures</t>
  </si>
  <si>
    <t>Cuisine</t>
  </si>
  <si>
    <t>Salle de bains</t>
  </si>
  <si>
    <t>Autre</t>
  </si>
  <si>
    <t xml:space="preserve">  LISTES DÉROULANTES DU BLOC TVA DU CHIFFRAGE</t>
  </si>
  <si>
    <t>Réponse (oui / non)</t>
  </si>
  <si>
    <t>Local autre</t>
  </si>
  <si>
    <t>Libellés fixes, testés par les formules du Chiffrage.</t>
  </si>
  <si>
    <t xml:space="preserve">  FOURCHETTES DE PRIX PAR PRESTATION, MILLÉSIME 2026</t>
  </si>
  <si>
    <t>Bas de fourchette</t>
  </si>
  <si>
    <t>Haut de fourchette</t>
  </si>
  <si>
    <t>Base du ratio</t>
  </si>
  <si>
    <t>Ratio</t>
  </si>
  <si>
    <t>Source et date de la fourchette</t>
  </si>
  <si>
    <t>Ce que dit le ratio</t>
  </si>
  <si>
    <t>Dépose de cloisons, sols et sanitaires</t>
  </si>
  <si>
    <t>m² au sol</t>
  </si>
  <si>
    <t>Toute la surface rénovée est déposée en rénovation lourde.</t>
  </si>
  <si>
    <t>Évacuation en benne</t>
  </si>
  <si>
    <t>forfait</t>
  </si>
  <si>
    <t>Surface habitable, arrondi au supérieur</t>
  </si>
  <si>
    <t>Une rotation par tranche de 120 m² entamée.</t>
  </si>
  <si>
    <t>Ouverture dans un mur porteur avec IPN</t>
  </si>
  <si>
    <t>unité</t>
  </si>
  <si>
    <t>Sans lien avec la surface</t>
  </si>
  <si>
    <t>À compter sur plan. Quantité forcée dans le scénario livré.</t>
  </si>
  <si>
    <t>Reprise de maçonnerie et rebouchage</t>
  </si>
  <si>
    <t>m²</t>
  </si>
  <si>
    <t>Dépend des ouvertures reprises, pas de la surface. Quantité forcée dans le scénario livré.</t>
  </si>
  <si>
    <t>Réfection de couverture en tuiles</t>
  </si>
  <si>
    <t>m² de toit</t>
  </si>
  <si>
    <t>Désactivée par défaut (appartement) : effacez le 0 en quantité forcée pour l'activer.</t>
  </si>
  <si>
    <t>Traitement de charpente</t>
  </si>
  <si>
    <t>Désactivé par défaut. Effacez le 0 pour l'activer.</t>
  </si>
  <si>
    <t>Fenêtre PVC double vitrage posée</t>
  </si>
  <si>
    <t>Une menuiserie pour 13 m² habitables. À recompter sur plan.</t>
  </si>
  <si>
    <t>Porte d'entrée</t>
  </si>
  <si>
    <t>Logement</t>
  </si>
  <si>
    <t>Une par logement ; deux sur une maison avec accès de service.</t>
  </si>
  <si>
    <t>Isolation des murs par l'intérieur</t>
  </si>
  <si>
    <t>m² de mur</t>
  </si>
  <si>
    <t>Périmètre × hauteur sous plafond × niveaux × façades exposées / 4.</t>
  </si>
  <si>
    <t>Isolation des combles perdus</t>
  </si>
  <si>
    <t>Désactivée par défaut. Effacez le 0 pour l'activer.</t>
  </si>
  <si>
    <t>Cloison placo sur ossature</t>
  </si>
  <si>
    <t>Surface traitée × hauteur sous plafond</t>
  </si>
  <si>
    <t>0,20 ml/m² = redistribution légère. 0,40 = redistribution lourde.</t>
  </si>
  <si>
    <t>Doublage et enduit de finition</t>
  </si>
  <si>
    <t>Suit l'isolation intérieure. Travail induit : peut suivre son 5,5 % (vérifiez, puis changez le taux ici).</t>
  </si>
  <si>
    <t>Électricité complète, NF C 15-100</t>
  </si>
  <si>
    <t>Refaite à neuf sur toute la surface rénovée.</t>
  </si>
  <si>
    <t>Tableau électrique neuf</t>
  </si>
  <si>
    <t>Un par logement.</t>
  </si>
  <si>
    <t>Réseau plomberie complet</t>
  </si>
  <si>
    <t>Refait à neuf sur toute la surface rénovée.</t>
  </si>
  <si>
    <t>Pompe à chaleur air/eau ou air/air</t>
  </si>
  <si>
    <t>Fourchette de 1 à 4 : choix d'équipement, pas de marché. Forcez le prix.</t>
  </si>
  <si>
    <t>Chaudière gaz ou fioul posée</t>
  </si>
  <si>
    <t>Désactivée par défaut : l'exemple est équipé d'une pompe à chaleur. Effacez le 0 pour l'activer.</t>
  </si>
  <si>
    <t>Radiateurs posés</t>
  </si>
  <si>
    <t>Un émetteur pour 16 m².</t>
  </si>
  <si>
    <t>VMC hygroréglable ou double flux</t>
  </si>
  <si>
    <t>logement</t>
  </si>
  <si>
    <t>Hygro B en bas de fourchette, double flux en haut. Forcez le prix. Simple flux autoréglable : 10 %.</t>
  </si>
  <si>
    <t>Parquet stratifié ou contrecollé posé</t>
  </si>
  <si>
    <t>70 % de la surface traitée. Parquet + carrelage doivent faire 100 %.</t>
  </si>
  <si>
    <t>Carrelage posé</t>
  </si>
  <si>
    <t>30 % de la surface traitée : pièces humides et cuisine.</t>
  </si>
  <si>
    <t>Peinture murs et plafonds</t>
  </si>
  <si>
    <t>PRIX AU M² AU SOL : il intègre un ratio murs + plafonds de 3. Ne saisissez jamais une surface de murs ici.</t>
  </si>
  <si>
    <t>Bloc-porte posé</t>
  </si>
  <si>
    <t>Un pour 16 m², ou nombre de pièces + 1.</t>
  </si>
  <si>
    <t>Cuisine équipée posée</t>
  </si>
  <si>
    <t>TVA 10 % sur la pose, 20 % sur l'électroménager : arbitrez selon votre devis.</t>
  </si>
  <si>
    <t>Salle de bains complète</t>
  </si>
  <si>
    <t>Surface habitable, au moins 1</t>
  </si>
  <si>
    <t>Une pour 70 m², au moins une.</t>
  </si>
  <si>
    <t>WC suspendu posé</t>
  </si>
  <si>
    <t>Un pour 60 m², au moins un.</t>
  </si>
  <si>
    <t>Ravalement de façade</t>
  </si>
  <si>
    <t>m² de façade</t>
  </si>
  <si>
    <t>Reprise de VRD et abords</t>
  </si>
  <si>
    <t>À relever sur plan de masse.</t>
  </si>
  <si>
    <t>Poste libre 1 (à compléter)</t>
  </si>
  <si>
    <t>Ligne libre : désamiantage, plomb, ascenseur, escalier, diagnostics, dommages-ouvrage. Le Chiffrage la reprend.</t>
  </si>
  <si>
    <t>Poste libre 2 (à compléter)</t>
  </si>
  <si>
    <t>Ligne libre.</t>
  </si>
  <si>
    <t>Poste libre 3 (à compléter)</t>
  </si>
  <si>
    <t>Deux colonnes gouvernent tout le chiffrage. La fourchette de prix dit combien coûte une prestation ; le ratio dit combien il y en a.</t>
  </si>
  <si>
    <t>Les ratios géométriques (emprise, périmètre, murs, toit) sont exacts et n'ont pas à être discutés. Les ratios de comptage (une fenêtre pour 13 m², un radiateur pour 16 m²,</t>
  </si>
  <si>
    <t>un bloc-porte pour 16 m², une salle de bains pour 70 m²) sont des conventions de chiffrage : ils cadrent un budget avant de compter sur plan, ils ne remplacent pas le comptage.</t>
  </si>
  <si>
    <t>Les fourchettes sont larges parce que le marché l'est : un artisan en direct en zone détendue et une entreprise générale en zone tendue varient du simple au triple sur la même prestation.</t>
  </si>
  <si>
    <t>Confrontez ces deux colonnes à vos trois derniers chantiers et corrigez-les : ce sont VOS prix et VOS ratios qui comptent. Tout le reste du classeur suivra.</t>
  </si>
  <si>
    <t>Dernière vérification du référentiel</t>
  </si>
  <si>
    <t>Aucun de ces taux n'est recopié dans une formule : toutes pointent ici.</t>
  </si>
  <si>
    <t>Méthode et limites</t>
  </si>
  <si>
    <t>Comment lire ce chiffrage, ce qu'il ne dit pas, et sur quelles sources reposent ses chiffres.</t>
  </si>
  <si>
    <t xml:space="preserve">  CONVENTIONS RETENUES, ET CE QU'ELLES COÛTENT</t>
  </si>
  <si>
    <t>Les cinq entrées</t>
  </si>
  <si>
    <t>Surface habitable, nombre de niveaux, hauteur sous plafond, façades exposées, part rénovée. Elles suffisent à remplir les vingt-huit postes. Tout le reste est déduit ou forçable. Un bloc de douze réponses oui / non qualifie ensuite la TVA du chantier.</t>
  </si>
  <si>
    <t>Quantité auto</t>
  </si>
  <si>
    <t>Base × ratio, arrondie à l'unité pour que le chiffre affiché soit exactement celui qui est multiplié. La base et le ratio sont lisibles ligne à ligne dans le Référentiel.</t>
  </si>
  <si>
    <t>Quantité et prix forcés</t>
  </si>
  <si>
    <t>Une valeur saisie dans une colonne violette l'emporte toujours sur le calcul, sans le détruire : effacez-la et l'automatisme revient. C'est la colonne à remplir à mesure que les devis arrivent. Saisir 0 en quantité forcée désactive le poste.</t>
  </si>
  <si>
    <t>Géométrie</t>
  </si>
  <si>
    <t>Emprise = surface / niveaux. Périmètre = coefficient × racine de l'emprise (4,2 dans le Référentiel : 4,0 pour un carré, 4,24 pour un rectangle 2:1) : il n'est pas proportionnel à la surface, un coefficient linéaire se trompe de 30 % dès 160 m². Murs de façade = périmètre × hauteur × niveaux × façades exposées / 4 : c'est le paramètre façades qui distingue un appartement d'une maison. Toit = emprise × coefficient de pente (1,20 pour 30 à 35°). Les trois coefficients (périmètre, nombre de façades, pente) sont des cellules du Référentiel : ce ne sont plus des constantes écrites dans les formules, vous pouvez les changer.</t>
  </si>
  <si>
    <t>Prix retenu</t>
  </si>
  <si>
    <t>Prix bas + (prix haut − prix bas) × curseur. Le curseur unique représente la tension du marché et le type d'entreprise : 0 à 30 % artisans en direct en zone détendue, 40 à 60 % cas courant, 70 à 100 % entreprise générale, zone tendue, délais courts ou copropriété contraignante. Le curseur est borné de 0 à 100 % par validation. Il absorbe aussi la zone : Île-de-France + 15 à 30 % sur la province, Paris intra-muros + 20 à 35 % (Observatoire ARTEP, Erema Bat 2026), soit un curseur de 60 à 80 %, pas une autre grille.</t>
  </si>
  <si>
    <t>Fourchette basse et haute</t>
  </si>
  <si>
    <t>Le récapitulatif affiche trois colonnes : le bas de fourchette (tous les prix au curseur 0 %), le chiffrage retenu (curseur saisi) et le haut (curseur 100 %), avec les mêmes quantités et les mêmes forçages. Un prix forcé vaut dans les trois colonnes : c'est un devis, il n'a plus de fourchette. La fourchette est donc celle des postes encore non devisés.</t>
  </si>
  <si>
    <t>Quand forcer un prix</t>
  </si>
  <si>
    <t>Quatre postes ont une fourchette de 1 à 4 parce qu'ils recouvrent un choix d'équipement et non une tension de marché : pompe à chaleur ou chaudière, cuisine, salle de bains, VMC. Ils pèsent environ un tiers du budget. Le curseur ne sait pas arbitrer à votre place : forcez leur prix.</t>
  </si>
  <si>
    <t>Appliquée aux lots, avant honoraires et avant TVA. Ce n'est pas une marge de confort : en rénovation ancienne, la découverte à l'ouverture des murs est la première cause de dérapage. En dessous de 10 %, vous pariez.</t>
  </si>
  <si>
    <t>Honoraires</t>
  </si>
  <si>
    <t>Pourcentage des travaux hors taxes. Les fourchettes usuelles sont dans le Référentiel, bloc Repères de saisie : maîtrise d'œuvre d'exécution, et architecte en mission complète. Le commentaire de la cellule des honoraires les affiche. Ils restent à 20 % de TVA : une prestation intellectuelle ne bénéficie pas du taux réduit, même quand les travaux qu'elle pilote en bénéficient.</t>
  </si>
  <si>
    <t>TVA par ligne</t>
  </si>
  <si>
    <t>Chaque prestation porte son taux dans le Référentiel, choisi dans une liste de trois : 5,5 % sur la rénovation énergétique éligible selon l'arrêté du 24 décembre 2024 (isolation, fenêtres et portes extérieures, pompes à chaleur, y compris air/air depuis le 18 juillet 2026, VMC double flux ou hygroréglable), 10 % sur l'amélioration d'un logement achevé depuis plus de deux ans, 20 % sinon. Une chaudière gaz ou fioul est à 20 % depuis le 1er mars 2025, même à très haute performance. Une VMC simple flux autoréglable est à 10 %. Les travaux induits par une opération énergétique peuvent suivre son taux (le doublage et la peinture qui suivent une isolation) : le classeur ne l'applique pas seul, changez le taux de la ligne dans le Référentiel après vérification. Le taux forcé du Chiffrage, choisi dans la même liste, remplace tous les taux de ligne.</t>
  </si>
  <si>
    <t>Immeuble rendu à l'état neuf</t>
  </si>
  <si>
    <t>Le bloc de qualification du Chiffrage applique la règle de bascule au taux normal : local autre que d'habitation, logement de moins de deux ans au début des travaux, augmentation de la surface de plancher de plus de 10 %, ou immeuble rendu neuf. Un immeuble est rendu neuf (CGI art. 257, I-2-2° et annexe II art. 245 A) quand les travaux refont la majorité des fondations, ou la majorité des éléments hors fondations qui déterminent la résistance et la rigidité de l'ouvrage, ou la majorité de la consistance des façades hors ravalement, ou les six éléments de second œuvre chacun à au moins deux tiers : planchers non porteurs, huisseries extérieures, cloisons intérieures, installations sanitaires et plomberie, installations électriques, chauffage. Dès qu'un critère est rempli, la cellule « Taux réduits admis » passe au rouge, le taux appliqué à toutes les lignes devient 20 % et le récapitulatif suit. Le classeur compte aussi, à titre indicatif, les éléments de second œuvre que le chiffrage lui-même refait (part rénovée d'au moins deux tiers, lignes actives) et signale « À VÉRIFIER » si vous en déclarez moins. C'est le premier risque fiscal d'une rénovation lourde de marchand de biens : il touche aussi le régime de TVA de la revente, que ce classeur ne traite pas.</t>
  </si>
  <si>
    <t>Mention sur le devis</t>
  </si>
  <si>
    <t>L'attestation écrite du client pour les taux réduits est supprimée depuis février 2025 (LF 2025, art. 41). Le client certifie directement sur le devis ou la facture que les conditions sont remplies (nature du local, ancienneté, travaux n'aboutissant pas à un immeuble neuf), et conserve le document jusqu'au 31 décembre de la cinquième année. Le prestataire est déchargé si la mention est inexacte du fait du client.</t>
  </si>
  <si>
    <t>Chaque famille de lots est rapportée au sous-total et comparée à sa bande usuelle. Une famille sous sa bande signale presque toujours un poste oublié plutôt qu'une bonne affaire. Une famille au-dessus n'est pas une erreur : c'est un choix à pouvoir justifier devant un client ou un banquier. Les bandes usuelles sont une convention CorpusImmo, écrites dans le Référentiel et modifiables ; elles décrivent une rénovation lourde de logement ancien.</t>
  </si>
  <si>
    <t>Coût au m²</t>
  </si>
  <si>
    <t>Trois lignes : les lots seuls HT (le chiffre que l'on compare à un devis d'entreprise générale, sans aléas ni honoraires), le coût HT complet (pour comparer entre professionnels) et le coût TTC complet (pour parler à un particulier). Le niveau de rénovation se lit sur le TTC : rafraîchissement sous 750 €/m², rénovation jusqu'à 1 500 €/m², rénovation lourde ou restructuration au-delà (seuils dans le Référentiel). La somme des TTC de ligne, sans aléas ni honoraires, sert à rapprocher les devis des entreprises.</t>
  </si>
  <si>
    <t>Contrôles OK / KO</t>
  </si>
  <si>
    <t>Sept contrôles verrouillent l'affichage : saisies du bien et du chiffrage complètes et dans leurs bornes, Référentiel cohérent (ces deux-là vident le récapitulatif entier), bloc TVA renseigné, taux forcé valide, taux de chaque ligne dans la liste (ces trois-là vident la TVA et le TTC), cohérence des réponses avec le chiffrage (simple avertissement), et « Tout est classé » sous les familles. Chacun rejoue les bornes de sa validation de données, parce qu'une valeur collée ou héritée de l'exemple ne passe pas par la validation. Le classeur préfère une cellule vide et un contrôle rouge à un chiffre faux.</t>
  </si>
  <si>
    <t>Taux et formats</t>
  </si>
  <si>
    <t>Tous les taux sont des fractions affichées en pourcentage : tapez 12 dans la cellule des aléas, elle affiche 12,0 % et contient 0,12. Aucune formule ne divise par 100. Les quantités sont arrondies à l'unité, les montants sont en euros hors taxes puis toutes taxes comprises, la date de vérification du Référentiel est une vraie date.</t>
  </si>
  <si>
    <t xml:space="preserve">  CE QUE CE MODÈLE NE FAIT PAS</t>
  </si>
  <si>
    <t>•  Il ne remplace pas un devis. Il sert à décider s'il vaut la peine d'en demander trois.</t>
  </si>
  <si>
    <t>•  Les ratios de comptage cadrent, ils ne comptent pas : au-delà de l'avant-projet, relevez sur plan.</t>
  </si>
  <si>
    <t>•  Il suppose un logement de forme compacte. Sur un plan très développé ou très étroit, forcez les surfaces de murs.</t>
  </si>
  <si>
    <t>•  Il ignore les contraintes de site : étage sans ascenseur, accès difficile, copropriété, ABF.</t>
  </si>
  <si>
    <t>•  Il ne chiffre ni le désamiantage, ni le plomb, ni les fondations, ni les diagnostics et études (amiante, plomb, structure, DPE projeté), ni l'assurance dommages-ouvrage, obligatoire dès qu'il y a gros œuvre. Trois lignes libres sont prévues pour eux, à renseigner dans le Référentiel.</t>
  </si>
  <si>
    <t>•  Il n'intègre aucune aide (MaPrimeRénov', CEE, éco-PTZ) : leurs barèmes changent trop vite pour être figés ici.</t>
  </si>
  <si>
    <t>•  Il ne gère ni le phasage, ni les délais, ni le coût de portage.</t>
  </si>
  <si>
    <t>•  Il n'applique pas de lui-même le taux des travaux induits (doublage, peinture après isolation) : c'est à vous de changer le taux de la ligne.</t>
  </si>
  <si>
    <t>•  Il ne pré-positionne pas le curseur selon la zone (province, métropole, Île-de-France, Paris) : le commentaire du curseur donne les repères.</t>
  </si>
  <si>
    <t>•  L'éligibilité au taux réduit relève de la mention certifiée par le client sur le devis ou la facture (attestation supprimée depuis février 2025), pas de ce tableau : le bloc TVA aide à qualifier, il ne certifie rien.</t>
  </si>
  <si>
    <t>•  Il ne traite pas la TVA de la revente (TVA sur marge, régime du marchand de biens, immeuble neuf à la revente) ni les droits d'enregistrement.</t>
  </si>
  <si>
    <t xml:space="preserve">  SOURCES</t>
  </si>
  <si>
    <t>Attestation remplacée par la mention sur devis</t>
  </si>
  <si>
    <t>Chaudières fossiles au taux normal</t>
  </si>
  <si>
    <t>Liste des équipements éligibles au 5,5 %</t>
  </si>
  <si>
    <t>Immeuble rendu neuf</t>
  </si>
  <si>
    <t>Fourchettes de prix</t>
  </si>
  <si>
    <t>Aléas et honoraires</t>
  </si>
  <si>
    <t>Surcoût Île-de-France et Paris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</si>
</sst>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166" formatCode="0.0000"/>
    <numFmt numFmtId="172" formatCode="#,##0&quot; m²&quot;"/>
    <numFmt numFmtId="173" formatCode="0.00&quot; m&quot;"/>
    <numFmt numFmtId="174" formatCode="0.0%"/>
    <numFmt numFmtId="175" formatCode="0.0&quot; m&quot;"/>
    <numFmt numFmtId="176" formatCode="#,##0&quot; €&quot;"/>
    <numFmt numFmtId="177" formatCode="#,##0&quot; €/m²&quot;"/>
    <numFmt numFmtId="178" formatCode="0&quot; ans&quot;"/>
    <numFmt numFmtId="180" formatCode="dd/mm/yyyy;@"/>
  </numFmts>
  <fonts count="11" x14ac:knownFonts="1">
    <font>
      <sz val="11"/>
      <color theme="1"/>
      <name val="Calibri"/>
      <family val="2"/>
      <scheme val="minor"/>
    </font>
    <font>
      <b/>
      <sz val="10"/>
      <color rgb="FFFFFFFF"/>
      <name val="Calibri"/>
    </font>
    <font>
      <b/>
      <sz val="16"/>
      <color rgb="FF2F2650"/>
      <name val="Calibri"/>
    </font>
    <font>
      <sz val="10"/>
      <color rgb="FF6B7280"/>
      <name val="Calibri"/>
    </font>
    <font>
      <sz val="9"/>
      <color rgb="FF6B7280"/>
      <name val="Calibri"/>
    </font>
    <font>
      <sz val="10"/>
      <color rgb="FF1F2937"/>
      <name val="Calibri"/>
    </font>
    <font>
      <sz val="10"/>
      <color rgb="FF2F2650"/>
      <name val="Calibri"/>
    </font>
    <font>
      <b/>
      <sz val="10"/>
      <color rgb="FF2F2650"/>
      <name val="Calibri"/>
    </font>
    <font>
      <b/>
      <sz val="14"/>
      <color rgb="FF2F2650"/>
      <name val="Calibri"/>
    </font>
    <font>
      <i/>
      <sz val="8"/>
      <color rgb="FF6B7280"/>
      <name val="Calibri"/>
    </font>
    <font>
      <b/>
      <sz val="12"/>
      <color rgb="FF2F2650"/>
      <name val="Calibri"/>
    </font>
  </fonts>
  <fills count="6">
    <fill>
      <patternFill patternType="none"/>
    </fill>
    <fill>
      <patternFill patternType="gray125"/>
    </fill>
    <fill>
      <patternFill patternType="solid">
        <fgColor rgb="FF4B3D7C"/>
      </patternFill>
    </fill>
    <fill>
      <patternFill patternType="solid">
        <fgColor rgb="FFF1EEF8"/>
      </patternFill>
    </fill>
    <fill>
      <patternFill patternType="solid">
        <fgColor rgb="FFFFFFFF"/>
      </patternFill>
    </fill>
    <fill>
      <patternFill patternType="solid">
        <fgColor rgb="FFF8F6FC"/>
      </patternFill>
    </fill>
  </fills>
  <borders count="4">
    <border>
      <left/>
      <right/>
      <top/>
      <bottom/>
      <diagonal/>
    </border>
    <border>
      <left style="thin">
        <color rgb="FFD1D5DB"/>
      </left>
      <right style="thin">
        <color rgb="FFD1D5DB"/>
      </right>
      <top style="thin">
        <color rgb="FFD1D5DB"/>
      </top>
      <bottom style="thin">
        <color rgb="FFD1D5DB"/>
      </bottom>
      <diagonal/>
    </border>
    <border>
      <left/>
      <right/>
      <top/>
      <bottom style="thin">
        <color rgb="FFD1D5DB"/>
      </bottom>
      <diagonal/>
    </border>
    <border>
      <left/>
      <right/>
      <top/>
      <bottom style="thin">
        <color rgb="FFD1D5DB"/>
      </bottom>
      <diagonal/>
    </border>
  </borders>
  <cellStyleXfs count="1">
    <xf numFmtId="0" fontId="0" fillId="0" borderId="0"/>
  </cellStyleXfs>
  <cellXfs count="62">
    <xf numFmtId="0" fontId="0" fillId="0" borderId="0" xfId="0"/>
    <xf numFmtId="0" fontId="1" fillId="2" borderId="0" xfId="0" applyFont="1" applyFill="1" applyAlignment="1">
      <alignment horizontal="left" vertical="center"/>
    </xf>
    <xf numFmtId="0" fontId="2" fillId="0" borderId="0" xfId="0" applyFont="1" applyAlignment="1">
      <alignment horizontal="left" vertical="center"/>
    </xf>
    <xf numFmtId="0" fontId="3" fillId="0" borderId="0" xfId="0" applyFont="1" applyAlignment="1">
      <alignment horizontal="left" vertical="center"/>
    </xf>
    <xf numFmtId="0" fontId="5" fillId="0" borderId="0" xfId="0" applyFont="1" applyAlignment="1">
      <alignment horizontal="left" vertical="top" wrapText="1"/>
    </xf>
    <xf numFmtId="0" fontId="1" fillId="2" borderId="0" xfId="0" applyFont="1" applyFill="1" applyAlignment="1">
      <alignment horizontal="left" vertical="center" wrapText="1"/>
    </xf>
    <xf numFmtId="0" fontId="7" fillId="0" borderId="2" xfId="0" applyFont="1" applyBorder="1" applyAlignment="1">
      <alignment horizontal="left" vertical="top" wrapText="1"/>
    </xf>
    <xf numFmtId="0" fontId="5" fillId="0" borderId="2" xfId="0" applyFont="1" applyBorder="1" applyAlignment="1">
      <alignment horizontal="left" vertical="top" wrapText="1"/>
    </xf>
    <xf numFmtId="0" fontId="7" fillId="0" borderId="0" xfId="0" applyFont="1" applyAlignment="1">
      <alignment horizontal="left" vertical="top" wrapText="1"/>
    </xf>
    <xf numFmtId="0" fontId="4" fillId="0" borderId="0" xfId="0" applyFont="1" applyAlignment="1">
      <alignment horizontal="left" vertical="center"/>
    </xf>
    <xf numFmtId="0" fontId="5" fillId="0" borderId="0" xfId="0" applyFont="1" applyAlignment="1">
      <alignment horizontal="left" vertical="center"/>
    </xf>
    <xf numFmtId="172" fontId="6" fillId="3" borderId="1" xfId="0" applyNumberFormat="1" applyFont="1" applyFill="1" applyBorder="1" applyAlignment="1" applyProtection="1">
      <alignment horizontal="right" vertical="center"/>
      <protection locked="0"/>
    </xf>
    <xf numFmtId="3" fontId="6" fillId="3" borderId="1" xfId="0" applyNumberFormat="1" applyFont="1" applyFill="1" applyBorder="1" applyAlignment="1" applyProtection="1">
      <alignment horizontal="right" vertical="center"/>
      <protection locked="0"/>
    </xf>
    <xf numFmtId="173" fontId="6" fillId="3" borderId="1" xfId="0" applyNumberFormat="1" applyFont="1" applyFill="1" applyBorder="1" applyAlignment="1" applyProtection="1">
      <alignment horizontal="right" vertical="center"/>
      <protection locked="0"/>
    </xf>
    <xf numFmtId="9" fontId="6" fillId="3" borderId="1" xfId="0" applyNumberFormat="1" applyFont="1" applyFill="1" applyBorder="1" applyAlignment="1" applyProtection="1">
      <alignment horizontal="right" vertical="center"/>
      <protection locked="0"/>
    </xf>
    <xf numFmtId="174" fontId="6" fillId="3" borderId="1" xfId="0" applyNumberFormat="1" applyFont="1" applyFill="1" applyBorder="1" applyAlignment="1" applyProtection="1">
      <alignment horizontal="right" vertical="center"/>
      <protection locked="0"/>
    </xf>
    <xf numFmtId="172" fontId="5" fillId="4" borderId="0" xfId="0" applyNumberFormat="1" applyFont="1" applyFill="1" applyAlignment="1">
      <alignment horizontal="right" vertical="center"/>
    </xf>
    <xf numFmtId="175" fontId="5" fillId="4" borderId="0" xfId="0" applyNumberFormat="1" applyFont="1" applyFill="1" applyAlignment="1">
      <alignment horizontal="right" vertical="center"/>
    </xf>
    <xf numFmtId="0" fontId="7" fillId="0" borderId="1" xfId="0" applyFont="1" applyBorder="1" applyAlignment="1">
      <alignment horizontal="center" vertical="center"/>
    </xf>
    <xf numFmtId="0" fontId="1" fillId="2" borderId="0" xfId="0" applyFont="1" applyFill="1" applyAlignment="1">
      <alignment horizontal="center" vertical="center" wrapText="1"/>
    </xf>
    <xf numFmtId="0" fontId="5" fillId="0" borderId="2" xfId="0" applyFont="1" applyBorder="1" applyAlignment="1">
      <alignment horizontal="left" vertical="center"/>
    </xf>
    <xf numFmtId="0" fontId="4" fillId="0" borderId="2" xfId="0" applyFont="1" applyBorder="1" applyAlignment="1">
      <alignment horizontal="left" vertical="center"/>
    </xf>
    <xf numFmtId="3" fontId="5" fillId="4" borderId="2" xfId="0" applyNumberFormat="1" applyFont="1" applyFill="1" applyBorder="1" applyAlignment="1">
      <alignment horizontal="right" vertical="center"/>
    </xf>
    <xf numFmtId="3" fontId="7" fillId="4" borderId="2" xfId="0" applyNumberFormat="1" applyFont="1" applyFill="1" applyBorder="1" applyAlignment="1">
      <alignment horizontal="right" vertical="center"/>
    </xf>
    <xf numFmtId="176" fontId="4" fillId="4" borderId="2" xfId="0" applyNumberFormat="1" applyFont="1" applyFill="1" applyBorder="1" applyAlignment="1">
      <alignment horizontal="right" vertical="center"/>
    </xf>
    <xf numFmtId="176" fontId="6" fillId="3" borderId="1" xfId="0" applyNumberFormat="1" applyFont="1" applyFill="1" applyBorder="1" applyAlignment="1" applyProtection="1">
      <alignment horizontal="right" vertical="center"/>
      <protection locked="0"/>
    </xf>
    <xf numFmtId="176" fontId="7" fillId="4" borderId="2" xfId="0" applyNumberFormat="1" applyFont="1" applyFill="1" applyBorder="1" applyAlignment="1">
      <alignment horizontal="right" vertical="center"/>
    </xf>
    <xf numFmtId="176" fontId="7" fillId="5" borderId="1" xfId="0" applyNumberFormat="1" applyFont="1" applyFill="1" applyBorder="1" applyAlignment="1">
      <alignment horizontal="right" vertical="center"/>
    </xf>
    <xf numFmtId="174" fontId="5" fillId="4" borderId="2" xfId="0" applyNumberFormat="1" applyFont="1" applyFill="1" applyBorder="1" applyAlignment="1">
      <alignment horizontal="right" vertical="center"/>
    </xf>
    <xf numFmtId="176" fontId="5" fillId="4" borderId="2" xfId="0" applyNumberFormat="1" applyFont="1" applyFill="1" applyBorder="1" applyAlignment="1">
      <alignment horizontal="right" vertical="center"/>
    </xf>
    <xf numFmtId="49" fontId="6" fillId="3" borderId="1" xfId="0" applyNumberFormat="1" applyFont="1" applyFill="1" applyBorder="1" applyAlignment="1" applyProtection="1">
      <alignment horizontal="left" vertical="center"/>
      <protection locked="0"/>
    </xf>
    <xf numFmtId="3" fontId="5" fillId="4" borderId="0" xfId="0" applyNumberFormat="1" applyFont="1" applyFill="1" applyAlignment="1">
      <alignment horizontal="right" vertical="center"/>
    </xf>
    <xf numFmtId="49" fontId="5" fillId="4" borderId="0" xfId="0" applyNumberFormat="1" applyFont="1" applyFill="1" applyAlignment="1">
      <alignment horizontal="center" vertical="center"/>
    </xf>
    <xf numFmtId="0" fontId="7" fillId="4" borderId="1" xfId="0" applyFont="1" applyFill="1" applyBorder="1" applyAlignment="1">
      <alignment horizontal="center" vertical="center"/>
    </xf>
    <xf numFmtId="174" fontId="5" fillId="4" borderId="0" xfId="0" applyNumberFormat="1" applyFont="1" applyFill="1" applyAlignment="1">
      <alignment horizontal="center" vertical="center"/>
    </xf>
    <xf numFmtId="0" fontId="7" fillId="0" borderId="0" xfId="0" applyFont="1" applyAlignment="1">
      <alignment horizontal="left" vertical="center"/>
    </xf>
    <xf numFmtId="176" fontId="5" fillId="4" borderId="0" xfId="0" applyNumberFormat="1" applyFont="1" applyFill="1" applyAlignment="1">
      <alignment horizontal="right" vertical="center"/>
    </xf>
    <xf numFmtId="176" fontId="8" fillId="5" borderId="1" xfId="0" applyNumberFormat="1" applyFont="1" applyFill="1" applyBorder="1" applyAlignment="1">
      <alignment horizontal="right" vertical="center"/>
    </xf>
    <xf numFmtId="177" fontId="5" fillId="4" borderId="0" xfId="0" applyNumberFormat="1" applyFont="1" applyFill="1" applyAlignment="1">
      <alignment horizontal="right" vertical="center"/>
    </xf>
    <xf numFmtId="177" fontId="8" fillId="5" borderId="1" xfId="0" applyNumberFormat="1" applyFont="1" applyFill="1" applyBorder="1" applyAlignment="1">
      <alignment horizontal="right" vertical="center"/>
    </xf>
    <xf numFmtId="49" fontId="5" fillId="4" borderId="0" xfId="0" applyNumberFormat="1" applyFont="1" applyFill="1" applyAlignment="1">
      <alignment horizontal="left" vertical="center"/>
    </xf>
    <xf numFmtId="0" fontId="4" fillId="0" borderId="0" xfId="0" applyFont="1" applyAlignment="1">
      <alignment horizontal="left" vertical="top" wrapText="1"/>
    </xf>
    <xf numFmtId="174" fontId="5" fillId="4" borderId="0" xfId="0" applyNumberFormat="1" applyFont="1" applyFill="1" applyAlignment="1">
      <alignment horizontal="right" vertical="center"/>
    </xf>
    <xf numFmtId="9" fontId="5" fillId="4" borderId="0" xfId="0" applyNumberFormat="1" applyFont="1" applyFill="1" applyAlignment="1">
      <alignment horizontal="right" vertical="center"/>
    </xf>
    <xf numFmtId="0" fontId="7" fillId="4" borderId="0" xfId="0" applyFont="1" applyFill="1" applyAlignment="1">
      <alignment horizontal="left" vertical="center"/>
    </xf>
    <xf numFmtId="174" fontId="7" fillId="5" borderId="1" xfId="0" applyNumberFormat="1" applyFont="1" applyFill="1" applyBorder="1" applyAlignment="1">
      <alignment horizontal="right" vertical="center"/>
    </xf>
    <xf numFmtId="174" fontId="6" fillId="3" borderId="1" xfId="0" applyNumberFormat="1" applyFont="1" applyFill="1" applyBorder="1" applyAlignment="1" applyProtection="1">
      <alignment horizontal="right" vertical="top"/>
      <protection locked="0"/>
    </xf>
    <xf numFmtId="178" fontId="6" fillId="3" borderId="1" xfId="0" applyNumberFormat="1" applyFont="1" applyFill="1" applyBorder="1" applyAlignment="1" applyProtection="1">
      <alignment horizontal="right" vertical="top"/>
      <protection locked="0"/>
    </xf>
    <xf numFmtId="2" fontId="6" fillId="3" borderId="1" xfId="0" applyNumberFormat="1" applyFont="1" applyFill="1" applyBorder="1" applyAlignment="1" applyProtection="1">
      <alignment horizontal="right" vertical="top"/>
      <protection locked="0"/>
    </xf>
    <xf numFmtId="3" fontId="6" fillId="3" borderId="1" xfId="0" applyNumberFormat="1" applyFont="1" applyFill="1" applyBorder="1" applyAlignment="1" applyProtection="1">
      <alignment horizontal="right" vertical="top"/>
      <protection locked="0"/>
    </xf>
    <xf numFmtId="177" fontId="6" fillId="3" borderId="1" xfId="0" applyNumberFormat="1" applyFont="1" applyFill="1" applyBorder="1" applyAlignment="1" applyProtection="1">
      <alignment horizontal="right" vertical="top"/>
      <protection locked="0"/>
    </xf>
    <xf numFmtId="9" fontId="6" fillId="3" borderId="1" xfId="0" applyNumberFormat="1" applyFont="1" applyFill="1" applyBorder="1" applyAlignment="1" applyProtection="1">
      <alignment horizontal="right" vertical="top"/>
      <protection locked="0"/>
    </xf>
    <xf numFmtId="166" fontId="6" fillId="3" borderId="1" xfId="0" applyNumberFormat="1" applyFont="1" applyFill="1" applyBorder="1" applyAlignment="1" applyProtection="1">
      <alignment horizontal="right" vertical="center"/>
      <protection locked="0"/>
    </xf>
    <xf numFmtId="180" fontId="6" fillId="3" borderId="1" xfId="0" applyNumberFormat="1" applyFont="1" applyFill="1" applyBorder="1" applyAlignment="1" applyProtection="1">
      <alignment horizontal="right" vertical="center"/>
      <protection locked="0"/>
    </xf>
    <xf numFmtId="0" fontId="5" fillId="0" borderId="0" xfId="0" applyFont="1" applyAlignment="1">
      <alignment horizontal="left" vertical="top" wrapText="1"/>
    </xf>
    <xf numFmtId="0" fontId="0" fillId="0" borderId="0" xfId="0"/>
    <xf numFmtId="0" fontId="5" fillId="0" borderId="2" xfId="0" applyFont="1" applyBorder="1" applyAlignment="1">
      <alignment horizontal="left" vertical="top" wrapText="1"/>
    </xf>
    <xf numFmtId="0" fontId="0" fillId="0" borderId="3" xfId="0" applyBorder="1"/>
    <xf numFmtId="0" fontId="1" fillId="2" borderId="0" xfId="0" applyFont="1" applyFill="1" applyAlignment="1">
      <alignment horizontal="left" vertical="center" wrapText="1"/>
    </xf>
    <xf numFmtId="0" fontId="7" fillId="0" borderId="0" xfId="0" applyFont="1" applyAlignment="1">
      <alignment horizontal="left" vertical="top" wrapText="1"/>
    </xf>
    <xf numFmtId="0" fontId="10" fillId="0" borderId="0" xfId="0" applyFont="1" applyAlignment="1">
      <alignment horizontal="center" vertical="center" wrapText="1"/>
    </xf>
    <xf numFmtId="0" fontId="9" fillId="0" borderId="0" xfId="0" applyFont="1" applyAlignment="1">
      <alignment horizontal="left" vertical="top" wrapText="1"/>
    </xf>
  </cellXfs>
  <cellStyles count="1">
    <cellStyle name="Normal" xfId="0" builtinId="0"/>
  </cellStyles>
  <dxfs count="13">
    <dxf>
      <font>
        <b/>
        <sz val="10"/>
        <color rgb="FF991B1B"/>
        <name val="Calibri"/>
      </font>
      <fill>
        <patternFill patternType="solid">
          <fgColor rgb="FFFEE2E2"/>
        </patternFill>
      </fill>
    </dxf>
    <dxf>
      <font>
        <b/>
        <sz val="10"/>
        <color rgb="FF166534"/>
        <name val="Calibri"/>
      </font>
      <fill>
        <patternFill patternType="solid">
          <fgColor rgb="FFDCFCE7"/>
        </patternFill>
      </fill>
    </dxf>
    <dxf>
      <font>
        <b/>
        <sz val="10"/>
        <color rgb="FF991B1B"/>
        <name val="Calibri"/>
      </font>
      <fill>
        <patternFill patternType="solid">
          <fgColor rgb="FFFEE2E2"/>
        </patternFill>
      </fill>
    </dxf>
    <dxf>
      <font>
        <b/>
        <sz val="10"/>
        <color rgb="FF166534"/>
        <name val="Calibri"/>
      </font>
      <fill>
        <patternFill patternType="solid">
          <fgColor rgb="FFDCFCE7"/>
        </patternFill>
      </fill>
    </dxf>
    <dxf>
      <font>
        <b/>
        <sz val="10"/>
        <color rgb="FF991B1B"/>
        <name val="Calibri"/>
      </font>
      <fill>
        <patternFill patternType="solid">
          <fgColor rgb="FFFEE2E2"/>
        </patternFill>
      </fill>
    </dxf>
    <dxf>
      <font>
        <b/>
        <sz val="10"/>
        <color rgb="FF166534"/>
        <name val="Calibri"/>
      </font>
      <fill>
        <patternFill patternType="solid">
          <fgColor rgb="FFDCFCE7"/>
        </patternFill>
      </fill>
    </dxf>
    <dxf>
      <font>
        <b/>
        <sz val="10"/>
        <color rgb="FF991B1B"/>
        <name val="Calibri"/>
      </font>
      <fill>
        <patternFill patternType="solid">
          <fgColor rgb="FFFEE2E2"/>
        </patternFill>
      </fill>
    </dxf>
    <dxf>
      <font>
        <b/>
        <sz val="10"/>
        <color rgb="FF991B1B"/>
        <name val="Calibri"/>
      </font>
      <fill>
        <patternFill patternType="solid">
          <fgColor rgb="FFFEE2E2"/>
        </patternFill>
      </fill>
    </dxf>
    <dxf>
      <font>
        <b/>
        <sz val="10"/>
        <color rgb="FF166534"/>
        <name val="Calibri"/>
      </font>
      <fill>
        <patternFill patternType="solid">
          <fgColor rgb="FFDCFCE7"/>
        </patternFill>
      </fill>
    </dxf>
    <dxf>
      <font>
        <b/>
        <sz val="10"/>
        <color rgb="FF991B1B"/>
        <name val="Calibri"/>
      </font>
      <fill>
        <patternFill patternType="solid">
          <fgColor rgb="FFFEE2E2"/>
        </patternFill>
      </fill>
    </dxf>
    <dxf>
      <font>
        <b/>
        <sz val="10"/>
        <color rgb="FF166534"/>
        <name val="Calibri"/>
      </font>
      <fill>
        <patternFill patternType="solid">
          <fgColor rgb="FFDCFCE7"/>
        </patternFill>
      </fill>
    </dxf>
    <dxf>
      <font>
        <b/>
        <sz val="10"/>
        <color rgb="FF991B1B"/>
        <name val="Calibri"/>
      </font>
      <fill>
        <patternFill patternType="solid">
          <fgColor rgb="FFFEE2E2"/>
        </patternFill>
      </fill>
    </dxf>
    <dxf>
      <font>
        <b/>
        <sz val="10"/>
        <color rgb="FF166534"/>
        <name val="Calibri"/>
      </font>
      <fill>
        <patternFill patternType="solid">
          <fgColor rgb="FFDCFCE7"/>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Relationships xmlns="http://schemas.openxmlformats.org/package/2006/relationships"><Relationship Id="rId1" Type="http://schemas.openxmlformats.org/officeDocument/2006/relationships/image" Target="../media/logo-corpusimmo.png"/></Relationships>
</file>

<file path=xl/drawings/_rels/drawing2.xml.rels><?xml version="1.0" encoding="UTF-8" standalone="yes"?><Relationships xmlns="http://schemas.openxmlformats.org/package/2006/relationships"><Relationship Id="rId1" Type="http://schemas.openxmlformats.org/officeDocument/2006/relationships/image" Target="../media/logo-corpusimmo.png"/></Relationships>
</file>

<file path=xl/drawings/_rels/drawing3.xml.rels><?xml version="1.0" encoding="UTF-8" standalone="yes"?><Relationships xmlns="http://schemas.openxmlformats.org/package/2006/relationships"><Relationship Id="rId1" Type="http://schemas.openxmlformats.org/officeDocument/2006/relationships/image" Target="../media/logo-corpusimmo.png"/></Relationships>
</file>

<file path=xl/drawings/_rels/drawing4.xml.rels><?xml version="1.0" encoding="UTF-8" standalone="yes"?><Relationships xmlns="http://schemas.openxmlformats.org/package/2006/relationships"><Relationship Id="rId1" Type="http://schemas.openxmlformats.org/officeDocument/2006/relationships/image" Target="../media/logo-corpusimmo.png"/></Relationships>
</file>

<file path=xl/drawings/drawing1.xml><?xml version="1.0" encoding="utf-8"?>
<xdr:wsDr xmlns:xdr="http://schemas.openxmlformats.org/drawingml/2006/spreadsheetDrawing" xmlns:a="http://schemas.openxmlformats.org/drawingml/2006/main" xmlns:r="http://schemas.openxmlformats.org/officeDocument/2006/relationships">
  <xdr:absoluteAnchor>
    <xdr:pos x="10458450" y="311150"/>
    <xdr:ext cx="1685925" cy="419100"/>
    <xdr:pic>
      <xdr:nvPicPr>
        <xdr:cNvPr id="2" name="Logo CorpusImmo" descr="CorpusImmo, www.corpus.immo"/>
        <xdr:cNvPicPr>
          <a:picLocks noChangeAspect="1"/>
        </xdr:cNvPicPr>
      </xdr:nvPicPr>
      <xdr:blipFill>
        <a:blip r:embed="rId1"/>
        <a:stretch>
          <a:fillRect/>
        </a:stretch>
      </xdr:blipFill>
      <xdr:spPr>
        <a:xfrm>
          <a:off x="10458450" y="311150"/>
          <a:ext cx="1685925" cy="419100"/>
        </a:xfrm>
        <a:prstGeom prst="rect">
          <a:avLst/>
        </a:prstGeom>
      </xdr:spPr>
    </xdr:pic>
    <xdr:clientData/>
  </xdr:absoluteAnchor>
</xdr:wsDr>
</file>

<file path=xl/drawings/drawing2.xml><?xml version="1.0" encoding="utf-8"?>
<xdr:wsDr xmlns:xdr="http://schemas.openxmlformats.org/drawingml/2006/spreadsheetDrawing" xmlns:a="http://schemas.openxmlformats.org/drawingml/2006/main" xmlns:r="http://schemas.openxmlformats.org/officeDocument/2006/relationships">
  <xdr:absoluteAnchor>
    <xdr:pos x="11706225" y="311150"/>
    <xdr:ext cx="1685925" cy="419100"/>
    <xdr:pic>
      <xdr:nvPicPr>
        <xdr:cNvPr id="2" name="Logo CorpusImmo" descr="CorpusImmo, www.corpus.immo"/>
        <xdr:cNvPicPr>
          <a:picLocks noChangeAspect="1"/>
        </xdr:cNvPicPr>
      </xdr:nvPicPr>
      <xdr:blipFill>
        <a:blip r:embed="rId1"/>
        <a:stretch>
          <a:fillRect/>
        </a:stretch>
      </xdr:blipFill>
      <xdr:spPr>
        <a:xfrm>
          <a:off x="11706225" y="311150"/>
          <a:ext cx="1685925" cy="419100"/>
        </a:xfrm>
        <a:prstGeom prst="rect">
          <a:avLst/>
        </a:prstGeom>
      </xdr:spPr>
    </xdr:pic>
    <xdr:clientData/>
  </xdr:absoluteAnchor>
</xdr:wsDr>
</file>

<file path=xl/drawings/drawing3.xml><?xml version="1.0" encoding="utf-8"?>
<xdr:wsDr xmlns:xdr="http://schemas.openxmlformats.org/drawingml/2006/spreadsheetDrawing" xmlns:a="http://schemas.openxmlformats.org/drawingml/2006/main" xmlns:r="http://schemas.openxmlformats.org/officeDocument/2006/relationships">
  <xdr:absoluteAnchor>
    <xdr:pos x="16630650" y="311150"/>
    <xdr:ext cx="1685925" cy="419100"/>
    <xdr:pic>
      <xdr:nvPicPr>
        <xdr:cNvPr id="2" name="Logo CorpusImmo" descr="CorpusImmo, www.corpus.immo"/>
        <xdr:cNvPicPr>
          <a:picLocks noChangeAspect="1"/>
        </xdr:cNvPicPr>
      </xdr:nvPicPr>
      <xdr:blipFill>
        <a:blip r:embed="rId1"/>
        <a:stretch>
          <a:fillRect/>
        </a:stretch>
      </xdr:blipFill>
      <xdr:spPr>
        <a:xfrm>
          <a:off x="16630650" y="311150"/>
          <a:ext cx="1685925" cy="419100"/>
        </a:xfrm>
        <a:prstGeom prst="rect">
          <a:avLst/>
        </a:prstGeom>
      </xdr:spPr>
    </xdr:pic>
    <xdr:clientData/>
  </xdr:absoluteAnchor>
</xdr:wsDr>
</file>

<file path=xl/drawings/drawing4.xml><?xml version="1.0" encoding="utf-8"?>
<xdr:wsDr xmlns:xdr="http://schemas.openxmlformats.org/drawingml/2006/spreadsheetDrawing" xmlns:a="http://schemas.openxmlformats.org/drawingml/2006/main" xmlns:r="http://schemas.openxmlformats.org/officeDocument/2006/relationships">
  <xdr:absoluteAnchor>
    <xdr:pos x="8382000" y="311150"/>
    <xdr:ext cx="1685925" cy="419100"/>
    <xdr:pic>
      <xdr:nvPicPr>
        <xdr:cNvPr id="2" name="Logo CorpusImmo" descr="CorpusImmo, www.corpus.immo"/>
        <xdr:cNvPicPr>
          <a:picLocks noChangeAspect="1"/>
        </xdr:cNvPicPr>
      </xdr:nvPicPr>
      <xdr:blipFill>
        <a:blip r:embed="rId1"/>
        <a:stretch>
          <a:fillRect/>
        </a:stretch>
      </xdr:blipFill>
      <xdr:spPr>
        <a:xfrm>
          <a:off x="8382000" y="311150"/>
          <a:ext cx="1685925" cy="419100"/>
        </a:xfrm>
        <a:prstGeom prst="rect">
          <a:avLst/>
        </a:prstGeom>
      </xdr:spPr>
    </xdr:pic>
    <xdr:clientData/>
  </xdr:absolute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F99"/>
  <sheetViews>
    <sheetView showGridLines="0" tabSelected="1" workbookViewId="0">
      <selection activeCell="B1" sqref="B1"/>
    </sheetView>
  </sheetViews>
  <sheetFormatPr baseColWidth="10" defaultColWidth="8.7265625" defaultRowHeight="14.5" x14ac:dyDescent="0.35"/>
  <cols>
    <col min="1" max="1" width="2" customWidth="1"/>
    <col min="2" max="2" width="34" customWidth="1"/>
    <col min="3" max="3" width="21" customWidth="1"/>
    <col min="4" max="4" width="52" customWidth="1"/>
    <col min="5" max="5" width="68" customWidth="1"/>
    <col min="6" max="6" width="2" customWidth="1"/>
  </cols>
  <sheetData>
    <row r="1" spans="2:6" ht="20" customHeight="1" x14ac:dyDescent="0.35">
      <c r="B1" s="1" t="s">
        <v>0</v>
      </c>
      <c r="C1" s="1"/>
      <c r="D1" s="1"/>
      <c r="E1" s="1"/>
      <c r="F1" s="1"/>
    </row>
    <row r="2" spans="2:6" ht="26" customHeight="1" x14ac:dyDescent="0.35">
      <c r="B2" s="2" t="s">
        <v>1</v>
      </c>
    </row>
    <row r="3" spans="2:6" x14ac:dyDescent="0.35">
      <c r="B3" s="3" t="s">
        <v>2</v>
      </c>
    </row>
    <row r="6" spans="2:6" ht="18" customHeight="1" x14ac:dyDescent="0.35">
      <c r="B6" s="1" t="s">
        <v>3</v>
      </c>
      <c r="C6" s="1"/>
      <c r="D6" s="1"/>
      <c r="E6" s="1"/>
    </row>
    <row r="7" spans="2:6" ht="30" customHeight="1" x14ac:dyDescent="0.35">
      <c r="B7" s="54" t="s">
        <v>4</v>
      </c>
      <c r="C7" s="55"/>
      <c r="D7" s="55"/>
      <c r="E7" s="55"/>
    </row>
    <row r="8" spans="2:6" ht="43.5" customHeight="1" x14ac:dyDescent="0.35">
      <c r="B8" s="54" t="s">
        <v>5</v>
      </c>
      <c r="C8" s="55"/>
      <c r="D8" s="55"/>
      <c r="E8" s="55"/>
    </row>
    <row r="9" spans="2:6" ht="30" customHeight="1" x14ac:dyDescent="0.35">
      <c r="B9" s="54" t="s">
        <v>6</v>
      </c>
      <c r="C9" s="55"/>
      <c r="D9" s="55"/>
      <c r="E9" s="55"/>
    </row>
    <row r="10" spans="2:6" ht="18" customHeight="1" x14ac:dyDescent="0.35">
      <c r="B10" s="5" t="s">
        <v>7</v>
      </c>
      <c r="C10" s="58" t="s">
        <v>8</v>
      </c>
      <c r="D10" s="55"/>
      <c r="E10" s="55"/>
    </row>
    <row r="11" spans="2:6" ht="16.5" customHeight="1" x14ac:dyDescent="0.35">
      <c r="B11" s="6" t="s">
        <v>9</v>
      </c>
      <c r="C11" s="56" t="s">
        <v>10</v>
      </c>
      <c r="D11" s="57"/>
      <c r="E11" s="57"/>
    </row>
    <row r="12" spans="2:6" ht="16.5" customHeight="1" x14ac:dyDescent="0.35">
      <c r="B12" s="6" t="s">
        <v>11</v>
      </c>
      <c r="C12" s="56" t="s">
        <v>12</v>
      </c>
      <c r="D12" s="57"/>
      <c r="E12" s="57"/>
    </row>
    <row r="13" spans="2:6" ht="16.5" customHeight="1" x14ac:dyDescent="0.35">
      <c r="B13" s="6" t="s">
        <v>13</v>
      </c>
      <c r="C13" s="56" t="s">
        <v>14</v>
      </c>
      <c r="D13" s="57"/>
      <c r="E13" s="57"/>
    </row>
    <row r="14" spans="2:6" ht="16.5" customHeight="1" x14ac:dyDescent="0.35">
      <c r="B14" s="6" t="s">
        <v>15</v>
      </c>
      <c r="C14" s="56" t="s">
        <v>16</v>
      </c>
      <c r="D14" s="57"/>
      <c r="E14" s="57"/>
    </row>
    <row r="15" spans="2:6" ht="16.5" customHeight="1" x14ac:dyDescent="0.35">
      <c r="B15" s="6" t="s">
        <v>17</v>
      </c>
      <c r="C15" s="56" t="s">
        <v>18</v>
      </c>
      <c r="D15" s="57"/>
      <c r="E15" s="57"/>
    </row>
    <row r="17" spans="2:5" ht="18" customHeight="1" x14ac:dyDescent="0.35">
      <c r="B17" s="1" t="s">
        <v>19</v>
      </c>
      <c r="C17" s="1"/>
      <c r="D17" s="1"/>
      <c r="E17" s="1"/>
    </row>
    <row r="18" spans="2:5" ht="28" customHeight="1" x14ac:dyDescent="0.35">
      <c r="B18" s="60" t="s">
        <v>20</v>
      </c>
      <c r="C18" s="55"/>
      <c r="D18" s="55"/>
      <c r="E18" s="55"/>
    </row>
    <row r="20" spans="2:5" ht="18" customHeight="1" x14ac:dyDescent="0.35">
      <c r="B20" s="1" t="s">
        <v>21</v>
      </c>
      <c r="C20" s="1"/>
      <c r="D20" s="1"/>
      <c r="E20" s="1"/>
    </row>
    <row r="21" spans="2:5" ht="18" customHeight="1" x14ac:dyDescent="0.35">
      <c r="B21" s="5" t="s">
        <v>22</v>
      </c>
      <c r="C21" s="5" t="s">
        <v>23</v>
      </c>
      <c r="D21" s="58" t="s">
        <v>24</v>
      </c>
      <c r="E21" s="55"/>
    </row>
    <row r="22" spans="2:5" ht="30" customHeight="1" x14ac:dyDescent="0.35">
      <c r="B22" s="6" t="s">
        <v>1</v>
      </c>
      <c r="C22" s="7" t="s">
        <v>25</v>
      </c>
      <c r="D22" s="56" t="s">
        <v>26</v>
      </c>
      <c r="E22" s="57"/>
    </row>
    <row r="23" spans="2:5" ht="97.5" customHeight="1" x14ac:dyDescent="0.35">
      <c r="B23" s="6" t="s">
        <v>27</v>
      </c>
      <c r="C23" s="7" t="s">
        <v>28</v>
      </c>
      <c r="D23" s="56" t="s">
        <v>29</v>
      </c>
      <c r="E23" s="57"/>
    </row>
    <row r="24" spans="2:5" ht="84" customHeight="1" x14ac:dyDescent="0.35">
      <c r="B24" s="6" t="s">
        <v>30</v>
      </c>
      <c r="C24" s="7" t="s">
        <v>31</v>
      </c>
      <c r="D24" s="56" t="s">
        <v>32</v>
      </c>
      <c r="E24" s="57"/>
    </row>
    <row r="25" spans="2:5" ht="16.5" customHeight="1" x14ac:dyDescent="0.35">
      <c r="B25" s="6" t="s">
        <v>33</v>
      </c>
      <c r="C25" s="7" t="s">
        <v>34</v>
      </c>
      <c r="D25" s="56" t="s">
        <v>35</v>
      </c>
      <c r="E25" s="57"/>
    </row>
    <row r="27" spans="2:5" ht="18" customHeight="1" x14ac:dyDescent="0.35">
      <c r="B27" s="1" t="s">
        <v>36</v>
      </c>
      <c r="C27" s="1"/>
      <c r="D27" s="1"/>
      <c r="E27" s="1"/>
    </row>
    <row r="28" spans="2:5" ht="18" customHeight="1" x14ac:dyDescent="0.35">
      <c r="B28" s="5" t="s">
        <v>37</v>
      </c>
      <c r="C28" s="5" t="s">
        <v>38</v>
      </c>
      <c r="D28" s="58" t="s">
        <v>39</v>
      </c>
      <c r="E28" s="55"/>
    </row>
    <row r="29" spans="2:5" ht="30" customHeight="1" x14ac:dyDescent="0.35">
      <c r="B29" s="6" t="s">
        <v>40</v>
      </c>
      <c r="C29" s="7" t="s">
        <v>41</v>
      </c>
      <c r="D29" s="56" t="s">
        <v>42</v>
      </c>
      <c r="E29" s="57"/>
    </row>
    <row r="30" spans="2:5" ht="16.5" customHeight="1" x14ac:dyDescent="0.35">
      <c r="B30" s="6" t="s">
        <v>43</v>
      </c>
      <c r="C30" s="7" t="s">
        <v>44</v>
      </c>
      <c r="D30" s="56" t="s">
        <v>45</v>
      </c>
      <c r="E30" s="57"/>
    </row>
    <row r="31" spans="2:5" ht="30" customHeight="1" x14ac:dyDescent="0.35">
      <c r="B31" s="6" t="s">
        <v>46</v>
      </c>
      <c r="C31" s="7" t="s">
        <v>47</v>
      </c>
      <c r="D31" s="56" t="s">
        <v>48</v>
      </c>
      <c r="E31" s="57"/>
    </row>
    <row r="32" spans="2:5" ht="30" customHeight="1" x14ac:dyDescent="0.35">
      <c r="B32" s="6" t="s">
        <v>49</v>
      </c>
      <c r="C32" s="7" t="s">
        <v>50</v>
      </c>
      <c r="D32" s="56" t="s">
        <v>51</v>
      </c>
      <c r="E32" s="57"/>
    </row>
    <row r="33" spans="2:5" ht="30" customHeight="1" x14ac:dyDescent="0.35">
      <c r="B33" s="6" t="s">
        <v>52</v>
      </c>
      <c r="C33" s="7" t="s">
        <v>53</v>
      </c>
      <c r="D33" s="56" t="s">
        <v>54</v>
      </c>
      <c r="E33" s="57"/>
    </row>
    <row r="34" spans="2:5" ht="30" customHeight="1" x14ac:dyDescent="0.35">
      <c r="B34" s="6" t="s">
        <v>55</v>
      </c>
      <c r="C34" s="7" t="s">
        <v>56</v>
      </c>
      <c r="D34" s="56" t="s">
        <v>57</v>
      </c>
      <c r="E34" s="57"/>
    </row>
    <row r="35" spans="2:5" ht="30" customHeight="1" x14ac:dyDescent="0.35">
      <c r="B35" s="54" t="s">
        <v>58</v>
      </c>
      <c r="C35" s="55"/>
      <c r="D35" s="55"/>
      <c r="E35" s="55"/>
    </row>
    <row r="37" spans="2:5" ht="18" customHeight="1" x14ac:dyDescent="0.35">
      <c r="B37" s="1" t="s">
        <v>59</v>
      </c>
      <c r="C37" s="1"/>
      <c r="D37" s="1"/>
      <c r="E37" s="1"/>
    </row>
    <row r="38" spans="2:5" ht="18" customHeight="1" x14ac:dyDescent="0.35">
      <c r="B38" s="5" t="s">
        <v>60</v>
      </c>
      <c r="C38" s="5" t="s">
        <v>61</v>
      </c>
      <c r="D38" s="5" t="s">
        <v>39</v>
      </c>
      <c r="E38" s="5" t="s">
        <v>62</v>
      </c>
    </row>
    <row r="39" spans="2:5" ht="151.5" customHeight="1" x14ac:dyDescent="0.35">
      <c r="B39" s="6" t="s">
        <v>63</v>
      </c>
      <c r="C39" s="7" t="s">
        <v>64</v>
      </c>
      <c r="D39" s="7" t="s">
        <v>65</v>
      </c>
      <c r="E39" s="7" t="s">
        <v>66</v>
      </c>
    </row>
    <row r="40" spans="2:5" ht="111" customHeight="1" x14ac:dyDescent="0.35">
      <c r="B40" s="6" t="s">
        <v>67</v>
      </c>
      <c r="C40" s="7" t="s">
        <v>68</v>
      </c>
      <c r="D40" s="7" t="s">
        <v>69</v>
      </c>
      <c r="E40" s="7" t="s">
        <v>70</v>
      </c>
    </row>
    <row r="41" spans="2:5" ht="70.5" customHeight="1" x14ac:dyDescent="0.35">
      <c r="B41" s="6" t="s">
        <v>71</v>
      </c>
      <c r="C41" s="7" t="s">
        <v>72</v>
      </c>
      <c r="D41" s="7" t="s">
        <v>73</v>
      </c>
      <c r="E41" s="7" t="s">
        <v>74</v>
      </c>
    </row>
    <row r="42" spans="2:5" ht="57" customHeight="1" x14ac:dyDescent="0.35">
      <c r="B42" s="6" t="s">
        <v>75</v>
      </c>
      <c r="C42" s="7" t="s">
        <v>76</v>
      </c>
      <c r="D42" s="7" t="s">
        <v>77</v>
      </c>
      <c r="E42" s="7" t="s">
        <v>78</v>
      </c>
    </row>
    <row r="43" spans="2:5" ht="111" customHeight="1" x14ac:dyDescent="0.35">
      <c r="B43" s="6" t="s">
        <v>79</v>
      </c>
      <c r="C43" s="7" t="s">
        <v>80</v>
      </c>
      <c r="D43" s="7" t="s">
        <v>81</v>
      </c>
      <c r="E43" s="7" t="s">
        <v>82</v>
      </c>
    </row>
    <row r="44" spans="2:5" ht="70.5" customHeight="1" x14ac:dyDescent="0.35">
      <c r="B44" s="6" t="s">
        <v>83</v>
      </c>
      <c r="C44" s="7" t="s">
        <v>84</v>
      </c>
      <c r="D44" s="7" t="s">
        <v>85</v>
      </c>
      <c r="E44" s="7" t="s">
        <v>86</v>
      </c>
    </row>
    <row r="45" spans="2:5" ht="57" customHeight="1" x14ac:dyDescent="0.35">
      <c r="B45" s="6" t="s">
        <v>87</v>
      </c>
      <c r="C45" s="7" t="s">
        <v>88</v>
      </c>
      <c r="D45" s="7" t="s">
        <v>89</v>
      </c>
      <c r="E45" s="7" t="s">
        <v>90</v>
      </c>
    </row>
    <row r="46" spans="2:5" ht="43.5" customHeight="1" x14ac:dyDescent="0.35">
      <c r="B46" s="6" t="s">
        <v>91</v>
      </c>
      <c r="C46" s="7" t="s">
        <v>92</v>
      </c>
      <c r="D46" s="7" t="s">
        <v>93</v>
      </c>
      <c r="E46" s="7" t="s">
        <v>94</v>
      </c>
    </row>
    <row r="48" spans="2:5" ht="18" customHeight="1" x14ac:dyDescent="0.35">
      <c r="B48" s="1" t="s">
        <v>95</v>
      </c>
      <c r="C48" s="1"/>
      <c r="D48" s="1"/>
      <c r="E48" s="1"/>
    </row>
    <row r="49" spans="2:5" ht="30" customHeight="1" x14ac:dyDescent="0.35">
      <c r="B49" s="54" t="s">
        <v>96</v>
      </c>
      <c r="C49" s="55"/>
      <c r="D49" s="55"/>
      <c r="E49" s="55"/>
    </row>
    <row r="50" spans="2:5" ht="43.5" customHeight="1" x14ac:dyDescent="0.35">
      <c r="B50" s="54" t="s">
        <v>97</v>
      </c>
      <c r="C50" s="55"/>
      <c r="D50" s="55"/>
      <c r="E50" s="55"/>
    </row>
    <row r="51" spans="2:5" ht="43.5" customHeight="1" x14ac:dyDescent="0.35">
      <c r="B51" s="54" t="s">
        <v>98</v>
      </c>
      <c r="C51" s="55"/>
      <c r="D51" s="55"/>
      <c r="E51" s="55"/>
    </row>
    <row r="52" spans="2:5" ht="30" customHeight="1" x14ac:dyDescent="0.35">
      <c r="B52" s="54" t="s">
        <v>99</v>
      </c>
      <c r="C52" s="55"/>
      <c r="D52" s="55"/>
      <c r="E52" s="55"/>
    </row>
    <row r="53" spans="2:5" ht="30" customHeight="1" x14ac:dyDescent="0.35">
      <c r="B53" s="54" t="s">
        <v>100</v>
      </c>
      <c r="C53" s="55"/>
      <c r="D53" s="55"/>
      <c r="E53" s="55"/>
    </row>
    <row r="54" spans="2:5" ht="30" customHeight="1" x14ac:dyDescent="0.35">
      <c r="B54" s="54" t="s">
        <v>101</v>
      </c>
      <c r="C54" s="55"/>
      <c r="D54" s="55"/>
      <c r="E54" s="55"/>
    </row>
    <row r="55" spans="2:5" ht="30" customHeight="1" x14ac:dyDescent="0.35">
      <c r="B55" s="54" t="s">
        <v>102</v>
      </c>
      <c r="C55" s="55"/>
      <c r="D55" s="55"/>
      <c r="E55" s="55"/>
    </row>
    <row r="57" spans="2:5" ht="18" customHeight="1" x14ac:dyDescent="0.35">
      <c r="B57" s="1" t="s">
        <v>103</v>
      </c>
      <c r="C57" s="1"/>
      <c r="D57" s="1"/>
      <c r="E57" s="1"/>
    </row>
    <row r="58" spans="2:5" ht="18" customHeight="1" x14ac:dyDescent="0.35">
      <c r="B58" s="5" t="s">
        <v>104</v>
      </c>
      <c r="C58" s="5" t="s">
        <v>105</v>
      </c>
      <c r="D58" s="5" t="s">
        <v>106</v>
      </c>
      <c r="E58" s="5" t="s">
        <v>107</v>
      </c>
    </row>
    <row r="59" spans="2:5" ht="30" customHeight="1" x14ac:dyDescent="0.35">
      <c r="B59" s="6" t="s">
        <v>108</v>
      </c>
      <c r="C59" s="7" t="s">
        <v>109</v>
      </c>
      <c r="D59" s="7" t="s">
        <v>110</v>
      </c>
      <c r="E59" s="7" t="s">
        <v>111</v>
      </c>
    </row>
    <row r="60" spans="2:5" ht="30" customHeight="1" x14ac:dyDescent="0.35">
      <c r="B60" s="6" t="s">
        <v>112</v>
      </c>
      <c r="C60" s="7" t="s">
        <v>113</v>
      </c>
      <c r="D60" s="7" t="s">
        <v>114</v>
      </c>
      <c r="E60" s="7" t="s">
        <v>115</v>
      </c>
    </row>
    <row r="61" spans="2:5" ht="43.5" customHeight="1" x14ac:dyDescent="0.35">
      <c r="B61" s="6" t="s">
        <v>116</v>
      </c>
      <c r="C61" s="7" t="s">
        <v>117</v>
      </c>
      <c r="D61" s="7" t="s">
        <v>118</v>
      </c>
      <c r="E61" s="7" t="s">
        <v>119</v>
      </c>
    </row>
    <row r="62" spans="2:5" ht="43.5" customHeight="1" x14ac:dyDescent="0.35">
      <c r="B62" s="6" t="s">
        <v>120</v>
      </c>
      <c r="C62" s="7" t="s">
        <v>121</v>
      </c>
      <c r="D62" s="7" t="s">
        <v>122</v>
      </c>
      <c r="E62" s="7" t="s">
        <v>123</v>
      </c>
    </row>
    <row r="63" spans="2:5" ht="30" customHeight="1" x14ac:dyDescent="0.35">
      <c r="B63" s="6" t="s">
        <v>124</v>
      </c>
      <c r="C63" s="7" t="s">
        <v>125</v>
      </c>
      <c r="D63" s="7" t="s">
        <v>126</v>
      </c>
      <c r="E63" s="7" t="s">
        <v>127</v>
      </c>
    </row>
    <row r="64" spans="2:5" ht="30" customHeight="1" x14ac:dyDescent="0.35">
      <c r="B64" s="6" t="s">
        <v>128</v>
      </c>
      <c r="C64" s="7" t="s">
        <v>129</v>
      </c>
      <c r="D64" s="7" t="s">
        <v>130</v>
      </c>
      <c r="E64" s="7" t="s">
        <v>131</v>
      </c>
    </row>
    <row r="66" spans="2:5" ht="18" customHeight="1" x14ac:dyDescent="0.35">
      <c r="B66" s="1" t="s">
        <v>132</v>
      </c>
      <c r="C66" s="1"/>
      <c r="D66" s="1"/>
      <c r="E66" s="1"/>
    </row>
    <row r="67" spans="2:5" ht="43.5" customHeight="1" x14ac:dyDescent="0.35">
      <c r="B67" s="54" t="s">
        <v>133</v>
      </c>
      <c r="C67" s="55"/>
      <c r="D67" s="55"/>
      <c r="E67" s="55"/>
    </row>
    <row r="68" spans="2:5" ht="43.5" customHeight="1" x14ac:dyDescent="0.35">
      <c r="B68" s="54" t="s">
        <v>134</v>
      </c>
      <c r="C68" s="55"/>
      <c r="D68" s="55"/>
      <c r="E68" s="55"/>
    </row>
    <row r="69" spans="2:5" ht="18" customHeight="1" x14ac:dyDescent="0.35">
      <c r="B69" s="5" t="s">
        <v>135</v>
      </c>
      <c r="C69" s="5" t="s">
        <v>136</v>
      </c>
      <c r="D69" s="5" t="s">
        <v>137</v>
      </c>
      <c r="E69" s="5" t="s">
        <v>138</v>
      </c>
    </row>
    <row r="70" spans="2:5" ht="30" customHeight="1" x14ac:dyDescent="0.35">
      <c r="B70" s="6" t="s">
        <v>139</v>
      </c>
      <c r="C70" s="7" t="s">
        <v>140</v>
      </c>
      <c r="D70" s="7" t="s">
        <v>141</v>
      </c>
      <c r="E70" s="7" t="s">
        <v>142</v>
      </c>
    </row>
    <row r="71" spans="2:5" ht="30" customHeight="1" x14ac:dyDescent="0.35">
      <c r="B71" s="6" t="s">
        <v>143</v>
      </c>
      <c r="C71" s="7" t="s">
        <v>144</v>
      </c>
      <c r="D71" s="7" t="s">
        <v>145</v>
      </c>
      <c r="E71" s="7" t="s">
        <v>146</v>
      </c>
    </row>
    <row r="72" spans="2:5" ht="16.5" customHeight="1" x14ac:dyDescent="0.35">
      <c r="B72" s="6" t="s">
        <v>147</v>
      </c>
      <c r="C72" s="7" t="s">
        <v>148</v>
      </c>
      <c r="D72" s="7" t="s">
        <v>149</v>
      </c>
      <c r="E72" s="7" t="s">
        <v>150</v>
      </c>
    </row>
    <row r="73" spans="2:5" ht="16.5" customHeight="1" x14ac:dyDescent="0.35">
      <c r="B73" s="6" t="s">
        <v>151</v>
      </c>
      <c r="C73" s="7" t="s">
        <v>152</v>
      </c>
      <c r="D73" s="7" t="s">
        <v>153</v>
      </c>
      <c r="E73" s="7" t="s">
        <v>154</v>
      </c>
    </row>
    <row r="74" spans="2:5" ht="30" customHeight="1" x14ac:dyDescent="0.35">
      <c r="B74" s="6" t="s">
        <v>155</v>
      </c>
      <c r="C74" s="7" t="s">
        <v>156</v>
      </c>
      <c r="D74" s="7" t="s">
        <v>157</v>
      </c>
      <c r="E74" s="7" t="s">
        <v>158</v>
      </c>
    </row>
    <row r="75" spans="2:5" ht="16.5" customHeight="1" x14ac:dyDescent="0.35">
      <c r="B75" s="6" t="s">
        <v>159</v>
      </c>
      <c r="C75" s="7" t="s">
        <v>160</v>
      </c>
      <c r="D75" s="7" t="s">
        <v>161</v>
      </c>
      <c r="E75" s="7" t="s">
        <v>162</v>
      </c>
    </row>
    <row r="76" spans="2:5" ht="30" customHeight="1" x14ac:dyDescent="0.35">
      <c r="B76" s="6" t="s">
        <v>163</v>
      </c>
      <c r="C76" s="7" t="s">
        <v>164</v>
      </c>
      <c r="D76" s="7" t="s">
        <v>165</v>
      </c>
      <c r="E76" s="7" t="s">
        <v>166</v>
      </c>
    </row>
    <row r="77" spans="2:5" ht="30" customHeight="1" x14ac:dyDescent="0.35">
      <c r="B77" s="6" t="s">
        <v>167</v>
      </c>
      <c r="C77" s="7" t="s">
        <v>168</v>
      </c>
      <c r="D77" s="7" t="s">
        <v>169</v>
      </c>
      <c r="E77" s="7" t="s">
        <v>170</v>
      </c>
    </row>
    <row r="78" spans="2:5" ht="30" customHeight="1" x14ac:dyDescent="0.35">
      <c r="B78" s="6" t="s">
        <v>171</v>
      </c>
      <c r="C78" s="7" t="s">
        <v>172</v>
      </c>
      <c r="D78" s="7" t="s">
        <v>173</v>
      </c>
      <c r="E78" s="7" t="s">
        <v>174</v>
      </c>
    </row>
    <row r="79" spans="2:5" ht="30" customHeight="1" x14ac:dyDescent="0.35">
      <c r="B79" s="6" t="s">
        <v>175</v>
      </c>
      <c r="C79" s="7" t="s">
        <v>64</v>
      </c>
      <c r="D79" s="7" t="s">
        <v>176</v>
      </c>
      <c r="E79" s="7" t="s">
        <v>177</v>
      </c>
    </row>
    <row r="81" spans="2:5" ht="18" customHeight="1" x14ac:dyDescent="0.35">
      <c r="B81" s="1" t="s">
        <v>178</v>
      </c>
      <c r="C81" s="1"/>
      <c r="D81" s="1"/>
      <c r="E81" s="1"/>
    </row>
    <row r="82" spans="2:5" ht="18" customHeight="1" x14ac:dyDescent="0.35">
      <c r="B82" s="5" t="s">
        <v>179</v>
      </c>
      <c r="C82" s="58" t="s">
        <v>39</v>
      </c>
      <c r="D82" s="55"/>
      <c r="E82" s="55"/>
    </row>
    <row r="83" spans="2:5" ht="30" customHeight="1" x14ac:dyDescent="0.35">
      <c r="B83" s="6" t="s">
        <v>180</v>
      </c>
      <c r="C83" s="56" t="s">
        <v>181</v>
      </c>
      <c r="D83" s="57"/>
      <c r="E83" s="57"/>
    </row>
    <row r="84" spans="2:5" ht="30" customHeight="1" x14ac:dyDescent="0.35">
      <c r="B84" s="6" t="s">
        <v>182</v>
      </c>
      <c r="C84" s="56" t="s">
        <v>183</v>
      </c>
      <c r="D84" s="57"/>
      <c r="E84" s="57"/>
    </row>
    <row r="85" spans="2:5" ht="30" customHeight="1" x14ac:dyDescent="0.35">
      <c r="B85" s="6" t="s">
        <v>184</v>
      </c>
      <c r="C85" s="56" t="s">
        <v>185</v>
      </c>
      <c r="D85" s="57"/>
      <c r="E85" s="57"/>
    </row>
    <row r="87" spans="2:5" ht="18" customHeight="1" x14ac:dyDescent="0.35">
      <c r="B87" s="1" t="s">
        <v>186</v>
      </c>
      <c r="C87" s="1"/>
      <c r="D87" s="1"/>
      <c r="E87" s="1"/>
    </row>
    <row r="88" spans="2:5" ht="18" customHeight="1" x14ac:dyDescent="0.35">
      <c r="B88" s="5" t="s">
        <v>187</v>
      </c>
      <c r="C88" s="58" t="s">
        <v>188</v>
      </c>
      <c r="D88" s="55"/>
      <c r="E88" s="55"/>
    </row>
    <row r="89" spans="2:5" ht="30" customHeight="1" x14ac:dyDescent="0.35">
      <c r="B89" s="6" t="s">
        <v>189</v>
      </c>
      <c r="C89" s="56" t="s">
        <v>190</v>
      </c>
      <c r="D89" s="57"/>
      <c r="E89" s="57"/>
    </row>
    <row r="90" spans="2:5" ht="30" customHeight="1" x14ac:dyDescent="0.35">
      <c r="B90" s="6" t="s">
        <v>191</v>
      </c>
      <c r="C90" s="56" t="s">
        <v>192</v>
      </c>
      <c r="D90" s="57"/>
      <c r="E90" s="57"/>
    </row>
    <row r="91" spans="2:5" ht="30" customHeight="1" x14ac:dyDescent="0.35">
      <c r="B91" s="6" t="s">
        <v>193</v>
      </c>
      <c r="C91" s="56" t="s">
        <v>194</v>
      </c>
      <c r="D91" s="57"/>
      <c r="E91" s="57"/>
    </row>
    <row r="92" spans="2:5" ht="30" customHeight="1" x14ac:dyDescent="0.35">
      <c r="B92" s="6" t="s">
        <v>195</v>
      </c>
      <c r="C92" s="56" t="s">
        <v>196</v>
      </c>
      <c r="D92" s="57"/>
      <c r="E92" s="57"/>
    </row>
    <row r="93" spans="2:5" ht="30" customHeight="1" x14ac:dyDescent="0.35">
      <c r="B93" s="6" t="s">
        <v>197</v>
      </c>
      <c r="C93" s="56" t="s">
        <v>198</v>
      </c>
      <c r="D93" s="57"/>
      <c r="E93" s="57"/>
    </row>
    <row r="94" spans="2:5" ht="30" customHeight="1" x14ac:dyDescent="0.35">
      <c r="B94" s="6" t="s">
        <v>199</v>
      </c>
      <c r="C94" s="56" t="s">
        <v>200</v>
      </c>
      <c r="D94" s="57"/>
      <c r="E94" s="57"/>
    </row>
    <row r="95" spans="2:5" ht="43.5" customHeight="1" x14ac:dyDescent="0.35">
      <c r="B95" s="6" t="s">
        <v>201</v>
      </c>
      <c r="C95" s="56" t="s">
        <v>202</v>
      </c>
      <c r="D95" s="57"/>
      <c r="E95" s="57"/>
    </row>
    <row r="97" spans="2:5" ht="16.5" customHeight="1" x14ac:dyDescent="0.35">
      <c r="B97" s="59" t="s">
        <v>203</v>
      </c>
      <c r="C97" s="55"/>
      <c r="D97" s="55"/>
      <c r="E97" s="55"/>
    </row>
    <row r="99" spans="2:5" ht="36" customHeight="1" x14ac:dyDescent="0.35">
      <c r="B99" s="61" t="s">
        <v>204</v>
      </c>
      <c r="C99" s="55"/>
      <c r="D99" s="55"/>
      <c r="E99" s="55"/>
    </row>
  </sheetData>
  <sheetProtection sheet="1"/>
  <mergeCells count="46">
    <mergeCell ref="B99:E99"/>
    <mergeCell ref="C10:E10"/>
    <mergeCell ref="B8:E8"/>
    <mergeCell ref="D24:E24"/>
    <mergeCell ref="D30:E30"/>
    <mergeCell ref="B53:E53"/>
    <mergeCell ref="C89:E89"/>
    <mergeCell ref="D33:E33"/>
    <mergeCell ref="D29:E29"/>
    <mergeCell ref="D23:E23"/>
    <mergeCell ref="C88:E88"/>
    <mergeCell ref="B97:E97"/>
    <mergeCell ref="B54:E54"/>
    <mergeCell ref="B7:E7"/>
    <mergeCell ref="D32:E32"/>
    <mergeCell ref="C82:E82"/>
    <mergeCell ref="C91:E91"/>
    <mergeCell ref="B18:E18"/>
    <mergeCell ref="C13:E13"/>
    <mergeCell ref="B52:E52"/>
    <mergeCell ref="D28:E28"/>
    <mergeCell ref="C92:E92"/>
    <mergeCell ref="C83:E83"/>
    <mergeCell ref="C15:E15"/>
    <mergeCell ref="B67:E67"/>
    <mergeCell ref="D25:E25"/>
    <mergeCell ref="C85:E85"/>
    <mergeCell ref="C95:E95"/>
    <mergeCell ref="D21:E21"/>
    <mergeCell ref="C11:E11"/>
    <mergeCell ref="B35:E35"/>
    <mergeCell ref="B50:E50"/>
    <mergeCell ref="C14:E14"/>
    <mergeCell ref="B9:E9"/>
    <mergeCell ref="C94:E94"/>
    <mergeCell ref="B49:E49"/>
    <mergeCell ref="C93:E93"/>
    <mergeCell ref="D34:E34"/>
    <mergeCell ref="C84:E84"/>
    <mergeCell ref="B68:E68"/>
    <mergeCell ref="B55:E55"/>
    <mergeCell ref="D22:E22"/>
    <mergeCell ref="B51:E51"/>
    <mergeCell ref="C90:E90"/>
    <mergeCell ref="D31:E31"/>
    <mergeCell ref="C12:E12"/>
  </mergeCells>
  <pageMargins left="0.75" right="0.75" top="1" bottom="1" header="0.5" footer="0.5"/>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6C5AB0"/>
  </sheetPr>
  <dimension ref="B1:N112"/>
  <sheetViews>
    <sheetView showGridLines="0" workbookViewId="0">
      <selection activeCell="B1" sqref="B1"/>
    </sheetView>
  </sheetViews>
  <sheetFormatPr baseColWidth="10" defaultColWidth="8.7265625" defaultRowHeight="14.5" x14ac:dyDescent="0.35"/>
  <cols>
    <col min="1" max="1" width="2" customWidth="1"/>
    <col min="2" max="2" width="26" customWidth="1"/>
    <col min="3" max="3" width="38" customWidth="1"/>
    <col min="4" max="6" width="14" customWidth="1"/>
    <col min="7" max="11" width="10" customWidth="1"/>
    <col min="12" max="12" width="13" customWidth="1"/>
    <col min="13" max="13" width="8" customWidth="1"/>
    <col min="14" max="14" width="13" customWidth="1"/>
    <col min="15" max="15" width="2" customWidth="1"/>
  </cols>
  <sheetData>
    <row r="1" spans="2:14" ht="20" customHeight="1" x14ac:dyDescent="0.35">
      <c r="B1" s="1" t="s">
        <v>0</v>
      </c>
      <c r="C1" s="1"/>
      <c r="D1" s="1"/>
      <c r="E1" s="1"/>
      <c r="F1" s="1"/>
      <c r="G1" s="1"/>
      <c r="H1" s="1"/>
      <c r="I1" s="1"/>
      <c r="J1" s="1"/>
      <c r="K1" s="1"/>
      <c r="L1" s="1"/>
      <c r="M1" s="1"/>
      <c r="N1" s="1"/>
    </row>
    <row r="2" spans="2:14" ht="26" customHeight="1" x14ac:dyDescent="0.35">
      <c r="B2" s="2" t="s">
        <v>205</v>
      </c>
    </row>
    <row r="3" spans="2:14" x14ac:dyDescent="0.35">
      <c r="B3" s="3" t="s">
        <v>206</v>
      </c>
    </row>
    <row r="5" spans="2:14" x14ac:dyDescent="0.35">
      <c r="B5" s="9" t="s">
        <v>207</v>
      </c>
    </row>
    <row r="6" spans="2:14" ht="18" customHeight="1" x14ac:dyDescent="0.35">
      <c r="B6" s="1" t="s">
        <v>208</v>
      </c>
      <c r="C6" s="1"/>
      <c r="D6" s="1"/>
      <c r="E6" s="1"/>
      <c r="F6" s="1"/>
      <c r="G6" s="1"/>
      <c r="H6" s="1"/>
      <c r="I6" s="1"/>
      <c r="J6" s="1"/>
      <c r="K6" s="1"/>
      <c r="L6" s="1"/>
      <c r="M6" s="1"/>
      <c r="N6" s="1"/>
    </row>
    <row r="7" spans="2:14" x14ac:dyDescent="0.35">
      <c r="B7" s="10" t="s">
        <v>209</v>
      </c>
      <c r="D7" s="11">
        <v>90</v>
      </c>
      <c r="E7" s="9" t="s">
        <v>210</v>
      </c>
    </row>
    <row r="8" spans="2:14" x14ac:dyDescent="0.35">
      <c r="B8" s="10" t="s">
        <v>211</v>
      </c>
      <c r="D8" s="12">
        <v>1</v>
      </c>
      <c r="E8" s="9" t="s">
        <v>212</v>
      </c>
    </row>
    <row r="9" spans="2:14" x14ac:dyDescent="0.35">
      <c r="B9" s="10" t="s">
        <v>213</v>
      </c>
      <c r="D9" s="13">
        <v>2.5</v>
      </c>
      <c r="E9" s="9" t="s">
        <v>214</v>
      </c>
    </row>
    <row r="10" spans="2:14" x14ac:dyDescent="0.35">
      <c r="B10" s="10" t="s">
        <v>215</v>
      </c>
      <c r="D10" s="12">
        <v>2</v>
      </c>
      <c r="E10" s="9" t="s">
        <v>216</v>
      </c>
    </row>
    <row r="11" spans="2:14" x14ac:dyDescent="0.35">
      <c r="B11" s="10" t="s">
        <v>217</v>
      </c>
      <c r="D11" s="14">
        <v>1</v>
      </c>
      <c r="E11" s="9" t="s">
        <v>218</v>
      </c>
    </row>
    <row r="13" spans="2:14" ht="18" customHeight="1" x14ac:dyDescent="0.35">
      <c r="B13" s="1" t="s">
        <v>219</v>
      </c>
      <c r="C13" s="1"/>
      <c r="D13" s="1"/>
      <c r="E13" s="1"/>
      <c r="F13" s="1"/>
      <c r="G13" s="1"/>
      <c r="H13" s="1"/>
      <c r="I13" s="1"/>
      <c r="J13" s="1"/>
      <c r="K13" s="1"/>
      <c r="L13" s="1"/>
      <c r="M13" s="1"/>
      <c r="N13" s="1"/>
    </row>
    <row r="14" spans="2:14" x14ac:dyDescent="0.35">
      <c r="B14" s="10" t="s">
        <v>220</v>
      </c>
      <c r="D14" s="14">
        <v>0.5</v>
      </c>
      <c r="E14" s="9" t="str">
        <f>"0 % = bas de fourchette, 100 % = haut. Repères (Référentiel) : province "&amp;ROUND(Référentiel!$C$27*100,1)&amp;" %"&amp;" à "&amp;ROUND(Référentiel!$D$27*100,1)&amp;" %"&amp;", Île-de-France "&amp;ROUND(Référentiel!$C$28*100,1)&amp;" %"&amp;" à "&amp;ROUND(Référentiel!$D$28*100,1)&amp;" %"&amp;", Paris "&amp;ROUND(Référentiel!$C$29*100,1)&amp;" %"&amp;" à "&amp;ROUND(Référentiel!$D$29*100,1)&amp;" %"&amp;"."</f>
        <v>0 % = bas de fourchette, 100 % = haut. Repères (Référentiel) : province 40 % à 60 %, Île-de-France 60 % à 80 %, Paris 70 % à 100 %.</v>
      </c>
    </row>
    <row r="15" spans="2:14" x14ac:dyDescent="0.35">
      <c r="B15" s="10" t="s">
        <v>221</v>
      </c>
      <c r="D15" s="15">
        <v>0.12</v>
      </c>
      <c r="E15" s="9" t="str">
        <f>"Rénovation dans l'ancien : "&amp;ROUND(Référentiel!$C$30*100,1)&amp;" %"&amp;" à "&amp;ROUND(Référentiel!$D$30*100,1)&amp;" %"&amp;" (Référentiel). En dessous, vous pariez."</f>
        <v>Rénovation dans l'ancien : 10 % à 15 % (Référentiel). En dessous, vous pariez.</v>
      </c>
    </row>
    <row r="16" spans="2:14" x14ac:dyDescent="0.35">
      <c r="B16" s="10" t="s">
        <v>222</v>
      </c>
      <c r="D16" s="15">
        <v>0.1</v>
      </c>
      <c r="E16" s="9" t="str">
        <f>"Maîtrise d'œuvre d'exécution "&amp;ROUND(Référentiel!$C$31*100,1)&amp;" %"&amp;" à "&amp;ROUND(Référentiel!$D$31*100,1)&amp;" %"&amp;", architecte en mission complète "&amp;ROUND(Référentiel!$C$32*100,1)&amp;" %"&amp;" à "&amp;ROUND(Référentiel!$D$32*100,1)&amp;" %"&amp;" (Référentiel). TVA à "&amp;ROUND(Référentiel!$C$10*100,1)&amp;" %"&amp;"."</f>
        <v>Maîtrise d'œuvre d'exécution 8 % à 12 %, architecte en mission complète 12 % à 18 % (Référentiel). TVA à 20 %.</v>
      </c>
    </row>
    <row r="18" spans="2:14" ht="18" customHeight="1" x14ac:dyDescent="0.35">
      <c r="B18" s="1" t="s">
        <v>223</v>
      </c>
      <c r="C18" s="1"/>
      <c r="D18" s="1"/>
      <c r="E18" s="1"/>
      <c r="F18" s="1"/>
      <c r="G18" s="1"/>
      <c r="H18" s="1"/>
      <c r="I18" s="1"/>
      <c r="J18" s="1"/>
      <c r="K18" s="1"/>
      <c r="L18" s="1"/>
      <c r="M18" s="1"/>
      <c r="N18" s="1"/>
    </row>
    <row r="19" spans="2:14" x14ac:dyDescent="0.35">
      <c r="B19" s="10" t="s">
        <v>224</v>
      </c>
      <c r="D19" s="16">
        <f>IF(AND(ISNUMBER($D$7),$D$7&gt;0,ISNUMBER($D$8),$D$8&gt;0),$D$7/$D$8,"")</f>
        <v>90</v>
      </c>
      <c r="E19" s="9" t="s">
        <v>225</v>
      </c>
    </row>
    <row r="20" spans="2:14" x14ac:dyDescent="0.35">
      <c r="B20" s="10" t="s">
        <v>226</v>
      </c>
      <c r="D20" s="17">
        <f>IF($D$19="","",Référentiel!$C$19*SQRT($D$19))</f>
        <v>39.844698518121582</v>
      </c>
      <c r="E20" s="9" t="s">
        <v>227</v>
      </c>
    </row>
    <row r="21" spans="2:14" x14ac:dyDescent="0.35">
      <c r="B21" s="10" t="s">
        <v>228</v>
      </c>
      <c r="D21" s="16">
        <f>IF($D$20="","",$D$20*$D$9*$D$8*$D$10/Référentiel!$C$20)</f>
        <v>49.80587314765198</v>
      </c>
      <c r="E21" s="9" t="s">
        <v>229</v>
      </c>
    </row>
    <row r="22" spans="2:14" x14ac:dyDescent="0.35">
      <c r="B22" s="10" t="s">
        <v>230</v>
      </c>
      <c r="D22" s="16">
        <f>IF($D$19="","",$D$7*$D$11)</f>
        <v>90</v>
      </c>
      <c r="E22" s="9" t="s">
        <v>231</v>
      </c>
    </row>
    <row r="23" spans="2:14" x14ac:dyDescent="0.35">
      <c r="B23" s="10" t="s">
        <v>232</v>
      </c>
      <c r="D23" s="16">
        <f>IF($D$19="","",$D$19*Référentiel!$C$21)</f>
        <v>108</v>
      </c>
      <c r="E23" s="9" t="s">
        <v>233</v>
      </c>
    </row>
    <row r="24" spans="2:14" x14ac:dyDescent="0.35">
      <c r="B24" s="10" t="s">
        <v>234</v>
      </c>
      <c r="D24" s="18" t="str">
        <f>IF(AND(ISNUMBER($D$7),$D$7&gt;=9,$D$7&lt;=5000,ISNUMBER($D$8),$D$8&gt;=1,$D$8&lt;=6,$D$8=INT($D$8),ISNUMBER($D$9),$D$9&gt;=2,$D$9&lt;=5,ISNUMBER($D$10),$D$10&gt;=0,$D$10&lt;=4,$D$10=INT($D$10),ISNUMBER($D$11),$D$11&gt;=0,$D$11&lt;=1,ISNUMBER($D$14),$D$14&gt;=0,$D$14&lt;=1,ISNUMBER($D$15),$D$15&gt;=0,$D$15&lt;=0.5,ISNUMBER($D$16),$D$16&gt;=0,$D$16&lt;=0.5,COUNTIF($F$29:$F$59,"&lt;0")=0,SUMPRODUCT(--ISTEXT($F$29:$F$59))=0,COUNTIF($J$29:$J$59,"&lt;0")=0,SUMPRODUCT(--ISTEXT($J$29:$J$59))=0),"OK","À CORRIGER")</f>
        <v>OK</v>
      </c>
      <c r="E24" s="9" t="s">
        <v>235</v>
      </c>
    </row>
    <row r="25" spans="2:14" x14ac:dyDescent="0.35">
      <c r="B25" s="10" t="s">
        <v>236</v>
      </c>
      <c r="D25" s="18" t="str">
        <f>IF(Référentiel!$C$7="OK","OK","À CORRIGER")</f>
        <v>OK</v>
      </c>
      <c r="E25" s="9" t="s">
        <v>237</v>
      </c>
    </row>
    <row r="27" spans="2:14" ht="18" customHeight="1" x14ac:dyDescent="0.35">
      <c r="B27" s="1" t="s">
        <v>238</v>
      </c>
      <c r="C27" s="1"/>
      <c r="D27" s="1"/>
      <c r="E27" s="1"/>
      <c r="F27" s="1"/>
      <c r="G27" s="1"/>
      <c r="H27" s="1"/>
      <c r="I27" s="1"/>
      <c r="J27" s="1"/>
      <c r="K27" s="1"/>
      <c r="L27" s="1"/>
      <c r="M27" s="1"/>
      <c r="N27" s="1"/>
    </row>
    <row r="28" spans="2:14" ht="30" customHeight="1" x14ac:dyDescent="0.35">
      <c r="B28" s="19" t="s">
        <v>239</v>
      </c>
      <c r="C28" s="19" t="s">
        <v>240</v>
      </c>
      <c r="D28" s="19" t="s">
        <v>241</v>
      </c>
      <c r="E28" s="19" t="s">
        <v>242</v>
      </c>
      <c r="F28" s="19" t="s">
        <v>243</v>
      </c>
      <c r="G28" s="19" t="s">
        <v>244</v>
      </c>
      <c r="H28" s="19" t="s">
        <v>245</v>
      </c>
      <c r="I28" s="19" t="s">
        <v>246</v>
      </c>
      <c r="J28" s="19" t="s">
        <v>247</v>
      </c>
      <c r="K28" s="19" t="s">
        <v>248</v>
      </c>
      <c r="L28" s="19" t="s">
        <v>249</v>
      </c>
      <c r="M28" s="19" t="s">
        <v>250</v>
      </c>
      <c r="N28" s="19" t="s">
        <v>112</v>
      </c>
    </row>
    <row r="29" spans="2:14" x14ac:dyDescent="0.35">
      <c r="B29" s="20" t="str">
        <f>Référentiel!$C$70</f>
        <v>Dépose et démolition</v>
      </c>
      <c r="C29" s="20" t="str">
        <f>Référentiel!$B$70</f>
        <v>Dépose de cloisons, sols et sanitaires</v>
      </c>
      <c r="D29" s="21" t="str">
        <f>Référentiel!$D$70</f>
        <v>m² au sol</v>
      </c>
      <c r="E29" s="22">
        <f>IF($D$19="","",ROUND($D$22*Référentiel!$I$70,0))</f>
        <v>90</v>
      </c>
      <c r="F29" s="12"/>
      <c r="G29" s="23">
        <f t="shared" ref="G29:G59" si="0">IF(F29="",E29,F29)</f>
        <v>90</v>
      </c>
      <c r="H29" s="24">
        <f>Référentiel!$E$70</f>
        <v>25</v>
      </c>
      <c r="I29" s="24">
        <f>Référentiel!$F$70</f>
        <v>60</v>
      </c>
      <c r="J29" s="25"/>
      <c r="K29" s="26">
        <f t="shared" ref="K29:K59" si="1">IF(J29="",H29+(I29-H29)*$D$14,J29)</f>
        <v>42.5</v>
      </c>
      <c r="L29" s="27">
        <f t="shared" ref="L29:L59" si="2">IF(OR(G29="",NOT(ISNUMBER(G29)),NOT(ISNUMBER(K29))),"",G29*K29)</f>
        <v>3825</v>
      </c>
      <c r="M29" s="28">
        <f>IF($D$78="",Référentiel!$G$70,$D$78)</f>
        <v>0.1</v>
      </c>
      <c r="N29" s="29">
        <f t="shared" ref="N29:N59" si="3">IF(OR(L29="",NOT(ISNUMBER(M29))),"",L29*(1+M29))</f>
        <v>4207.5</v>
      </c>
    </row>
    <row r="30" spans="2:14" x14ac:dyDescent="0.35">
      <c r="B30" s="20" t="str">
        <f>Référentiel!$C$71</f>
        <v>Dépose et démolition</v>
      </c>
      <c r="C30" s="20" t="str">
        <f>Référentiel!$B$71</f>
        <v>Évacuation en benne</v>
      </c>
      <c r="D30" s="21" t="str">
        <f>Référentiel!$D$71</f>
        <v>forfait</v>
      </c>
      <c r="E30" s="22">
        <f>IF($D$19="","",ROUNDUP($D$7*Référentiel!$I$71,0))</f>
        <v>1</v>
      </c>
      <c r="F30" s="12"/>
      <c r="G30" s="23">
        <f t="shared" si="0"/>
        <v>1</v>
      </c>
      <c r="H30" s="24">
        <f>Référentiel!$E$71</f>
        <v>400</v>
      </c>
      <c r="I30" s="24">
        <f>Référentiel!$F$71</f>
        <v>1200</v>
      </c>
      <c r="J30" s="25"/>
      <c r="K30" s="26">
        <f t="shared" si="1"/>
        <v>800</v>
      </c>
      <c r="L30" s="27">
        <f t="shared" si="2"/>
        <v>800</v>
      </c>
      <c r="M30" s="28">
        <f>IF($D$78="",Référentiel!$G$71,$D$78)</f>
        <v>0.1</v>
      </c>
      <c r="N30" s="29">
        <f t="shared" si="3"/>
        <v>880.00000000000011</v>
      </c>
    </row>
    <row r="31" spans="2:14" x14ac:dyDescent="0.35">
      <c r="B31" s="20" t="str">
        <f>Référentiel!$C$72</f>
        <v>Gros œuvre</v>
      </c>
      <c r="C31" s="20" t="str">
        <f>Référentiel!$B$72</f>
        <v>Ouverture dans un mur porteur avec IPN</v>
      </c>
      <c r="D31" s="21" t="str">
        <f>Référentiel!$D$72</f>
        <v>unité</v>
      </c>
      <c r="E31" s="22">
        <f>IF($D$19="","",ROUND($D$7*Référentiel!$I$72,0))</f>
        <v>0</v>
      </c>
      <c r="F31" s="12">
        <v>1</v>
      </c>
      <c r="G31" s="23">
        <f t="shared" si="0"/>
        <v>1</v>
      </c>
      <c r="H31" s="24">
        <f>Référentiel!$E$72</f>
        <v>1800</v>
      </c>
      <c r="I31" s="24">
        <f>Référentiel!$F$72</f>
        <v>4500</v>
      </c>
      <c r="J31" s="25"/>
      <c r="K31" s="26">
        <f t="shared" si="1"/>
        <v>3150</v>
      </c>
      <c r="L31" s="27">
        <f t="shared" si="2"/>
        <v>3150</v>
      </c>
      <c r="M31" s="28">
        <f>IF($D$78="",Référentiel!$G$72,$D$78)</f>
        <v>0.1</v>
      </c>
      <c r="N31" s="29">
        <f t="shared" si="3"/>
        <v>3465.0000000000005</v>
      </c>
    </row>
    <row r="32" spans="2:14" x14ac:dyDescent="0.35">
      <c r="B32" s="20" t="str">
        <f>Référentiel!$C$73</f>
        <v>Gros œuvre</v>
      </c>
      <c r="C32" s="20" t="str">
        <f>Référentiel!$B$73</f>
        <v>Reprise de maçonnerie et rebouchage</v>
      </c>
      <c r="D32" s="21" t="str">
        <f>Référentiel!$D$73</f>
        <v>m²</v>
      </c>
      <c r="E32" s="22">
        <f>IF($D$19="","",ROUND($D$7*Référentiel!$I$73,0))</f>
        <v>0</v>
      </c>
      <c r="F32" s="12">
        <v>20</v>
      </c>
      <c r="G32" s="23">
        <f t="shared" si="0"/>
        <v>20</v>
      </c>
      <c r="H32" s="24">
        <f>Référentiel!$E$73</f>
        <v>45</v>
      </c>
      <c r="I32" s="24">
        <f>Référentiel!$F$73</f>
        <v>110</v>
      </c>
      <c r="J32" s="25"/>
      <c r="K32" s="26">
        <f t="shared" si="1"/>
        <v>77.5</v>
      </c>
      <c r="L32" s="27">
        <f t="shared" si="2"/>
        <v>1550</v>
      </c>
      <c r="M32" s="28">
        <f>IF($D$78="",Référentiel!$G$73,$D$78)</f>
        <v>0.1</v>
      </c>
      <c r="N32" s="29">
        <f t="shared" si="3"/>
        <v>1705.0000000000002</v>
      </c>
    </row>
    <row r="33" spans="2:14" x14ac:dyDescent="0.35">
      <c r="B33" s="20" t="str">
        <f>Référentiel!$C$74</f>
        <v>Charpente et toiture</v>
      </c>
      <c r="C33" s="20" t="str">
        <f>Référentiel!$B$74</f>
        <v>Réfection de couverture en tuiles</v>
      </c>
      <c r="D33" s="21" t="str">
        <f>Référentiel!$D$74</f>
        <v>m² de toit</v>
      </c>
      <c r="E33" s="22">
        <f>IF($D$19="","",ROUND($D$23*Référentiel!$I$74,0))</f>
        <v>108</v>
      </c>
      <c r="F33" s="12">
        <v>0</v>
      </c>
      <c r="G33" s="23">
        <f t="shared" si="0"/>
        <v>0</v>
      </c>
      <c r="H33" s="24">
        <f>Référentiel!$E$74</f>
        <v>90</v>
      </c>
      <c r="I33" s="24">
        <f>Référentiel!$F$74</f>
        <v>190</v>
      </c>
      <c r="J33" s="25"/>
      <c r="K33" s="26">
        <f t="shared" si="1"/>
        <v>140</v>
      </c>
      <c r="L33" s="27">
        <f t="shared" si="2"/>
        <v>0</v>
      </c>
      <c r="M33" s="28">
        <f>IF($D$78="",Référentiel!$G$74,$D$78)</f>
        <v>0.1</v>
      </c>
      <c r="N33" s="29">
        <f t="shared" si="3"/>
        <v>0</v>
      </c>
    </row>
    <row r="34" spans="2:14" x14ac:dyDescent="0.35">
      <c r="B34" s="20" t="str">
        <f>Référentiel!$C$75</f>
        <v>Charpente et toiture</v>
      </c>
      <c r="C34" s="20" t="str">
        <f>Référentiel!$B$75</f>
        <v>Traitement de charpente</v>
      </c>
      <c r="D34" s="21" t="str">
        <f>Référentiel!$D$75</f>
        <v>m² au sol</v>
      </c>
      <c r="E34" s="22">
        <f>IF($D$19="","",ROUND($D$19*Référentiel!$I$75,0))</f>
        <v>90</v>
      </c>
      <c r="F34" s="12">
        <v>0</v>
      </c>
      <c r="G34" s="23">
        <f t="shared" si="0"/>
        <v>0</v>
      </c>
      <c r="H34" s="24">
        <f>Référentiel!$E$75</f>
        <v>25</v>
      </c>
      <c r="I34" s="24">
        <f>Référentiel!$F$75</f>
        <v>55</v>
      </c>
      <c r="J34" s="25"/>
      <c r="K34" s="26">
        <f t="shared" si="1"/>
        <v>40</v>
      </c>
      <c r="L34" s="27">
        <f t="shared" si="2"/>
        <v>0</v>
      </c>
      <c r="M34" s="28">
        <f>IF($D$78="",Référentiel!$G$75,$D$78)</f>
        <v>0.1</v>
      </c>
      <c r="N34" s="29">
        <f t="shared" si="3"/>
        <v>0</v>
      </c>
    </row>
    <row r="35" spans="2:14" x14ac:dyDescent="0.35">
      <c r="B35" s="20" t="str">
        <f>Référentiel!$C$76</f>
        <v>Menuiseries extérieures</v>
      </c>
      <c r="C35" s="20" t="str">
        <f>Référentiel!$B$76</f>
        <v>Fenêtre PVC double vitrage posée</v>
      </c>
      <c r="D35" s="21" t="str">
        <f>Référentiel!$D$76</f>
        <v>unité</v>
      </c>
      <c r="E35" s="22">
        <f>IF($D$19="","",ROUND($D$7*Référentiel!$I$76,0))</f>
        <v>7</v>
      </c>
      <c r="F35" s="12"/>
      <c r="G35" s="23">
        <f t="shared" si="0"/>
        <v>7</v>
      </c>
      <c r="H35" s="24">
        <f>Référentiel!$E$76</f>
        <v>550</v>
      </c>
      <c r="I35" s="24">
        <f>Référentiel!$F$76</f>
        <v>1400</v>
      </c>
      <c r="J35" s="25"/>
      <c r="K35" s="26">
        <f t="shared" si="1"/>
        <v>975</v>
      </c>
      <c r="L35" s="27">
        <f t="shared" si="2"/>
        <v>6825</v>
      </c>
      <c r="M35" s="28">
        <f>IF($D$78="",Référentiel!$G$76,$D$78)</f>
        <v>5.5E-2</v>
      </c>
      <c r="N35" s="29">
        <f t="shared" si="3"/>
        <v>7200.375</v>
      </c>
    </row>
    <row r="36" spans="2:14" x14ac:dyDescent="0.35">
      <c r="B36" s="20" t="str">
        <f>Référentiel!$C$77</f>
        <v>Menuiseries extérieures</v>
      </c>
      <c r="C36" s="20" t="str">
        <f>Référentiel!$B$77</f>
        <v>Porte d'entrée</v>
      </c>
      <c r="D36" s="21" t="str">
        <f>Référentiel!$D$77</f>
        <v>unité</v>
      </c>
      <c r="E36" s="22">
        <f>ROUND(Référentiel!$I$77,0)</f>
        <v>1</v>
      </c>
      <c r="F36" s="12"/>
      <c r="G36" s="23">
        <f t="shared" si="0"/>
        <v>1</v>
      </c>
      <c r="H36" s="24">
        <f>Référentiel!$E$77</f>
        <v>900</v>
      </c>
      <c r="I36" s="24">
        <f>Référentiel!$F$77</f>
        <v>2600</v>
      </c>
      <c r="J36" s="25"/>
      <c r="K36" s="26">
        <f t="shared" si="1"/>
        <v>1750</v>
      </c>
      <c r="L36" s="27">
        <f t="shared" si="2"/>
        <v>1750</v>
      </c>
      <c r="M36" s="28">
        <f>IF($D$78="",Référentiel!$G$77,$D$78)</f>
        <v>5.5E-2</v>
      </c>
      <c r="N36" s="29">
        <f t="shared" si="3"/>
        <v>1846.25</v>
      </c>
    </row>
    <row r="37" spans="2:14" x14ac:dyDescent="0.35">
      <c r="B37" s="20" t="str">
        <f>Référentiel!$C$78</f>
        <v>Isolation</v>
      </c>
      <c r="C37" s="20" t="str">
        <f>Référentiel!$B$78</f>
        <v>Isolation des murs par l'intérieur</v>
      </c>
      <c r="D37" s="21" t="str">
        <f>Référentiel!$D$78</f>
        <v>m² de mur</v>
      </c>
      <c r="E37" s="22">
        <f>IF($D$19="","",ROUND($D$21*Référentiel!$I$78,0))</f>
        <v>50</v>
      </c>
      <c r="F37" s="12"/>
      <c r="G37" s="23">
        <f t="shared" si="0"/>
        <v>50</v>
      </c>
      <c r="H37" s="24">
        <f>Référentiel!$E$78</f>
        <v>45</v>
      </c>
      <c r="I37" s="24">
        <f>Référentiel!$F$78</f>
        <v>95</v>
      </c>
      <c r="J37" s="25"/>
      <c r="K37" s="26">
        <f t="shared" si="1"/>
        <v>70</v>
      </c>
      <c r="L37" s="27">
        <f t="shared" si="2"/>
        <v>3500</v>
      </c>
      <c r="M37" s="28">
        <f>IF($D$78="",Référentiel!$G$78,$D$78)</f>
        <v>5.5E-2</v>
      </c>
      <c r="N37" s="29">
        <f t="shared" si="3"/>
        <v>3692.5</v>
      </c>
    </row>
    <row r="38" spans="2:14" x14ac:dyDescent="0.35">
      <c r="B38" s="20" t="str">
        <f>Référentiel!$C$79</f>
        <v>Isolation</v>
      </c>
      <c r="C38" s="20" t="str">
        <f>Référentiel!$B$79</f>
        <v>Isolation des combles perdus</v>
      </c>
      <c r="D38" s="21" t="str">
        <f>Référentiel!$D$79</f>
        <v>m² au sol</v>
      </c>
      <c r="E38" s="22">
        <f>IF($D$19="","",ROUND($D$19*Référentiel!$I$79,0))</f>
        <v>90</v>
      </c>
      <c r="F38" s="12">
        <v>0</v>
      </c>
      <c r="G38" s="23">
        <f t="shared" si="0"/>
        <v>0</v>
      </c>
      <c r="H38" s="24">
        <f>Référentiel!$E$79</f>
        <v>25</v>
      </c>
      <c r="I38" s="24">
        <f>Référentiel!$F$79</f>
        <v>60</v>
      </c>
      <c r="J38" s="25"/>
      <c r="K38" s="26">
        <f t="shared" si="1"/>
        <v>42.5</v>
      </c>
      <c r="L38" s="27">
        <f t="shared" si="2"/>
        <v>0</v>
      </c>
      <c r="M38" s="28">
        <f>IF($D$78="",Référentiel!$G$79,$D$78)</f>
        <v>5.5E-2</v>
      </c>
      <c r="N38" s="29">
        <f t="shared" si="3"/>
        <v>0</v>
      </c>
    </row>
    <row r="39" spans="2:14" x14ac:dyDescent="0.35">
      <c r="B39" s="20" t="str">
        <f>Référentiel!$C$80</f>
        <v>Cloisons et plâtrerie</v>
      </c>
      <c r="C39" s="20" t="str">
        <f>Référentiel!$B$80</f>
        <v>Cloison placo sur ossature</v>
      </c>
      <c r="D39" s="21" t="str">
        <f>Référentiel!$D$80</f>
        <v>m²</v>
      </c>
      <c r="E39" s="22">
        <f>IF($D$19="","",ROUND($D$22*$D$9*Référentiel!$I$80,0))</f>
        <v>45</v>
      </c>
      <c r="F39" s="12"/>
      <c r="G39" s="23">
        <f t="shared" si="0"/>
        <v>45</v>
      </c>
      <c r="H39" s="24">
        <f>Référentiel!$E$80</f>
        <v>45</v>
      </c>
      <c r="I39" s="24">
        <f>Référentiel!$F$80</f>
        <v>95</v>
      </c>
      <c r="J39" s="25"/>
      <c r="K39" s="26">
        <f t="shared" si="1"/>
        <v>70</v>
      </c>
      <c r="L39" s="27">
        <f t="shared" si="2"/>
        <v>3150</v>
      </c>
      <c r="M39" s="28">
        <f>IF($D$78="",Référentiel!$G$80,$D$78)</f>
        <v>0.1</v>
      </c>
      <c r="N39" s="29">
        <f t="shared" si="3"/>
        <v>3465.0000000000005</v>
      </c>
    </row>
    <row r="40" spans="2:14" x14ac:dyDescent="0.35">
      <c r="B40" s="20" t="str">
        <f>Référentiel!$C$81</f>
        <v>Cloisons et plâtrerie</v>
      </c>
      <c r="C40" s="20" t="str">
        <f>Référentiel!$B$81</f>
        <v>Doublage et enduit de finition</v>
      </c>
      <c r="D40" s="21" t="str">
        <f>Référentiel!$D$81</f>
        <v>m²</v>
      </c>
      <c r="E40" s="22">
        <f>IF($D$19="","",ROUND($D$21*Référentiel!$I$81,0))</f>
        <v>50</v>
      </c>
      <c r="F40" s="12"/>
      <c r="G40" s="23">
        <f t="shared" si="0"/>
        <v>50</v>
      </c>
      <c r="H40" s="24">
        <f>Référentiel!$E$81</f>
        <v>30</v>
      </c>
      <c r="I40" s="24">
        <f>Référentiel!$F$81</f>
        <v>65</v>
      </c>
      <c r="J40" s="25"/>
      <c r="K40" s="26">
        <f t="shared" si="1"/>
        <v>47.5</v>
      </c>
      <c r="L40" s="27">
        <f t="shared" si="2"/>
        <v>2375</v>
      </c>
      <c r="M40" s="28">
        <f>IF($D$78="",Référentiel!$G$81,$D$78)</f>
        <v>0.1</v>
      </c>
      <c r="N40" s="29">
        <f t="shared" si="3"/>
        <v>2612.5</v>
      </c>
    </row>
    <row r="41" spans="2:14" x14ac:dyDescent="0.35">
      <c r="B41" s="20" t="str">
        <f>Référentiel!$C$82</f>
        <v>Électricité</v>
      </c>
      <c r="C41" s="20" t="str">
        <f>Référentiel!$B$82</f>
        <v>Électricité complète, NF C 15-100</v>
      </c>
      <c r="D41" s="21" t="str">
        <f>Référentiel!$D$82</f>
        <v>m² au sol</v>
      </c>
      <c r="E41" s="22">
        <f>IF($D$19="","",ROUND($D$22*Référentiel!$I$82,0))</f>
        <v>90</v>
      </c>
      <c r="F41" s="12"/>
      <c r="G41" s="23">
        <f t="shared" si="0"/>
        <v>90</v>
      </c>
      <c r="H41" s="24">
        <f>Référentiel!$E$82</f>
        <v>90</v>
      </c>
      <c r="I41" s="24">
        <f>Référentiel!$F$82</f>
        <v>165</v>
      </c>
      <c r="J41" s="25"/>
      <c r="K41" s="26">
        <f t="shared" si="1"/>
        <v>127.5</v>
      </c>
      <c r="L41" s="27">
        <f t="shared" si="2"/>
        <v>11475</v>
      </c>
      <c r="M41" s="28">
        <f>IF($D$78="",Référentiel!$G$82,$D$78)</f>
        <v>0.1</v>
      </c>
      <c r="N41" s="29">
        <f t="shared" si="3"/>
        <v>12622.500000000002</v>
      </c>
    </row>
    <row r="42" spans="2:14" x14ac:dyDescent="0.35">
      <c r="B42" s="20" t="str">
        <f>Référentiel!$C$83</f>
        <v>Électricité</v>
      </c>
      <c r="C42" s="20" t="str">
        <f>Référentiel!$B$83</f>
        <v>Tableau électrique neuf</v>
      </c>
      <c r="D42" s="21" t="str">
        <f>Référentiel!$D$83</f>
        <v>unité</v>
      </c>
      <c r="E42" s="22">
        <f>ROUND(Référentiel!$I$83,0)</f>
        <v>1</v>
      </c>
      <c r="F42" s="12"/>
      <c r="G42" s="23">
        <f t="shared" si="0"/>
        <v>1</v>
      </c>
      <c r="H42" s="24">
        <f>Référentiel!$E$83</f>
        <v>900</v>
      </c>
      <c r="I42" s="24">
        <f>Référentiel!$F$83</f>
        <v>2200</v>
      </c>
      <c r="J42" s="25"/>
      <c r="K42" s="26">
        <f t="shared" si="1"/>
        <v>1550</v>
      </c>
      <c r="L42" s="27">
        <f t="shared" si="2"/>
        <v>1550</v>
      </c>
      <c r="M42" s="28">
        <f>IF($D$78="",Référentiel!$G$83,$D$78)</f>
        <v>0.1</v>
      </c>
      <c r="N42" s="29">
        <f t="shared" si="3"/>
        <v>1705.0000000000002</v>
      </c>
    </row>
    <row r="43" spans="2:14" x14ac:dyDescent="0.35">
      <c r="B43" s="20" t="str">
        <f>Référentiel!$C$84</f>
        <v>Plomberie et chauffage</v>
      </c>
      <c r="C43" s="20" t="str">
        <f>Référentiel!$B$84</f>
        <v>Réseau plomberie complet</v>
      </c>
      <c r="D43" s="21" t="str">
        <f>Référentiel!$D$84</f>
        <v>m² au sol</v>
      </c>
      <c r="E43" s="22">
        <f>IF($D$19="","",ROUND($D$22*Référentiel!$I$84,0))</f>
        <v>90</v>
      </c>
      <c r="F43" s="12"/>
      <c r="G43" s="23">
        <f t="shared" si="0"/>
        <v>90</v>
      </c>
      <c r="H43" s="24">
        <f>Référentiel!$E$84</f>
        <v>55</v>
      </c>
      <c r="I43" s="24">
        <f>Référentiel!$F$84</f>
        <v>120</v>
      </c>
      <c r="J43" s="25"/>
      <c r="K43" s="26">
        <f t="shared" si="1"/>
        <v>87.5</v>
      </c>
      <c r="L43" s="27">
        <f t="shared" si="2"/>
        <v>7875</v>
      </c>
      <c r="M43" s="28">
        <f>IF($D$78="",Référentiel!$G$84,$D$78)</f>
        <v>0.1</v>
      </c>
      <c r="N43" s="29">
        <f t="shared" si="3"/>
        <v>8662.5</v>
      </c>
    </row>
    <row r="44" spans="2:14" x14ac:dyDescent="0.35">
      <c r="B44" s="20" t="str">
        <f>Référentiel!$C$85</f>
        <v>Plomberie et chauffage</v>
      </c>
      <c r="C44" s="20" t="str">
        <f>Référentiel!$B$85</f>
        <v>Pompe à chaleur air/eau ou air/air</v>
      </c>
      <c r="D44" s="21" t="str">
        <f>Référentiel!$D$85</f>
        <v>unité</v>
      </c>
      <c r="E44" s="22">
        <f>ROUND(Référentiel!$I$85,0)</f>
        <v>1</v>
      </c>
      <c r="F44" s="12"/>
      <c r="G44" s="23">
        <f t="shared" si="0"/>
        <v>1</v>
      </c>
      <c r="H44" s="24">
        <f>Référentiel!$E$85</f>
        <v>3500</v>
      </c>
      <c r="I44" s="24">
        <f>Référentiel!$F$85</f>
        <v>14000</v>
      </c>
      <c r="J44" s="25"/>
      <c r="K44" s="26">
        <f t="shared" si="1"/>
        <v>8750</v>
      </c>
      <c r="L44" s="27">
        <f t="shared" si="2"/>
        <v>8750</v>
      </c>
      <c r="M44" s="28">
        <f>IF($D$78="",Référentiel!$G$85,$D$78)</f>
        <v>5.5E-2</v>
      </c>
      <c r="N44" s="29">
        <f t="shared" si="3"/>
        <v>9231.25</v>
      </c>
    </row>
    <row r="45" spans="2:14" x14ac:dyDescent="0.35">
      <c r="B45" s="20" t="str">
        <f>Référentiel!$C$86</f>
        <v>Plomberie et chauffage</v>
      </c>
      <c r="C45" s="20" t="str">
        <f>Référentiel!$B$86</f>
        <v>Chaudière gaz ou fioul posée</v>
      </c>
      <c r="D45" s="21" t="str">
        <f>Référentiel!$D$86</f>
        <v>unité</v>
      </c>
      <c r="E45" s="22">
        <f>ROUND(Référentiel!$I$86,0)</f>
        <v>1</v>
      </c>
      <c r="F45" s="12">
        <v>0</v>
      </c>
      <c r="G45" s="23">
        <f t="shared" si="0"/>
        <v>0</v>
      </c>
      <c r="H45" s="24">
        <f>Référentiel!$E$86</f>
        <v>4000</v>
      </c>
      <c r="I45" s="24">
        <f>Référentiel!$F$86</f>
        <v>7000</v>
      </c>
      <c r="J45" s="25"/>
      <c r="K45" s="26">
        <f t="shared" si="1"/>
        <v>5500</v>
      </c>
      <c r="L45" s="27">
        <f t="shared" si="2"/>
        <v>0</v>
      </c>
      <c r="M45" s="28">
        <f>IF($D$78="",Référentiel!$G$86,$D$78)</f>
        <v>0.2</v>
      </c>
      <c r="N45" s="29">
        <f t="shared" si="3"/>
        <v>0</v>
      </c>
    </row>
    <row r="46" spans="2:14" x14ac:dyDescent="0.35">
      <c r="B46" s="20" t="str">
        <f>Référentiel!$C$87</f>
        <v>Plomberie et chauffage</v>
      </c>
      <c r="C46" s="20" t="str">
        <f>Référentiel!$B$87</f>
        <v>Radiateurs posés</v>
      </c>
      <c r="D46" s="21" t="str">
        <f>Référentiel!$D$87</f>
        <v>unité</v>
      </c>
      <c r="E46" s="22">
        <f>IF($D$19="","",ROUND($D$7*Référentiel!$I$87,0))</f>
        <v>6</v>
      </c>
      <c r="F46" s="12"/>
      <c r="G46" s="23">
        <f t="shared" si="0"/>
        <v>6</v>
      </c>
      <c r="H46" s="24">
        <f>Référentiel!$E$87</f>
        <v>250</v>
      </c>
      <c r="I46" s="24">
        <f>Référentiel!$F$87</f>
        <v>800</v>
      </c>
      <c r="J46" s="25"/>
      <c r="K46" s="26">
        <f t="shared" si="1"/>
        <v>525</v>
      </c>
      <c r="L46" s="27">
        <f t="shared" si="2"/>
        <v>3150</v>
      </c>
      <c r="M46" s="28">
        <f>IF($D$78="",Référentiel!$G$87,$D$78)</f>
        <v>0.1</v>
      </c>
      <c r="N46" s="29">
        <f t="shared" si="3"/>
        <v>3465.0000000000005</v>
      </c>
    </row>
    <row r="47" spans="2:14" x14ac:dyDescent="0.35">
      <c r="B47" s="20" t="str">
        <f>Référentiel!$C$88</f>
        <v>Ventilation</v>
      </c>
      <c r="C47" s="20" t="str">
        <f>Référentiel!$B$88</f>
        <v>VMC hygroréglable ou double flux</v>
      </c>
      <c r="D47" s="21" t="str">
        <f>Référentiel!$D$88</f>
        <v>logement</v>
      </c>
      <c r="E47" s="22">
        <f>ROUND(Référentiel!$I$88,0)</f>
        <v>1</v>
      </c>
      <c r="F47" s="12"/>
      <c r="G47" s="23">
        <f t="shared" si="0"/>
        <v>1</v>
      </c>
      <c r="H47" s="24">
        <f>Référentiel!$E$88</f>
        <v>700</v>
      </c>
      <c r="I47" s="24">
        <f>Référentiel!$F$88</f>
        <v>5500</v>
      </c>
      <c r="J47" s="25"/>
      <c r="K47" s="26">
        <f t="shared" si="1"/>
        <v>3100</v>
      </c>
      <c r="L47" s="27">
        <f t="shared" si="2"/>
        <v>3100</v>
      </c>
      <c r="M47" s="28">
        <f>IF($D$78="",Référentiel!$G$88,$D$78)</f>
        <v>5.5E-2</v>
      </c>
      <c r="N47" s="29">
        <f t="shared" si="3"/>
        <v>3270.5</v>
      </c>
    </row>
    <row r="48" spans="2:14" x14ac:dyDescent="0.35">
      <c r="B48" s="20" t="str">
        <f>Référentiel!$C$89</f>
        <v>Revêtements de sol</v>
      </c>
      <c r="C48" s="20" t="str">
        <f>Référentiel!$B$89</f>
        <v>Parquet stratifié ou contrecollé posé</v>
      </c>
      <c r="D48" s="21" t="str">
        <f>Référentiel!$D$89</f>
        <v>m²</v>
      </c>
      <c r="E48" s="22">
        <f>IF($D$19="","",ROUND($D$22*Référentiel!$I$89,0))</f>
        <v>63</v>
      </c>
      <c r="F48" s="12"/>
      <c r="G48" s="23">
        <f t="shared" si="0"/>
        <v>63</v>
      </c>
      <c r="H48" s="24">
        <f>Référentiel!$E$89</f>
        <v>35</v>
      </c>
      <c r="I48" s="24">
        <f>Référentiel!$F$89</f>
        <v>110</v>
      </c>
      <c r="J48" s="25"/>
      <c r="K48" s="26">
        <f t="shared" si="1"/>
        <v>72.5</v>
      </c>
      <c r="L48" s="27">
        <f t="shared" si="2"/>
        <v>4567.5</v>
      </c>
      <c r="M48" s="28">
        <f>IF($D$78="",Référentiel!$G$89,$D$78)</f>
        <v>0.1</v>
      </c>
      <c r="N48" s="29">
        <f t="shared" si="3"/>
        <v>5024.25</v>
      </c>
    </row>
    <row r="49" spans="2:14" x14ac:dyDescent="0.35">
      <c r="B49" s="20" t="str">
        <f>Référentiel!$C$90</f>
        <v>Revêtements de sol</v>
      </c>
      <c r="C49" s="20" t="str">
        <f>Référentiel!$B$90</f>
        <v>Carrelage posé</v>
      </c>
      <c r="D49" s="21" t="str">
        <f>Référentiel!$D$90</f>
        <v>m²</v>
      </c>
      <c r="E49" s="22">
        <f>IF($D$19="","",ROUND($D$22*Référentiel!$I$90,0))</f>
        <v>27</v>
      </c>
      <c r="F49" s="12"/>
      <c r="G49" s="23">
        <f t="shared" si="0"/>
        <v>27</v>
      </c>
      <c r="H49" s="24">
        <f>Référentiel!$E$90</f>
        <v>55</v>
      </c>
      <c r="I49" s="24">
        <f>Référentiel!$F$90</f>
        <v>140</v>
      </c>
      <c r="J49" s="25"/>
      <c r="K49" s="26">
        <f t="shared" si="1"/>
        <v>97.5</v>
      </c>
      <c r="L49" s="27">
        <f t="shared" si="2"/>
        <v>2632.5</v>
      </c>
      <c r="M49" s="28">
        <f>IF($D$78="",Référentiel!$G$90,$D$78)</f>
        <v>0.1</v>
      </c>
      <c r="N49" s="29">
        <f t="shared" si="3"/>
        <v>2895.7500000000005</v>
      </c>
    </row>
    <row r="50" spans="2:14" x14ac:dyDescent="0.35">
      <c r="B50" s="20" t="str">
        <f>Référentiel!$C$91</f>
        <v>Peinture et finitions</v>
      </c>
      <c r="C50" s="20" t="str">
        <f>Référentiel!$B$91</f>
        <v>Peinture murs et plafonds</v>
      </c>
      <c r="D50" s="21" t="str">
        <f>Référentiel!$D$91</f>
        <v>m² au sol</v>
      </c>
      <c r="E50" s="22">
        <f>IF($D$19="","",ROUND($D$22*Référentiel!$I$91,0))</f>
        <v>90</v>
      </c>
      <c r="F50" s="12"/>
      <c r="G50" s="23">
        <f t="shared" si="0"/>
        <v>90</v>
      </c>
      <c r="H50" s="24">
        <f>Référentiel!$E$91</f>
        <v>52</v>
      </c>
      <c r="I50" s="24">
        <f>Référentiel!$F$91</f>
        <v>112</v>
      </c>
      <c r="J50" s="25"/>
      <c r="K50" s="26">
        <f t="shared" si="1"/>
        <v>82</v>
      </c>
      <c r="L50" s="27">
        <f t="shared" si="2"/>
        <v>7380</v>
      </c>
      <c r="M50" s="28">
        <f>IF($D$78="",Référentiel!$G$91,$D$78)</f>
        <v>0.1</v>
      </c>
      <c r="N50" s="29">
        <f t="shared" si="3"/>
        <v>8118.0000000000009</v>
      </c>
    </row>
    <row r="51" spans="2:14" x14ac:dyDescent="0.35">
      <c r="B51" s="20" t="str">
        <f>Référentiel!$C$92</f>
        <v>Menuiseries intérieures</v>
      </c>
      <c r="C51" s="20" t="str">
        <f>Référentiel!$B$92</f>
        <v>Bloc-porte posé</v>
      </c>
      <c r="D51" s="21" t="str">
        <f>Référentiel!$D$92</f>
        <v>unité</v>
      </c>
      <c r="E51" s="22">
        <f>IF($D$19="","",ROUND($D$7*Référentiel!$I$92,0))</f>
        <v>6</v>
      </c>
      <c r="F51" s="12"/>
      <c r="G51" s="23">
        <f t="shared" si="0"/>
        <v>6</v>
      </c>
      <c r="H51" s="24">
        <f>Référentiel!$E$92</f>
        <v>250</v>
      </c>
      <c r="I51" s="24">
        <f>Référentiel!$F$92</f>
        <v>650</v>
      </c>
      <c r="J51" s="25"/>
      <c r="K51" s="26">
        <f t="shared" si="1"/>
        <v>450</v>
      </c>
      <c r="L51" s="27">
        <f t="shared" si="2"/>
        <v>2700</v>
      </c>
      <c r="M51" s="28">
        <f>IF($D$78="",Référentiel!$G$92,$D$78)</f>
        <v>0.1</v>
      </c>
      <c r="N51" s="29">
        <f t="shared" si="3"/>
        <v>2970.0000000000005</v>
      </c>
    </row>
    <row r="52" spans="2:14" x14ac:dyDescent="0.35">
      <c r="B52" s="20" t="str">
        <f>Référentiel!$C$93</f>
        <v>Cuisine</v>
      </c>
      <c r="C52" s="20" t="str">
        <f>Référentiel!$B$93</f>
        <v>Cuisine équipée posée</v>
      </c>
      <c r="D52" s="21" t="str">
        <f>Référentiel!$D$93</f>
        <v>unité</v>
      </c>
      <c r="E52" s="22">
        <f>ROUND(Référentiel!$I$93,0)</f>
        <v>1</v>
      </c>
      <c r="F52" s="12"/>
      <c r="G52" s="23">
        <f t="shared" si="0"/>
        <v>1</v>
      </c>
      <c r="H52" s="24">
        <f>Référentiel!$E$93</f>
        <v>3500</v>
      </c>
      <c r="I52" s="24">
        <f>Référentiel!$F$93</f>
        <v>15000</v>
      </c>
      <c r="J52" s="25"/>
      <c r="K52" s="26">
        <f t="shared" si="1"/>
        <v>9250</v>
      </c>
      <c r="L52" s="27">
        <f t="shared" si="2"/>
        <v>9250</v>
      </c>
      <c r="M52" s="28">
        <f>IF($D$78="",Référentiel!$G$93,$D$78)</f>
        <v>0.1</v>
      </c>
      <c r="N52" s="29">
        <f t="shared" si="3"/>
        <v>10175</v>
      </c>
    </row>
    <row r="53" spans="2:14" x14ac:dyDescent="0.35">
      <c r="B53" s="20" t="str">
        <f>Référentiel!$C$94</f>
        <v>Salle de bains</v>
      </c>
      <c r="C53" s="20" t="str">
        <f>Référentiel!$B$94</f>
        <v>Salle de bains complète</v>
      </c>
      <c r="D53" s="21" t="str">
        <f>Référentiel!$D$94</f>
        <v>unité</v>
      </c>
      <c r="E53" s="22">
        <f>IF($D$19="","",MAX(1,ROUND($D$7*Référentiel!$I$94,0)))</f>
        <v>1</v>
      </c>
      <c r="F53" s="12"/>
      <c r="G53" s="23">
        <f t="shared" si="0"/>
        <v>1</v>
      </c>
      <c r="H53" s="24">
        <f>Référentiel!$E$94</f>
        <v>4000</v>
      </c>
      <c r="I53" s="24">
        <f>Référentiel!$F$94</f>
        <v>14000</v>
      </c>
      <c r="J53" s="25"/>
      <c r="K53" s="26">
        <f t="shared" si="1"/>
        <v>9000</v>
      </c>
      <c r="L53" s="27">
        <f t="shared" si="2"/>
        <v>9000</v>
      </c>
      <c r="M53" s="28">
        <f>IF($D$78="",Référentiel!$G$94,$D$78)</f>
        <v>0.1</v>
      </c>
      <c r="N53" s="29">
        <f t="shared" si="3"/>
        <v>9900</v>
      </c>
    </row>
    <row r="54" spans="2:14" x14ac:dyDescent="0.35">
      <c r="B54" s="20" t="str">
        <f>Référentiel!$C$95</f>
        <v>Salle de bains</v>
      </c>
      <c r="C54" s="20" t="str">
        <f>Référentiel!$B$95</f>
        <v>WC suspendu posé</v>
      </c>
      <c r="D54" s="21" t="str">
        <f>Référentiel!$D$95</f>
        <v>unité</v>
      </c>
      <c r="E54" s="22">
        <f>IF($D$19="","",MAX(1,ROUND($D$7*Référentiel!$I$95,0)))</f>
        <v>2</v>
      </c>
      <c r="F54" s="12"/>
      <c r="G54" s="23">
        <f t="shared" si="0"/>
        <v>2</v>
      </c>
      <c r="H54" s="24">
        <f>Référentiel!$E$95</f>
        <v>450</v>
      </c>
      <c r="I54" s="24">
        <f>Référentiel!$F$95</f>
        <v>1100</v>
      </c>
      <c r="J54" s="25"/>
      <c r="K54" s="26">
        <f t="shared" si="1"/>
        <v>775</v>
      </c>
      <c r="L54" s="27">
        <f t="shared" si="2"/>
        <v>1550</v>
      </c>
      <c r="M54" s="28">
        <f>IF($D$78="",Référentiel!$G$95,$D$78)</f>
        <v>0.1</v>
      </c>
      <c r="N54" s="29">
        <f t="shared" si="3"/>
        <v>1705.0000000000002</v>
      </c>
    </row>
    <row r="55" spans="2:14" x14ac:dyDescent="0.35">
      <c r="B55" s="20" t="str">
        <f>Référentiel!$C$96</f>
        <v>Extérieurs</v>
      </c>
      <c r="C55" s="20" t="str">
        <f>Référentiel!$B$96</f>
        <v>Ravalement de façade</v>
      </c>
      <c r="D55" s="21" t="str">
        <f>Référentiel!$D$96</f>
        <v>m² de façade</v>
      </c>
      <c r="E55" s="22">
        <f>IF($D$19="","",ROUND($D$21*Référentiel!$I$96,0))</f>
        <v>50</v>
      </c>
      <c r="F55" s="12">
        <v>0</v>
      </c>
      <c r="G55" s="23">
        <f t="shared" si="0"/>
        <v>0</v>
      </c>
      <c r="H55" s="24">
        <f>Référentiel!$E$96</f>
        <v>50</v>
      </c>
      <c r="I55" s="24">
        <f>Référentiel!$F$96</f>
        <v>130</v>
      </c>
      <c r="J55" s="25"/>
      <c r="K55" s="26">
        <f t="shared" si="1"/>
        <v>90</v>
      </c>
      <c r="L55" s="27">
        <f t="shared" si="2"/>
        <v>0</v>
      </c>
      <c r="M55" s="28">
        <f>IF($D$78="",Référentiel!$G$96,$D$78)</f>
        <v>0.1</v>
      </c>
      <c r="N55" s="29">
        <f t="shared" si="3"/>
        <v>0</v>
      </c>
    </row>
    <row r="56" spans="2:14" x14ac:dyDescent="0.35">
      <c r="B56" s="20" t="str">
        <f>Référentiel!$C$97</f>
        <v>Extérieurs</v>
      </c>
      <c r="C56" s="20" t="str">
        <f>Référentiel!$B$97</f>
        <v>Reprise de VRD et abords</v>
      </c>
      <c r="D56" s="21" t="str">
        <f>Référentiel!$D$97</f>
        <v>m²</v>
      </c>
      <c r="E56" s="22">
        <f>IF($D$19="","",ROUND($D$7*Référentiel!$I$97,0))</f>
        <v>0</v>
      </c>
      <c r="F56" s="12">
        <v>0</v>
      </c>
      <c r="G56" s="23">
        <f t="shared" si="0"/>
        <v>0</v>
      </c>
      <c r="H56" s="24">
        <f>Référentiel!$E$97</f>
        <v>40</v>
      </c>
      <c r="I56" s="24">
        <f>Référentiel!$F$97</f>
        <v>120</v>
      </c>
      <c r="J56" s="25"/>
      <c r="K56" s="26">
        <f t="shared" si="1"/>
        <v>80</v>
      </c>
      <c r="L56" s="27">
        <f t="shared" si="2"/>
        <v>0</v>
      </c>
      <c r="M56" s="28">
        <f>IF($D$78="",Référentiel!$G$97,$D$78)</f>
        <v>0.1</v>
      </c>
      <c r="N56" s="29">
        <f t="shared" si="3"/>
        <v>0</v>
      </c>
    </row>
    <row r="57" spans="2:14" x14ac:dyDescent="0.35">
      <c r="B57" s="20" t="str">
        <f>Référentiel!$C$98</f>
        <v>Autre</v>
      </c>
      <c r="C57" s="20" t="str">
        <f>Référentiel!$B$98</f>
        <v>Poste libre 1 (à compléter)</v>
      </c>
      <c r="D57" s="21" t="str">
        <f>Référentiel!$D$98</f>
        <v>unité</v>
      </c>
      <c r="E57" s="22">
        <f>IF($D$19="","",ROUND($D$7*Référentiel!$I$98,0))</f>
        <v>0</v>
      </c>
      <c r="F57" s="12"/>
      <c r="G57" s="23">
        <f t="shared" si="0"/>
        <v>0</v>
      </c>
      <c r="H57" s="24">
        <f>Référentiel!$E$98</f>
        <v>0</v>
      </c>
      <c r="I57" s="24">
        <f>Référentiel!$F$98</f>
        <v>0</v>
      </c>
      <c r="J57" s="25"/>
      <c r="K57" s="26">
        <f t="shared" si="1"/>
        <v>0</v>
      </c>
      <c r="L57" s="27">
        <f t="shared" si="2"/>
        <v>0</v>
      </c>
      <c r="M57" s="28">
        <f>IF($D$78="",Référentiel!$G$98,$D$78)</f>
        <v>0.1</v>
      </c>
      <c r="N57" s="29">
        <f t="shared" si="3"/>
        <v>0</v>
      </c>
    </row>
    <row r="58" spans="2:14" x14ac:dyDescent="0.35">
      <c r="B58" s="20" t="str">
        <f>Référentiel!$C$99</f>
        <v>Autre</v>
      </c>
      <c r="C58" s="20" t="str">
        <f>Référentiel!$B$99</f>
        <v>Poste libre 2 (à compléter)</v>
      </c>
      <c r="D58" s="21" t="str">
        <f>Référentiel!$D$99</f>
        <v>unité</v>
      </c>
      <c r="E58" s="22">
        <f>IF($D$19="","",ROUND($D$7*Référentiel!$I$99,0))</f>
        <v>0</v>
      </c>
      <c r="F58" s="12"/>
      <c r="G58" s="23">
        <f t="shared" si="0"/>
        <v>0</v>
      </c>
      <c r="H58" s="24">
        <f>Référentiel!$E$99</f>
        <v>0</v>
      </c>
      <c r="I58" s="24">
        <f>Référentiel!$F$99</f>
        <v>0</v>
      </c>
      <c r="J58" s="25"/>
      <c r="K58" s="26">
        <f t="shared" si="1"/>
        <v>0</v>
      </c>
      <c r="L58" s="27">
        <f t="shared" si="2"/>
        <v>0</v>
      </c>
      <c r="M58" s="28">
        <f>IF($D$78="",Référentiel!$G$99,$D$78)</f>
        <v>0.1</v>
      </c>
      <c r="N58" s="29">
        <f t="shared" si="3"/>
        <v>0</v>
      </c>
    </row>
    <row r="59" spans="2:14" x14ac:dyDescent="0.35">
      <c r="B59" s="20" t="str">
        <f>Référentiel!$C$100</f>
        <v>Autre</v>
      </c>
      <c r="C59" s="20" t="str">
        <f>Référentiel!$B$100</f>
        <v>Poste libre 3 (à compléter)</v>
      </c>
      <c r="D59" s="21" t="str">
        <f>Référentiel!$D$100</f>
        <v>unité</v>
      </c>
      <c r="E59" s="22">
        <f>IF($D$19="","",ROUND($D$7*Référentiel!$I$100,0))</f>
        <v>0</v>
      </c>
      <c r="F59" s="12"/>
      <c r="G59" s="23">
        <f t="shared" si="0"/>
        <v>0</v>
      </c>
      <c r="H59" s="24">
        <f>Référentiel!$E$100</f>
        <v>0</v>
      </c>
      <c r="I59" s="24">
        <f>Référentiel!$F$100</f>
        <v>0</v>
      </c>
      <c r="J59" s="25"/>
      <c r="K59" s="26">
        <f t="shared" si="1"/>
        <v>0</v>
      </c>
      <c r="L59" s="27">
        <f t="shared" si="2"/>
        <v>0</v>
      </c>
      <c r="M59" s="28">
        <f>IF($D$78="",Référentiel!$G$100,$D$78)</f>
        <v>0.1</v>
      </c>
      <c r="N59" s="29">
        <f t="shared" si="3"/>
        <v>0</v>
      </c>
    </row>
    <row r="61" spans="2:14" ht="18" customHeight="1" x14ac:dyDescent="0.35">
      <c r="B61" s="1" t="s">
        <v>251</v>
      </c>
      <c r="C61" s="1"/>
      <c r="D61" s="1"/>
      <c r="E61" s="1"/>
      <c r="F61" s="1"/>
      <c r="G61" s="1"/>
      <c r="H61" s="1"/>
      <c r="I61" s="1"/>
      <c r="J61" s="1"/>
      <c r="K61" s="1"/>
      <c r="L61" s="1"/>
      <c r="M61" s="1"/>
      <c r="N61" s="1"/>
    </row>
    <row r="62" spans="2:14" x14ac:dyDescent="0.35">
      <c r="B62" s="10" t="s">
        <v>252</v>
      </c>
      <c r="D62" s="30" t="s">
        <v>253</v>
      </c>
      <c r="E62" s="9" t="s">
        <v>254</v>
      </c>
    </row>
    <row r="63" spans="2:14" x14ac:dyDescent="0.35">
      <c r="B63" s="10" t="str">
        <f>"Logement achevé depuis plus de "&amp;Référentiel!$C$15&amp;" ans au début des travaux ?"</f>
        <v>Logement achevé depuis plus de 2 ans au début des travaux ?</v>
      </c>
      <c r="D63" s="30" t="s">
        <v>255</v>
      </c>
      <c r="E63" s="9" t="s">
        <v>256</v>
      </c>
    </row>
    <row r="64" spans="2:14" x14ac:dyDescent="0.35">
      <c r="B64" s="10" t="s">
        <v>257</v>
      </c>
      <c r="D64" s="30" t="s">
        <v>258</v>
      </c>
      <c r="E64" s="9" t="s">
        <v>259</v>
      </c>
    </row>
    <row r="65" spans="2:5" x14ac:dyDescent="0.35">
      <c r="B65" s="10" t="s">
        <v>260</v>
      </c>
      <c r="D65" s="30" t="s">
        <v>258</v>
      </c>
      <c r="E65" s="9" t="s">
        <v>261</v>
      </c>
    </row>
    <row r="66" spans="2:5" x14ac:dyDescent="0.35">
      <c r="B66" s="10" t="s">
        <v>262</v>
      </c>
      <c r="D66" s="30" t="s">
        <v>258</v>
      </c>
      <c r="E66" s="9" t="s">
        <v>263</v>
      </c>
    </row>
    <row r="67" spans="2:5" x14ac:dyDescent="0.35">
      <c r="B67" s="10" t="s">
        <v>264</v>
      </c>
      <c r="D67" s="30" t="s">
        <v>258</v>
      </c>
      <c r="E67" s="9" t="s">
        <v>265</v>
      </c>
    </row>
    <row r="68" spans="2:5" x14ac:dyDescent="0.35">
      <c r="B68" s="10" t="s">
        <v>266</v>
      </c>
      <c r="D68" s="30" t="s">
        <v>258</v>
      </c>
      <c r="E68" s="9" t="s">
        <v>267</v>
      </c>
    </row>
    <row r="69" spans="2:5" x14ac:dyDescent="0.35">
      <c r="B69" s="10" t="s">
        <v>268</v>
      </c>
      <c r="D69" s="30" t="s">
        <v>255</v>
      </c>
      <c r="E69" s="9" t="s">
        <v>269</v>
      </c>
    </row>
    <row r="70" spans="2:5" x14ac:dyDescent="0.35">
      <c r="B70" s="10" t="s">
        <v>270</v>
      </c>
      <c r="D70" s="30" t="s">
        <v>255</v>
      </c>
      <c r="E70" s="9" t="s">
        <v>271</v>
      </c>
    </row>
    <row r="71" spans="2:5" x14ac:dyDescent="0.35">
      <c r="B71" s="10" t="s">
        <v>272</v>
      </c>
      <c r="D71" s="30" t="s">
        <v>255</v>
      </c>
      <c r="E71" s="9" t="s">
        <v>273</v>
      </c>
    </row>
    <row r="72" spans="2:5" x14ac:dyDescent="0.35">
      <c r="B72" s="10" t="s">
        <v>274</v>
      </c>
      <c r="D72" s="30" t="s">
        <v>255</v>
      </c>
      <c r="E72" s="9" t="s">
        <v>275</v>
      </c>
    </row>
    <row r="73" spans="2:5" x14ac:dyDescent="0.35">
      <c r="B73" s="10" t="s">
        <v>276</v>
      </c>
      <c r="D73" s="30" t="s">
        <v>255</v>
      </c>
      <c r="E73" s="9" t="s">
        <v>277</v>
      </c>
    </row>
    <row r="74" spans="2:5" x14ac:dyDescent="0.35">
      <c r="B74" s="10" t="s">
        <v>278</v>
      </c>
      <c r="D74" s="31">
        <f>COUNTIF($D$68:$D$73,Référentiel!$B$64)</f>
        <v>5</v>
      </c>
      <c r="E74" s="9" t="s">
        <v>279</v>
      </c>
    </row>
    <row r="75" spans="2:5" x14ac:dyDescent="0.35">
      <c r="B75" s="10" t="s">
        <v>280</v>
      </c>
      <c r="D75" s="32" t="str">
        <f>IF(OR($D$65=Référentiel!$B$64,$D$66=Référentiel!$B$64,$D$67=Référentiel!$B$64,$D$74=ROWS($D$68:$D$73)),Référentiel!$B$64,Référentiel!$B$65)</f>
        <v>Non</v>
      </c>
      <c r="E75" s="9" t="s">
        <v>281</v>
      </c>
    </row>
    <row r="76" spans="2:5" x14ac:dyDescent="0.35">
      <c r="B76" s="10" t="s">
        <v>282</v>
      </c>
      <c r="D76" s="33" t="str">
        <f>IF(NOT(OR($D$62=Référentiel!$C$65,$D$63=Référentiel!$B$65,$D$64=Référentiel!$B$64,$D$75=Référentiel!$B$64)),"Taux par ligne","TOUT À 20 %")</f>
        <v>Taux par ligne</v>
      </c>
      <c r="E76" s="9" t="s">
        <v>283</v>
      </c>
    </row>
    <row r="77" spans="2:5" x14ac:dyDescent="0.35">
      <c r="B77" s="10" t="s">
        <v>284</v>
      </c>
      <c r="D77" s="15"/>
      <c r="E77" s="9" t="s">
        <v>285</v>
      </c>
    </row>
    <row r="78" spans="2:5" x14ac:dyDescent="0.35">
      <c r="B78" s="10" t="s">
        <v>286</v>
      </c>
      <c r="D78" s="34" t="str">
        <f>IF(OR($D$62=Référentiel!$C$65,$D$63=Référentiel!$B$65,$D$64=Référentiel!$B$64,$D$75=Référentiel!$B$64),Référentiel!$C$10,IF($D$77="","",$D$77))</f>
        <v/>
      </c>
      <c r="E78" s="9" t="s">
        <v>287</v>
      </c>
    </row>
    <row r="79" spans="2:5" x14ac:dyDescent="0.35">
      <c r="B79" s="10" t="s">
        <v>288</v>
      </c>
      <c r="D79" s="31">
        <f>IF($D$22="","",IF($D$11&gt;=Référentiel!$C$13,(SUM(L35,L36)&gt;0)*1+(SUM(L39)&gt;0)*1+(SUM(L43,L53,L54)&gt;0)*1+(SUM(L41,L42)&gt;0)*1+(SUM(L44,L45,L46)&gt;0)*1,0))</f>
        <v>5</v>
      </c>
      <c r="E79" s="9" t="s">
        <v>289</v>
      </c>
    </row>
    <row r="80" spans="2:5" x14ac:dyDescent="0.35">
      <c r="B80" s="10" t="s">
        <v>290</v>
      </c>
      <c r="D80" s="18" t="str">
        <f>IF(AND(COUNTIF($D$63:$D$73,Référentiel!$B$64)+COUNTIF($D$63:$D$73,Référentiel!$B$65)=ROWS($D$63:$D$73),OR($D$62=Référentiel!$C$64,$D$62=Référentiel!$C$65)),"OK","À CORRIGER")</f>
        <v>OK</v>
      </c>
      <c r="E80" s="9" t="s">
        <v>291</v>
      </c>
    </row>
    <row r="81" spans="2:14" x14ac:dyDescent="0.35">
      <c r="B81" s="10" t="s">
        <v>292</v>
      </c>
      <c r="D81" s="18" t="str">
        <f>IF(OR($D$77="",AND(ISNUMBER($D$77),ISNUMBER(MATCH($D$77,Référentiel!$C$10:$C$12,0)))),"OK","À CORRIGER")</f>
        <v>OK</v>
      </c>
      <c r="E81" s="9" t="s">
        <v>293</v>
      </c>
    </row>
    <row r="82" spans="2:14" x14ac:dyDescent="0.35">
      <c r="B82" s="10" t="s">
        <v>294</v>
      </c>
      <c r="D82" s="18" t="str">
        <f>IF(AND(COUNT($M$29:$M$59)=ROWS($M$29:$M$59),COUNTIF($M$29:$M$59,Référentiel!$C$10)+COUNTIF($M$29:$M$59,Référentiel!$C$11)+COUNTIF($M$29:$M$59,Référentiel!$C$12)=ROWS($M$29:$M$59)),"OK","À CORRIGER")</f>
        <v>OK</v>
      </c>
      <c r="E82" s="9" t="s">
        <v>295</v>
      </c>
    </row>
    <row r="83" spans="2:14" x14ac:dyDescent="0.35">
      <c r="B83" s="10" t="s">
        <v>296</v>
      </c>
      <c r="D83" s="18" t="str">
        <f>IF(IF($D$79="",TRUE,$D$74&gt;=$D$79),"OK","À VÉRIFIER")</f>
        <v>OK</v>
      </c>
      <c r="E83" s="9" t="s">
        <v>297</v>
      </c>
    </row>
    <row r="85" spans="2:14" ht="18" customHeight="1" x14ac:dyDescent="0.35">
      <c r="B85" s="1" t="s">
        <v>298</v>
      </c>
      <c r="C85" s="1"/>
      <c r="D85" s="1"/>
      <c r="E85" s="1"/>
      <c r="F85" s="1"/>
      <c r="G85" s="1"/>
      <c r="H85" s="1"/>
      <c r="I85" s="1"/>
      <c r="J85" s="1"/>
      <c r="K85" s="1"/>
      <c r="L85" s="1"/>
      <c r="M85" s="1"/>
      <c r="N85" s="1"/>
    </row>
    <row r="86" spans="2:14" ht="30" customHeight="1" x14ac:dyDescent="0.35">
      <c r="B86" s="19" t="s">
        <v>299</v>
      </c>
      <c r="C86" s="19"/>
      <c r="D86" s="19" t="s">
        <v>300</v>
      </c>
      <c r="E86" s="19" t="s">
        <v>301</v>
      </c>
      <c r="F86" s="19" t="s">
        <v>302</v>
      </c>
      <c r="G86" s="19" t="s">
        <v>303</v>
      </c>
      <c r="H86" s="19"/>
      <c r="I86" s="19"/>
      <c r="J86" s="19"/>
      <c r="K86" s="19"/>
      <c r="L86" s="19"/>
      <c r="M86" s="19"/>
      <c r="N86" s="19"/>
    </row>
    <row r="87" spans="2:14" x14ac:dyDescent="0.35">
      <c r="B87" s="35" t="s">
        <v>108</v>
      </c>
      <c r="D87" s="36">
        <f>IF(OR($D$24&lt;&gt;"OK",$D$25&lt;&gt;"OK"),"",SUMPRODUCT($G$29:$G$59,$H$29:$H$59,--($J$29:$J$59=""))+SUMPRODUCT($G$29:$G$59,$J$29:$J$59))</f>
        <v>53795</v>
      </c>
      <c r="E87" s="27">
        <f>IF(OR($D$24&lt;&gt;"OK",$D$25&lt;&gt;"OK"),"",SUM($L$29:$L$59))</f>
        <v>99905</v>
      </c>
      <c r="F87" s="36">
        <f>IF(OR($D$24&lt;&gt;"OK",$D$25&lt;&gt;"OK"),"",SUMPRODUCT($G$29:$G$59,$I$29:$I$59,--($J$29:$J$59=""))+SUMPRODUCT($G$29:$G$59,$J$29:$J$59))</f>
        <v>146015</v>
      </c>
      <c r="G87" s="9" t="s">
        <v>304</v>
      </c>
    </row>
    <row r="88" spans="2:14" x14ac:dyDescent="0.35">
      <c r="B88" s="10" t="s">
        <v>221</v>
      </c>
      <c r="D88" s="36">
        <f>IF($D$87="","",$D$87*$D$15)</f>
        <v>6455.4</v>
      </c>
      <c r="E88" s="36">
        <f>IF($E$87="","",$E$87*$D$15)</f>
        <v>11988.6</v>
      </c>
      <c r="F88" s="36">
        <f>IF($F$87="","",$F$87*$D$15)</f>
        <v>17521.8</v>
      </c>
      <c r="G88" s="9" t="s">
        <v>305</v>
      </c>
    </row>
    <row r="89" spans="2:14" x14ac:dyDescent="0.35">
      <c r="B89" s="10" t="s">
        <v>222</v>
      </c>
      <c r="D89" s="36">
        <f>IF($D$87="","",$D$87*$D$16)</f>
        <v>5379.5</v>
      </c>
      <c r="E89" s="36">
        <f>IF($E$87="","",$E$87*$D$16)</f>
        <v>9990.5</v>
      </c>
      <c r="F89" s="36">
        <f>IF($F$87="","",$F$87*$D$16)</f>
        <v>14601.5</v>
      </c>
      <c r="G89" s="9" t="s">
        <v>306</v>
      </c>
    </row>
    <row r="90" spans="2:14" x14ac:dyDescent="0.35">
      <c r="B90" s="35" t="s">
        <v>249</v>
      </c>
      <c r="D90" s="36">
        <f>IF($D$87="","",$D$87+$D$88+$D$89)</f>
        <v>65629.899999999994</v>
      </c>
      <c r="E90" s="27">
        <f>IF($E$87="","",$E$87+$E$88+$E$89)</f>
        <v>121884.1</v>
      </c>
      <c r="F90" s="36">
        <f>IF($F$87="","",$F$87+$F$88+$F$89)</f>
        <v>178138.3</v>
      </c>
      <c r="G90" s="9" t="s">
        <v>307</v>
      </c>
    </row>
    <row r="91" spans="2:14" x14ac:dyDescent="0.35">
      <c r="B91" s="10" t="s">
        <v>308</v>
      </c>
      <c r="D91" s="36">
        <f>IF(OR($D$24&lt;&gt;"OK",$D$25&lt;&gt;"OK",$D$80&lt;&gt;"OK",$D$81&lt;&gt;"OK",$D$82&lt;&gt;"OK"),"",(SUMPRODUCT($G$29:$G$59,$H$29:$H$59,--($J$29:$J$59=""),--($M$29:$M$59=Référentiel!$C$12))+SUMPRODUCT($G$29:$G$59,$J$29:$J$59,--($M$29:$M$59=Référentiel!$C$12)))*(1+$D$15)*Référentiel!$C$12)</f>
        <v>689.92000000000007</v>
      </c>
      <c r="E91" s="36">
        <f>IF(OR($D$24&lt;&gt;"OK",$D$25&lt;&gt;"OK",$D$80&lt;&gt;"OK",$D$81&lt;&gt;"OK",$D$82&lt;&gt;"OK"),"",SUMIF($M$29:$M$59,Référentiel!$C$12,$L$29:$L$59)*(1+$D$15)*Référentiel!$C$12)</f>
        <v>1473.7800000000002</v>
      </c>
      <c r="F91" s="36">
        <f>IF(OR($D$24&lt;&gt;"OK",$D$25&lt;&gt;"OK",$D$80&lt;&gt;"OK",$D$81&lt;&gt;"OK",$D$82&lt;&gt;"OK"),"",(SUMPRODUCT($G$29:$G$59,$I$29:$I$59,--($J$29:$J$59=""),--($M$29:$M$59=Référentiel!$C$12))+SUMPRODUCT($G$29:$G$59,$J$29:$J$59,--($M$29:$M$59=Référentiel!$C$12)))*(1+$D$15)*Référentiel!$C$12)</f>
        <v>2257.6400000000003</v>
      </c>
      <c r="G91" s="9" t="s">
        <v>309</v>
      </c>
    </row>
    <row r="92" spans="2:14" x14ac:dyDescent="0.35">
      <c r="B92" s="10" t="s">
        <v>310</v>
      </c>
      <c r="D92" s="36">
        <f>IF(OR($D$24&lt;&gt;"OK",$D$25&lt;&gt;"OK",$D$80&lt;&gt;"OK",$D$81&lt;&gt;"OK",$D$82&lt;&gt;"OK"),"",(SUMPRODUCT($G$29:$G$59,$H$29:$H$59,--($J$29:$J$59=""),--($M$29:$M$59=Référentiel!$C$11))+SUMPRODUCT($G$29:$G$59,$J$29:$J$59,--($M$29:$M$59=Référentiel!$C$11)))*(1+$D$15)*Référentiel!$C$11)</f>
        <v>4770.6400000000003</v>
      </c>
      <c r="E92" s="36">
        <f>IF(OR($D$24&lt;&gt;"OK",$D$25&lt;&gt;"OK",$D$80&lt;&gt;"OK",$D$81&lt;&gt;"OK",$D$82&lt;&gt;"OK"),"",SUMIF($M$29:$M$59,Référentiel!$C$11,$L$29:$L$59)*(1+$D$15)*Référentiel!$C$11)</f>
        <v>8509.76</v>
      </c>
      <c r="F92" s="36">
        <f>IF(OR($D$24&lt;&gt;"OK",$D$25&lt;&gt;"OK",$D$80&lt;&gt;"OK",$D$81&lt;&gt;"OK",$D$82&lt;&gt;"OK"),"",(SUMPRODUCT($G$29:$G$59,$I$29:$I$59,--($J$29:$J$59=""),--($M$29:$M$59=Référentiel!$C$11))+SUMPRODUCT($G$29:$G$59,$J$29:$J$59,--($M$29:$M$59=Référentiel!$C$11)))*(1+$D$15)*Référentiel!$C$11)</f>
        <v>12248.880000000003</v>
      </c>
    </row>
    <row r="93" spans="2:14" x14ac:dyDescent="0.35">
      <c r="B93" s="10" t="s">
        <v>311</v>
      </c>
      <c r="D93" s="36">
        <f>IF(OR($D$24&lt;&gt;"OK",$D$25&lt;&gt;"OK",$D$80&lt;&gt;"OK",$D$81&lt;&gt;"OK",$D$82&lt;&gt;"OK"),"",(SUMPRODUCT($G$29:$G$59,$H$29:$H$59,--($J$29:$J$59=""),--($M$29:$M$59=Référentiel!$C$10))+SUMPRODUCT($G$29:$G$59,$J$29:$J$59,--($M$29:$M$59=Référentiel!$C$10)))*(1+$D$15)*Référentiel!$C$10+$D$89*Référentiel!$C$10)</f>
        <v>1075.9000000000001</v>
      </c>
      <c r="E93" s="36">
        <f>IF(OR($D$24&lt;&gt;"OK",$D$25&lt;&gt;"OK",$D$80&lt;&gt;"OK",$D$81&lt;&gt;"OK",$D$82&lt;&gt;"OK"),"",SUMIF($M$29:$M$59,Référentiel!$C$10,$L$29:$L$59)*(1+$D$15)*Référentiel!$C$10+$E$89*Référentiel!$C$10)</f>
        <v>1998.1000000000001</v>
      </c>
      <c r="F93" s="36">
        <f>IF(OR($D$24&lt;&gt;"OK",$D$25&lt;&gt;"OK",$D$80&lt;&gt;"OK",$D$81&lt;&gt;"OK",$D$82&lt;&gt;"OK"),"",(SUMPRODUCT($G$29:$G$59,$I$29:$I$59,--($J$29:$J$59=""),--($M$29:$M$59=Référentiel!$C$10))+SUMPRODUCT($G$29:$G$59,$J$29:$J$59,--($M$29:$M$59=Référentiel!$C$10)))*(1+$D$15)*Référentiel!$C$10+$F$89*Référentiel!$C$10)</f>
        <v>2920.3</v>
      </c>
      <c r="G93" s="9" t="s">
        <v>312</v>
      </c>
    </row>
    <row r="94" spans="2:14" x14ac:dyDescent="0.35">
      <c r="B94" s="10" t="s">
        <v>313</v>
      </c>
      <c r="D94" s="36">
        <f>IF($D$91="","",$D$91+$D$92+$D$93)</f>
        <v>6536.4600000000009</v>
      </c>
      <c r="E94" s="36">
        <f>IF($E$91="","",$E$91+$E$92+$E$93)</f>
        <v>11981.640000000001</v>
      </c>
      <c r="F94" s="36">
        <f>IF($F$91="","",$F$91+$F$92+$F$93)</f>
        <v>17426.820000000003</v>
      </c>
      <c r="G94" s="9" t="s">
        <v>314</v>
      </c>
    </row>
    <row r="95" spans="2:14" ht="21" customHeight="1" x14ac:dyDescent="0.35">
      <c r="B95" s="35" t="s">
        <v>315</v>
      </c>
      <c r="D95" s="36">
        <f>IF($D$94="","",$D$90+$D$94)</f>
        <v>72166.36</v>
      </c>
      <c r="E95" s="37">
        <f>IF($E$94="","",$E$90+$E$94)</f>
        <v>133865.74000000002</v>
      </c>
      <c r="F95" s="36">
        <f>IF($F$94="","",$F$90+$F$94)</f>
        <v>195565.12</v>
      </c>
      <c r="G95" s="9" t="s">
        <v>114</v>
      </c>
    </row>
    <row r="96" spans="2:14" x14ac:dyDescent="0.35">
      <c r="B96" s="10" t="s">
        <v>316</v>
      </c>
      <c r="E96" s="36">
        <f>IF($E$95="","",SUM($N$29:$N$59))</f>
        <v>108818.875</v>
      </c>
      <c r="G96" s="9" t="s">
        <v>317</v>
      </c>
    </row>
    <row r="97" spans="2:14" x14ac:dyDescent="0.35">
      <c r="B97" s="10" t="s">
        <v>318</v>
      </c>
      <c r="D97" s="38">
        <f>IF($D$87="","",$D$87/$D$7)</f>
        <v>597.72222222222217</v>
      </c>
      <c r="E97" s="38">
        <f>IF($E$87="","",$E$87/$D$7)</f>
        <v>1110.0555555555557</v>
      </c>
      <c r="F97" s="38">
        <f>IF($F$87="","",$F$87/$D$7)</f>
        <v>1622.3888888888889</v>
      </c>
      <c r="G97" s="9" t="s">
        <v>319</v>
      </c>
    </row>
    <row r="98" spans="2:14" x14ac:dyDescent="0.35">
      <c r="B98" s="10" t="s">
        <v>320</v>
      </c>
      <c r="D98" s="38">
        <f>IF($D$90="","",$D$90/$D$7)</f>
        <v>729.2211111111111</v>
      </c>
      <c r="E98" s="38">
        <f>IF($E$90="","",$E$90/$D$7)</f>
        <v>1354.2677777777778</v>
      </c>
      <c r="F98" s="38">
        <f>IF($F$90="","",$F$90/$D$7)</f>
        <v>1979.3144444444442</v>
      </c>
      <c r="G98" s="9" t="s">
        <v>321</v>
      </c>
    </row>
    <row r="99" spans="2:14" ht="21" customHeight="1" x14ac:dyDescent="0.35">
      <c r="B99" s="35" t="s">
        <v>322</v>
      </c>
      <c r="D99" s="38">
        <f>IF($D$95="","",$D$95/$D$7)</f>
        <v>801.84844444444445</v>
      </c>
      <c r="E99" s="39">
        <f>IF($E$95="","",$E$95/$D$7)</f>
        <v>1487.3971111111114</v>
      </c>
      <c r="F99" s="38">
        <f>IF($F$95="","",$F$95/$D$7)</f>
        <v>2172.9457777777779</v>
      </c>
      <c r="G99" s="9" t="s">
        <v>323</v>
      </c>
    </row>
    <row r="100" spans="2:14" x14ac:dyDescent="0.35">
      <c r="B100" s="10" t="s">
        <v>324</v>
      </c>
      <c r="E100" s="40" t="str">
        <f>IF($E$99="","",IF($E$99&lt;Référentiel!$C$22,"Rafraîchissement",IF($E$99&lt;Référentiel!$C$23,"Rénovation","Rénovation lourde ou restructuration")))</f>
        <v>Rénovation</v>
      </c>
      <c r="G100" s="9" t="s">
        <v>325</v>
      </c>
    </row>
    <row r="102" spans="2:14" ht="18" customHeight="1" x14ac:dyDescent="0.35">
      <c r="B102" s="1" t="s">
        <v>326</v>
      </c>
      <c r="C102" s="1"/>
      <c r="D102" s="1"/>
      <c r="E102" s="1"/>
      <c r="F102" s="1"/>
      <c r="G102" s="1"/>
      <c r="H102" s="1"/>
      <c r="I102" s="1"/>
      <c r="J102" s="1"/>
      <c r="K102" s="1"/>
      <c r="L102" s="1"/>
      <c r="M102" s="1"/>
      <c r="N102" s="1"/>
    </row>
    <row r="103" spans="2:14" ht="30" customHeight="1" x14ac:dyDescent="0.35">
      <c r="B103" s="19" t="s">
        <v>327</v>
      </c>
      <c r="C103" s="19" t="s">
        <v>328</v>
      </c>
      <c r="D103" s="19" t="s">
        <v>329</v>
      </c>
      <c r="E103" s="19" t="s">
        <v>330</v>
      </c>
      <c r="F103" s="19" t="s">
        <v>331</v>
      </c>
      <c r="G103" s="19" t="s">
        <v>332</v>
      </c>
      <c r="H103" s="19" t="s">
        <v>333</v>
      </c>
      <c r="I103" s="19"/>
      <c r="J103" s="19"/>
      <c r="K103" s="19"/>
      <c r="L103" s="19"/>
      <c r="M103" s="19"/>
      <c r="N103" s="19"/>
    </row>
    <row r="104" spans="2:14" ht="27" customHeight="1" x14ac:dyDescent="0.35">
      <c r="B104" s="35" t="str">
        <f>Référentiel!$B$36</f>
        <v>Dépose et gros œuvre</v>
      </c>
      <c r="C104" s="41" t="str">
        <f>Référentiel!$K$36</f>
        <v>Dépose et démolition, gros œuvre</v>
      </c>
      <c r="D104" s="36">
        <f>IF($E$87="","",SUMPRODUCT(SUMIF($B$29:$B$59,Référentiel!$B$45:$B$46,$L$29:$L$59)))</f>
        <v>9325</v>
      </c>
      <c r="E104" s="42">
        <f t="shared" ref="E104:E110" si="4">IF(D104="","",IF($E$87&gt;0,D104/$E$87,0))</f>
        <v>9.3338671738151247E-2</v>
      </c>
      <c r="F104" s="43">
        <f>Référentiel!$C$36</f>
        <v>0.05</v>
      </c>
      <c r="G104" s="43">
        <f>Référentiel!$D$36</f>
        <v>0.12</v>
      </c>
      <c r="H104" s="44" t="str">
        <f t="shared" ref="H104:H109" si="5">IF(D104="","",IF(D104=0,"Non traité",IF(E104&lt;F104,"Bas : poste oublié ?",IF(E104&gt;G104,"Élevé : à justifier","Dans la norme"))))</f>
        <v>Dans la norme</v>
      </c>
    </row>
    <row r="105" spans="2:14" ht="27" customHeight="1" x14ac:dyDescent="0.35">
      <c r="B105" s="35" t="str">
        <f>Référentiel!$B$37</f>
        <v>Enveloppe</v>
      </c>
      <c r="C105" s="41" t="str">
        <f>Référentiel!$K$37</f>
        <v>Toiture, menuiseries extérieures, isolation, extérieurs</v>
      </c>
      <c r="D105" s="36">
        <f>IF($E$87="","",SUMPRODUCT(SUMIF($B$29:$B$59,Référentiel!$B$47:$B$50,$L$29:$L$59)))</f>
        <v>12075</v>
      </c>
      <c r="E105" s="42">
        <f t="shared" si="4"/>
        <v>0.12086482158050148</v>
      </c>
      <c r="F105" s="43">
        <f>Référentiel!$C$37</f>
        <v>0.1</v>
      </c>
      <c r="G105" s="43">
        <f>Référentiel!$D$37</f>
        <v>0.3</v>
      </c>
      <c r="H105" s="44" t="str">
        <f t="shared" si="5"/>
        <v>Dans la norme</v>
      </c>
    </row>
    <row r="106" spans="2:14" ht="27" customHeight="1" x14ac:dyDescent="0.35">
      <c r="B106" s="35" t="str">
        <f>Référentiel!$B$38</f>
        <v>Technique</v>
      </c>
      <c r="C106" s="41" t="str">
        <f>Référentiel!$K$38</f>
        <v>Électricité, plomberie, chauffage, ventilation</v>
      </c>
      <c r="D106" s="36">
        <f>IF($E$87="","",SUMPRODUCT(SUMIF($B$29:$B$59,Référentiel!$B$51:$B$53,$L$29:$L$59)))</f>
        <v>35900</v>
      </c>
      <c r="E106" s="42">
        <f t="shared" si="4"/>
        <v>0.35934137430559032</v>
      </c>
      <c r="F106" s="43">
        <f>Référentiel!$C$38</f>
        <v>0.25</v>
      </c>
      <c r="G106" s="43">
        <f>Référentiel!$D$38</f>
        <v>0.35</v>
      </c>
      <c r="H106" s="44" t="str">
        <f t="shared" si="5"/>
        <v>Élevé : à justifier</v>
      </c>
    </row>
    <row r="107" spans="2:14" ht="27" customHeight="1" x14ac:dyDescent="0.35">
      <c r="B107" s="35" t="str">
        <f>Référentiel!$B$39</f>
        <v>Cloisons et finitions</v>
      </c>
      <c r="C107" s="41" t="str">
        <f>Référentiel!$K$39</f>
        <v>Plâtrerie, sols, peinture, menuiseries intérieures</v>
      </c>
      <c r="D107" s="36">
        <f>IF($E$87="","",SUMPRODUCT(SUMIF($B$29:$B$59,Référentiel!$B$54:$B$57,$L$29:$L$59)))</f>
        <v>22805</v>
      </c>
      <c r="E107" s="42">
        <f t="shared" si="4"/>
        <v>0.22826685351083528</v>
      </c>
      <c r="F107" s="43">
        <f>Référentiel!$C$39</f>
        <v>0.15</v>
      </c>
      <c r="G107" s="43">
        <f>Référentiel!$D$39</f>
        <v>0.28000000000000003</v>
      </c>
      <c r="H107" s="44" t="str">
        <f t="shared" si="5"/>
        <v>Dans la norme</v>
      </c>
    </row>
    <row r="108" spans="2:14" ht="27" customHeight="1" x14ac:dyDescent="0.35">
      <c r="B108" s="35" t="str">
        <f>Référentiel!$B$40</f>
        <v>Cuisine et salle de bains</v>
      </c>
      <c r="C108" s="41" t="str">
        <f>Référentiel!$K$40</f>
        <v>Cuisine équipée, salle de bains, WC</v>
      </c>
      <c r="D108" s="36">
        <f>IF($E$87="","",SUMPRODUCT(SUMIF($B$29:$B$59,Référentiel!$B$58:$B$59,$L$29:$L$59)))</f>
        <v>19800</v>
      </c>
      <c r="E108" s="42">
        <f t="shared" si="4"/>
        <v>0.19818827886492169</v>
      </c>
      <c r="F108" s="43">
        <f>Référentiel!$C$40</f>
        <v>0.12</v>
      </c>
      <c r="G108" s="43">
        <f>Référentiel!$D$40</f>
        <v>0.25</v>
      </c>
      <c r="H108" s="44" t="str">
        <f t="shared" si="5"/>
        <v>Dans la norme</v>
      </c>
    </row>
    <row r="109" spans="2:14" ht="27" customHeight="1" x14ac:dyDescent="0.35">
      <c r="B109" s="35" t="str">
        <f>Référentiel!$B$41</f>
        <v>Postes libres</v>
      </c>
      <c r="C109" s="41" t="str">
        <f>Référentiel!$K$41</f>
        <v>Lignes ajoutées : désamiantage, plomb, ascenseur, escalier, diagnostics</v>
      </c>
      <c r="D109" s="36">
        <f>IF($E$87="","",SUMPRODUCT(SUMIF($B$29:$B$59,Référentiel!$B$60:$B$60,$L$29:$L$59)))</f>
        <v>0</v>
      </c>
      <c r="E109" s="42">
        <f t="shared" si="4"/>
        <v>0</v>
      </c>
      <c r="F109" s="43">
        <f>Référentiel!$C$41</f>
        <v>0</v>
      </c>
      <c r="G109" s="43">
        <f>Référentiel!$D$41</f>
        <v>0.15</v>
      </c>
      <c r="H109" s="44" t="str">
        <f t="shared" si="5"/>
        <v>Non traité</v>
      </c>
    </row>
    <row r="110" spans="2:14" x14ac:dyDescent="0.35">
      <c r="B110" s="35" t="s">
        <v>334</v>
      </c>
      <c r="D110" s="27">
        <f>IF($E$87="","",SUM(D104:D109))</f>
        <v>99905</v>
      </c>
      <c r="E110" s="45">
        <f t="shared" si="4"/>
        <v>1</v>
      </c>
      <c r="H110" s="18" t="str">
        <f>IF(IF($E$87="",TRUE,ABS(D110-$E$87)&lt;1),"Tout est classé","LOT HORS FAMILLE")</f>
        <v>Tout est classé</v>
      </c>
      <c r="I110" s="9" t="s">
        <v>335</v>
      </c>
    </row>
    <row r="112" spans="2:14" ht="36" customHeight="1" x14ac:dyDescent="0.35">
      <c r="B112" s="61" t="s">
        <v>204</v>
      </c>
      <c r="C112" s="55"/>
      <c r="D112" s="55"/>
      <c r="E112" s="55"/>
      <c r="F112" s="55"/>
      <c r="G112" s="55"/>
      <c r="H112" s="55"/>
      <c r="I112" s="55"/>
      <c r="J112" s="55"/>
      <c r="K112" s="55"/>
      <c r="L112" s="55"/>
      <c r="M112" s="55"/>
      <c r="N112" s="55"/>
    </row>
  </sheetData>
  <sheetProtection sheet="1" objects="1" scenarios="1" formatCells="0" formatColumns="0" formatRows="0"/>
  <mergeCells count="1">
    <mergeCell ref="B112:N112"/>
  </mergeCells>
  <conditionalFormatting sqref="D24:D25">
    <cfRule type="cellIs" dxfId="12" priority="1" operator="equal">
      <formula>"OK"</formula>
    </cfRule>
    <cfRule type="cellIs" dxfId="11" priority="2" operator="equal">
      <formula>"À CORRIGER"</formula>
    </cfRule>
  </conditionalFormatting>
  <conditionalFormatting sqref="D76">
    <cfRule type="cellIs" dxfId="10" priority="13" operator="equal">
      <formula>"Taux par ligne"</formula>
    </cfRule>
    <cfRule type="cellIs" dxfId="9" priority="14" operator="equal">
      <formula>"TOUT À 20 %"</formula>
    </cfRule>
  </conditionalFormatting>
  <conditionalFormatting sqref="D80:D83">
    <cfRule type="cellIs" dxfId="8" priority="5" operator="equal">
      <formula>"OK"</formula>
    </cfRule>
    <cfRule type="cellIs" dxfId="7" priority="6" operator="equal">
      <formula>"À CORRIGER"</formula>
    </cfRule>
  </conditionalFormatting>
  <conditionalFormatting sqref="D83">
    <cfRule type="cellIs" dxfId="6" priority="16" operator="equal">
      <formula>"À VÉRIFIER"</formula>
    </cfRule>
  </conditionalFormatting>
  <conditionalFormatting sqref="H104:H109">
    <cfRule type="cellIs" dxfId="5" priority="17" operator="equal">
      <formula>"Dans la norme"</formula>
    </cfRule>
    <cfRule type="cellIs" dxfId="4" priority="18" operator="equal">
      <formula>"Bas : poste oublié ?"</formula>
    </cfRule>
  </conditionalFormatting>
  <conditionalFormatting sqref="H110">
    <cfRule type="cellIs" dxfId="3" priority="19" operator="equal">
      <formula>"Tout est classé"</formula>
    </cfRule>
    <cfRule type="cellIs" dxfId="2" priority="20" operator="equal">
      <formula>"LOT HORS FAMILLE"</formula>
    </cfRule>
  </conditionalFormatting>
  <dataValidations count="10">
    <dataValidation type="decimal" operator="greaterThanOrEqual" allowBlank="1" showErrorMessage="1" errorTitle="Saisie" error="Quantité forcée : nombre positif ou nul. 0 désactive le poste, vide rend l'automatisme." sqref="F29:F59" xr:uid="{00000000-0002-0000-0100-000000000000}">
      <formula1>0</formula1>
    </dataValidation>
    <dataValidation type="decimal" operator="greaterThanOrEqual" allowBlank="1" showErrorMessage="1" errorTitle="Saisie" error="Prix forcé : nombre positif ou nul, hors taxes. Vide rend la fourchette." sqref="J29:J59" xr:uid="{00000000-0002-0000-0100-000001000000}">
      <formula1>0</formula1>
    </dataValidation>
    <dataValidation type="decimal" allowBlank="1" showErrorMessage="1" errorTitle="Saisie" error="Surface habitable entre 9 et 5 000 m²." sqref="D7" xr:uid="{00000000-0002-0000-0100-000005000000}">
      <formula1>9</formula1>
      <formula2>5000</formula2>
    </dataValidation>
    <dataValidation type="whole" allowBlank="1" showErrorMessage="1" errorTitle="Saisie" error="Nombre de niveaux entier, de 1 à 6." sqref="D8" xr:uid="{00000000-0002-0000-0100-000006000000}">
      <formula1>1</formula1>
      <formula2>6</formula2>
    </dataValidation>
    <dataValidation type="decimal" allowBlank="1" showErrorMessage="1" errorTitle="Saisie" error="Hauteur sous plafond entre 2 et 5 m." sqref="D9" xr:uid="{00000000-0002-0000-0100-000007000000}">
      <formula1>2</formula1>
      <formula2>5</formula2>
    </dataValidation>
    <dataValidation type="whole" allowBlank="1" showErrorMessage="1" errorTitle="Saisie" error="Façades exposées : entier de 0 à 4." sqref="D10" xr:uid="{00000000-0002-0000-0100-000008000000}">
      <formula1>0</formula1>
      <formula2>4</formula2>
    </dataValidation>
    <dataValidation type="decimal" allowBlank="1" showErrorMessage="1" errorTitle="Saisie" error="Part rénovée entre 0 % et 100 %." sqref="D11" xr:uid="{00000000-0002-0000-0100-000009000000}">
      <formula1>0</formula1>
      <formula2>1</formula2>
    </dataValidation>
    <dataValidation type="decimal" allowBlank="1" showErrorMessage="1" errorTitle="Saisie" error="Curseur entre 0 % (bas de fourchette) et 100 % (haut)." sqref="D14" xr:uid="{00000000-0002-0000-0100-00000A000000}">
      <formula1>0</formula1>
      <formula2>1</formula2>
    </dataValidation>
    <dataValidation type="decimal" allowBlank="1" showErrorMessage="1" errorTitle="Saisie" error="Provision pour aléas entre 0 % et 50 %. Tapez 12 pour 12 %." sqref="D15" xr:uid="{00000000-0002-0000-0100-00000B000000}">
      <formula1>0</formula1>
      <formula2>0.5</formula2>
    </dataValidation>
    <dataValidation type="decimal" allowBlank="1" showErrorMessage="1" errorTitle="Saisie" error="Honoraires entre 0 % et 50 %. Tapez 10 pour 10 %." sqref="D16" xr:uid="{00000000-0002-0000-0100-00000C000000}">
      <formula1>0</formula1>
      <formula2>0.5</formula2>
    </dataValidation>
  </dataValidations>
  <pageMargins left="0.75" right="0.75" top="1" bottom="1" header="0.5" footer="0.5"/>
  <drawing r:id="rId1"/>
  <extLst>
    <ext xmlns:x14="http://schemas.microsoft.com/office/spreadsheetml/2009/9/main" uri="{CCE6A557-97BC-4b89-ADB6-D9C93CAAB3DF}">
      <x14:dataValidations xmlns:xm="http://schemas.microsoft.com/office/excel/2006/main" count="3">
        <x14:dataValidation type="list" allowBlank="1" showErrorMessage="1" errorTitle="Choisir dans la liste" error="Choisissez dans la liste : Habitation, ou Local autre que d'habitation." xr:uid="{00000000-0002-0000-0100-000002000000}">
          <x14:formula1>
            <xm:f>Référentiel!$C$64:$C$65</xm:f>
          </x14:formula1>
          <xm:sqref>D62</xm:sqref>
        </x14:dataValidation>
        <x14:dataValidation type="list" allowBlank="1" showErrorMessage="1" errorTitle="Choisir dans la liste" error="Répondez Oui ou Non (liste)." xr:uid="{00000000-0002-0000-0100-000003000000}">
          <x14:formula1>
            <xm:f>Référentiel!$B$64:$B$65</xm:f>
          </x14:formula1>
          <xm:sqref>D63:D73</xm:sqref>
        </x14:dataValidation>
        <x14:dataValidation type="list" allowBlank="1" showErrorMessage="1" errorTitle="Choisir dans la liste" error="Choisissez 5,5 %, 10 % ou 20 % dans la liste, ou laissez vide." xr:uid="{00000000-0002-0000-0100-000004000000}">
          <x14:formula1>
            <xm:f>Référentiel!$C$10:$C$12</xm:f>
          </x14:formula1>
          <xm:sqref>D77</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495669"/>
  </sheetPr>
  <dimension ref="B1:K111"/>
  <sheetViews>
    <sheetView showGridLines="0" workbookViewId="0">
      <selection activeCell="B1" sqref="B1"/>
    </sheetView>
  </sheetViews>
  <sheetFormatPr baseColWidth="10" defaultColWidth="8.7265625" defaultRowHeight="14.5" x14ac:dyDescent="0.35"/>
  <cols>
    <col min="1" max="1" width="2" customWidth="1"/>
    <col min="2" max="2" width="44" customWidth="1"/>
    <col min="3" max="3" width="24" customWidth="1"/>
    <col min="4" max="6" width="12" customWidth="1"/>
    <col min="7" max="7" width="9" customWidth="1"/>
    <col min="8" max="8" width="24" customWidth="1"/>
    <col min="9" max="9" width="9" customWidth="1"/>
    <col min="10" max="11" width="60" customWidth="1"/>
  </cols>
  <sheetData>
    <row r="1" spans="2:11" ht="20" customHeight="1" x14ac:dyDescent="0.35">
      <c r="B1" s="1" t="s">
        <v>0</v>
      </c>
      <c r="C1" s="1"/>
      <c r="D1" s="1"/>
      <c r="E1" s="1"/>
      <c r="F1" s="1"/>
      <c r="G1" s="1"/>
      <c r="H1" s="1"/>
      <c r="I1" s="1"/>
      <c r="J1" s="1"/>
      <c r="K1" s="1"/>
    </row>
    <row r="2" spans="2:11" ht="26" customHeight="1" x14ac:dyDescent="0.35">
      <c r="B2" s="2" t="s">
        <v>30</v>
      </c>
    </row>
    <row r="3" spans="2:11" x14ac:dyDescent="0.35">
      <c r="B3" s="3" t="s">
        <v>336</v>
      </c>
    </row>
    <row r="5" spans="2:11" x14ac:dyDescent="0.35">
      <c r="B5" s="9" t="s">
        <v>207</v>
      </c>
    </row>
    <row r="6" spans="2:11" x14ac:dyDescent="0.35">
      <c r="B6" s="9" t="s">
        <v>337</v>
      </c>
    </row>
    <row r="7" spans="2:11" x14ac:dyDescent="0.35">
      <c r="B7" s="35" t="s">
        <v>338</v>
      </c>
      <c r="C7" s="18" t="str">
        <f>IF(AND(COUNT(C10:C15)=ROWS(C10:C15),COUNTIF(C10:C14,"&lt;0")=0,COUNTIF(C10:C14,"&gt;1")=0,C15&gt;=0,C15&lt;=50,C15=INT(C15),COUNT(C19:C23)=ROWS(C19:C23),C19&gt;=3.5,C19&lt;=8,C20&gt;=1,C20&lt;=8,C20=INT(C20),C21&gt;=1,C21&lt;=2,C22&gt;=0,C23&gt;=C22,COUNT(C27:D32)=ROWS(C27:D32)*COLUMNS(C27:D32),COUNTIF(C27:D32,"&lt;0")=0,COUNTIF(C27:D32,"&gt;1")=0,SUMPRODUCT(--(C27:C32&gt;D27:D32))=0,COUNT(C36:D41)=ROWS(C36:D41)*COLUMNS(C36:D41),COUNTIF(C36:D41,"&lt;0")=0,COUNTIF(C36:D41,"&gt;1")=0,SUMPRODUCT(--(C36:C41&gt;D36:D41))=0,COUNT(E70:F100)=ROWS(E70:F100)*COLUMNS(E70:F100),COUNTIF(E70:F100,"&lt;0")=0,SUMPRODUCT(--(E70:E100&gt;F70:F100))=0,COUNT(I70:I100)=ROWS(I70:I100),COUNTIF(I70:I100,"&lt;0")=0,COUNTIF(G70:G100,C10)+COUNTIF(G70:G100,C11)+COUNTIF(G70:G100,C12)=ROWS(G70:G100)),"OK","À CORRIGER")</f>
        <v>OK</v>
      </c>
      <c r="D7" s="9" t="s">
        <v>339</v>
      </c>
    </row>
    <row r="8" spans="2:11" ht="18" customHeight="1" x14ac:dyDescent="0.35">
      <c r="B8" s="1" t="s">
        <v>340</v>
      </c>
      <c r="C8" s="1"/>
      <c r="D8" s="1"/>
      <c r="E8" s="1"/>
      <c r="F8" s="1"/>
      <c r="G8" s="1"/>
      <c r="H8" s="1"/>
      <c r="I8" s="1"/>
      <c r="J8" s="1"/>
      <c r="K8" s="1"/>
    </row>
    <row r="9" spans="2:11" ht="30" customHeight="1" x14ac:dyDescent="0.35">
      <c r="B9" s="19" t="s">
        <v>135</v>
      </c>
      <c r="C9" s="19" t="s">
        <v>341</v>
      </c>
      <c r="D9" s="19" t="s">
        <v>342</v>
      </c>
      <c r="E9" s="19"/>
      <c r="F9" s="19"/>
      <c r="G9" s="19"/>
      <c r="H9" s="19"/>
      <c r="I9" s="19"/>
      <c r="J9" s="19" t="s">
        <v>343</v>
      </c>
      <c r="K9" s="19" t="s">
        <v>344</v>
      </c>
    </row>
    <row r="10" spans="2:11" ht="43.5" customHeight="1" x14ac:dyDescent="0.35">
      <c r="B10" s="4" t="s">
        <v>345</v>
      </c>
      <c r="C10" s="46">
        <v>0.2</v>
      </c>
      <c r="D10" s="41" t="s">
        <v>346</v>
      </c>
      <c r="J10" s="41" t="str">
        <f>"CGI art. 278 ; Service-public Entreprendre F23568, mis à jour le 21/02/2026. "&amp;"Vérifié le "&amp;TEXT(DAY(Référentiel!$C$109),"00")&amp;"/"&amp;TEXT(MONTH(Référentiel!$C$109),"00")&amp;"/"&amp;YEAR(Référentiel!$C$109)</f>
        <v>CGI art. 278 ; Service-public Entreprendre F23568, mis à jour le 21/02/2026. Vérifié le 05/09/2026</v>
      </c>
      <c r="K10" s="41" t="s">
        <v>347</v>
      </c>
    </row>
    <row r="11" spans="2:11" ht="30" customHeight="1" x14ac:dyDescent="0.35">
      <c r="B11" s="4" t="s">
        <v>348</v>
      </c>
      <c r="C11" s="46">
        <v>0.1</v>
      </c>
      <c r="D11" s="41" t="s">
        <v>346</v>
      </c>
      <c r="J11" s="41" t="str">
        <f>"CGI art. 279-0 bis ; BOI-TVA-LIQ-30-20-90-10 du 22/10/2025. "&amp;"Vérifié le "&amp;TEXT(DAY(Référentiel!$C$109),"00")&amp;"/"&amp;TEXT(MONTH(Référentiel!$C$109),"00")&amp;"/"&amp;YEAR(Référentiel!$C$109)</f>
        <v>CGI art. 279-0 bis ; BOI-TVA-LIQ-30-20-90-10 du 22/10/2025. Vérifié le 05/09/2026</v>
      </c>
      <c r="K11" s="41" t="s">
        <v>349</v>
      </c>
    </row>
    <row r="12" spans="2:11" ht="43.5" customHeight="1" x14ac:dyDescent="0.35">
      <c r="B12" s="4" t="s">
        <v>350</v>
      </c>
      <c r="C12" s="46">
        <v>5.5E-2</v>
      </c>
      <c r="D12" s="41" t="s">
        <v>351</v>
      </c>
      <c r="J12" s="41" t="str">
        <f>"CGI art. 278-0 bis A ; arrêté du 24/12/2024 (liste des équipements) ; BOFiP ACTU-2025-00165 du 22/10/2025 ; FFB, liste du 25/08/2026. "&amp;"Vérifié le "&amp;TEXT(DAY(Référentiel!$C$109),"00")&amp;"/"&amp;TEXT(MONTH(Référentiel!$C$109),"00")&amp;"/"&amp;YEAR(Référentiel!$C$109)</f>
        <v>CGI art. 278-0 bis A ; arrêté du 24/12/2024 (liste des équipements) ; BOFiP ACTU-2025-00165 du 22/10/2025 ; FFB, liste du 25/08/2026. Vérifié le 05/09/2026</v>
      </c>
      <c r="K12" s="41" t="s">
        <v>352</v>
      </c>
    </row>
    <row r="13" spans="2:11" ht="57" customHeight="1" x14ac:dyDescent="0.35">
      <c r="B13" s="4" t="s">
        <v>353</v>
      </c>
      <c r="C13" s="46">
        <v>0.66666666666666663</v>
      </c>
      <c r="D13" s="41" t="s">
        <v>354</v>
      </c>
      <c r="J13" s="41" t="str">
        <f>"CGI art. 257, I-2-2° ; CGI annexe II art. 245 A ; BOI-TVA-IMM-10-10-10-20 § 140 et suivants. "&amp;"Vérifié le "&amp;TEXT(DAY(Référentiel!$C$109),"00")&amp;"/"&amp;TEXT(MONTH(Référentiel!$C$109),"00")&amp;"/"&amp;YEAR(Référentiel!$C$109)</f>
        <v>CGI art. 257, I-2-2° ; CGI annexe II art. 245 A ; BOI-TVA-IMM-10-10-10-20 § 140 et suivants. Vérifié le 05/09/2026</v>
      </c>
      <c r="K13" s="41" t="s">
        <v>355</v>
      </c>
    </row>
    <row r="14" spans="2:11" ht="30" customHeight="1" x14ac:dyDescent="0.35">
      <c r="B14" s="4" t="s">
        <v>356</v>
      </c>
      <c r="C14" s="46">
        <v>0.1</v>
      </c>
      <c r="D14" s="41" t="s">
        <v>354</v>
      </c>
      <c r="J14" s="41" t="str">
        <f>"CGI art. 279-0 bis, 2 bis ; BOI-TVA-LIQ-30-20-90-10 du 22/10/2025. "&amp;"Vérifié le "&amp;TEXT(DAY(Référentiel!$C$109),"00")&amp;"/"&amp;TEXT(MONTH(Référentiel!$C$109),"00")&amp;"/"&amp;YEAR(Référentiel!$C$109)</f>
        <v>CGI art. 279-0 bis, 2 bis ; BOI-TVA-LIQ-30-20-90-10 du 22/10/2025. Vérifié le 05/09/2026</v>
      </c>
      <c r="K14" s="41" t="s">
        <v>357</v>
      </c>
    </row>
    <row r="15" spans="2:11" ht="30" customHeight="1" x14ac:dyDescent="0.35">
      <c r="B15" s="4" t="s">
        <v>358</v>
      </c>
      <c r="C15" s="47">
        <v>2</v>
      </c>
      <c r="D15" s="41" t="s">
        <v>354</v>
      </c>
      <c r="J15" s="41" t="str">
        <f>"CGI art. 279-0 bis, 1 ; BOI-TVA-LIQ-30-20-90-10 § 10 : appréciée au début des travaux. "&amp;"Vérifié le "&amp;TEXT(DAY(Référentiel!$C$109),"00")&amp;"/"&amp;TEXT(MONTH(Référentiel!$C$109),"00")&amp;"/"&amp;YEAR(Référentiel!$C$109)</f>
        <v>CGI art. 279-0 bis, 1 ; BOI-TVA-LIQ-30-20-90-10 § 10 : appréciée au début des travaux. Vérifié le 05/09/2026</v>
      </c>
      <c r="K15" s="41" t="s">
        <v>359</v>
      </c>
    </row>
    <row r="17" spans="2:11" ht="18" customHeight="1" x14ac:dyDescent="0.35">
      <c r="B17" s="1" t="s">
        <v>360</v>
      </c>
      <c r="C17" s="1"/>
      <c r="D17" s="1"/>
      <c r="E17" s="1"/>
      <c r="F17" s="1"/>
      <c r="G17" s="1"/>
      <c r="H17" s="1"/>
      <c r="I17" s="1"/>
      <c r="J17" s="1"/>
      <c r="K17" s="1"/>
    </row>
    <row r="18" spans="2:11" ht="30" customHeight="1" x14ac:dyDescent="0.35">
      <c r="B18" s="19" t="s">
        <v>135</v>
      </c>
      <c r="C18" s="19" t="s">
        <v>341</v>
      </c>
      <c r="D18" s="19" t="s">
        <v>342</v>
      </c>
      <c r="E18" s="19"/>
      <c r="F18" s="19"/>
      <c r="G18" s="19"/>
      <c r="H18" s="19"/>
      <c r="I18" s="19"/>
      <c r="J18" s="19" t="s">
        <v>343</v>
      </c>
      <c r="K18" s="19" t="s">
        <v>344</v>
      </c>
    </row>
    <row r="19" spans="2:11" ht="30" customHeight="1" x14ac:dyDescent="0.35">
      <c r="B19" s="4" t="s">
        <v>361</v>
      </c>
      <c r="C19" s="48">
        <v>4.2</v>
      </c>
      <c r="D19" s="41" t="s">
        <v>362</v>
      </c>
      <c r="J19" s="41" t="str">
        <f>"Géométrie : 4,0 pour un carré, 4,08 pour un rectangle 1,5:1, 4,24 pour un rectangle 2:1. "&amp;"Vérifié le "&amp;TEXT(DAY(Référentiel!$C$109),"00")&amp;"/"&amp;TEXT(MONTH(Référentiel!$C$109),"00")&amp;"/"&amp;YEAR(Référentiel!$C$109)</f>
        <v>Géométrie : 4,0 pour un carré, 4,08 pour un rectangle 1,5:1, 4,24 pour un rectangle 2:1. Vérifié le 05/09/2026</v>
      </c>
      <c r="K19" s="41" t="s">
        <v>363</v>
      </c>
    </row>
    <row r="20" spans="2:11" ht="30" customHeight="1" x14ac:dyDescent="0.35">
      <c r="B20" s="4" t="s">
        <v>364</v>
      </c>
      <c r="C20" s="49">
        <v>4</v>
      </c>
      <c r="D20" s="41" t="s">
        <v>365</v>
      </c>
      <c r="J20" s="41" t="str">
        <f>"Géométrie. "&amp;"Vérifié le "&amp;TEXT(DAY(Référentiel!$C$109),"00")&amp;"/"&amp;TEXT(MONTH(Référentiel!$C$109),"00")&amp;"/"&amp;YEAR(Référentiel!$C$109)</f>
        <v>Géométrie. Vérifié le 05/09/2026</v>
      </c>
      <c r="K20" s="41" t="s">
        <v>366</v>
      </c>
    </row>
    <row r="21" spans="2:11" ht="30" customHeight="1" x14ac:dyDescent="0.35">
      <c r="B21" s="4" t="s">
        <v>367</v>
      </c>
      <c r="C21" s="48">
        <v>1.2</v>
      </c>
      <c r="D21" s="41" t="s">
        <v>362</v>
      </c>
      <c r="J21" s="41" t="str">
        <f>"Trigonométrie : 1/cos 30° = 1,155 ; 1/cos 35° = 1,221 ; 1,41 à 45°. "&amp;"Vérifié le "&amp;TEXT(DAY(Référentiel!$C$109),"00")&amp;"/"&amp;TEXT(MONTH(Référentiel!$C$109),"00")&amp;"/"&amp;YEAR(Référentiel!$C$109)</f>
        <v>Trigonométrie : 1/cos 30° = 1,155 ; 1/cos 35° = 1,221 ; 1,41 à 45°. Vérifié le 05/09/2026</v>
      </c>
      <c r="K21" s="41" t="s">
        <v>368</v>
      </c>
    </row>
    <row r="22" spans="2:11" ht="43.5" customHeight="1" x14ac:dyDescent="0.35">
      <c r="B22" s="4" t="s">
        <v>369</v>
      </c>
      <c r="C22" s="50">
        <v>750</v>
      </c>
      <c r="D22" s="41" t="s">
        <v>370</v>
      </c>
      <c r="J22" s="41" t="str">
        <f>"Hellowatt 2026 : léger 250 à 750, moyen 750 à 1 500, lourd 2 000 à 4 000 €/m² TTC ; Illico Travaux 2026 : complet 1 000 à 1 800, lourd 1 500 et plus. "&amp;"Vérifié le "&amp;TEXT(DAY(Référentiel!$C$109),"00")&amp;"/"&amp;TEXT(MONTH(Référentiel!$C$109),"00")&amp;"/"&amp;YEAR(Référentiel!$C$109)</f>
        <v>Hellowatt 2026 : léger 250 à 750, moyen 750 à 1 500, lourd 2 000 à 4 000 €/m² TTC ; Illico Travaux 2026 : complet 1 000 à 1 800, lourd 1 500 et plus. Vérifié le 05/09/2026</v>
      </c>
      <c r="K22" s="41" t="s">
        <v>371</v>
      </c>
    </row>
    <row r="23" spans="2:11" ht="30" customHeight="1" x14ac:dyDescent="0.35">
      <c r="B23" s="4" t="s">
        <v>372</v>
      </c>
      <c r="C23" s="50">
        <v>1500</v>
      </c>
      <c r="D23" s="41" t="s">
        <v>370</v>
      </c>
      <c r="J23" s="41" t="str">
        <f>"Mêmes sources. Le 1 500 €/m² est un plancher de rénovation lourde, pas un centre. "&amp;"Vérifié le "&amp;TEXT(DAY(Référentiel!$C$109),"00")&amp;"/"&amp;TEXT(MONTH(Référentiel!$C$109),"00")&amp;"/"&amp;YEAR(Référentiel!$C$109)</f>
        <v>Mêmes sources. Le 1 500 €/m² est un plancher de rénovation lourde, pas un centre. Vérifié le 05/09/2026</v>
      </c>
      <c r="K23" s="41" t="s">
        <v>373</v>
      </c>
    </row>
    <row r="25" spans="2:11" ht="18" customHeight="1" x14ac:dyDescent="0.35">
      <c r="B25" s="1" t="s">
        <v>374</v>
      </c>
      <c r="C25" s="1"/>
      <c r="D25" s="1"/>
      <c r="E25" s="1"/>
      <c r="F25" s="1"/>
      <c r="G25" s="1"/>
      <c r="H25" s="1"/>
      <c r="I25" s="1"/>
      <c r="J25" s="1"/>
      <c r="K25" s="1"/>
    </row>
    <row r="26" spans="2:11" ht="30" customHeight="1" x14ac:dyDescent="0.35">
      <c r="B26" s="19" t="s">
        <v>375</v>
      </c>
      <c r="C26" s="19" t="s">
        <v>376</v>
      </c>
      <c r="D26" s="19" t="s">
        <v>377</v>
      </c>
      <c r="E26" s="19"/>
      <c r="F26" s="19"/>
      <c r="G26" s="19"/>
      <c r="H26" s="19"/>
      <c r="I26" s="19"/>
      <c r="J26" s="19" t="s">
        <v>343</v>
      </c>
      <c r="K26" s="19" t="s">
        <v>344</v>
      </c>
    </row>
    <row r="27" spans="2:11" ht="57" customHeight="1" x14ac:dyDescent="0.35">
      <c r="B27" s="4" t="s">
        <v>378</v>
      </c>
      <c r="C27" s="51">
        <v>0.4</v>
      </c>
      <c r="D27" s="51">
        <v>0.6</v>
      </c>
      <c r="J27" s="41" t="str">
        <f>"Observatoire ARTEP (monimmeuble.com), Erema Bat 2026, AZ Bâtiments 2026 : Île-de-France + 15 à 30 % sur la province, Paris intra-muros + 20 à 35 %, soit un curseur plus haut, pas une autre grille. "&amp;"Vérifié le "&amp;TEXT(DAY(Référentiel!$C$109),"00")&amp;"/"&amp;TEXT(MONTH(Référentiel!$C$109),"00")&amp;"/"&amp;YEAR(Référentiel!$C$109)</f>
        <v>Observatoire ARTEP (monimmeuble.com), Erema Bat 2026, AZ Bâtiments 2026 : Île-de-France + 15 à 30 % sur la province, Paris intra-muros + 20 à 35 %, soit un curseur plus haut, pas une autre grille. Vérifié le 05/09/2026</v>
      </c>
      <c r="K27" s="41" t="s">
        <v>379</v>
      </c>
    </row>
    <row r="28" spans="2:11" ht="57" customHeight="1" x14ac:dyDescent="0.35">
      <c r="B28" s="4" t="s">
        <v>380</v>
      </c>
      <c r="C28" s="51">
        <v>0.6</v>
      </c>
      <c r="D28" s="51">
        <v>0.8</v>
      </c>
      <c r="J28" s="41" t="str">
        <f>"Observatoire ARTEP (monimmeuble.com), Erema Bat 2026, AZ Bâtiments 2026 : Île-de-France + 15 à 30 % sur la province, Paris intra-muros + 20 à 35 %, soit un curseur plus haut, pas une autre grille. "&amp;"Vérifié le "&amp;TEXT(DAY(Référentiel!$C$109),"00")&amp;"/"&amp;TEXT(MONTH(Référentiel!$C$109),"00")&amp;"/"&amp;YEAR(Référentiel!$C$109)</f>
        <v>Observatoire ARTEP (monimmeuble.com), Erema Bat 2026, AZ Bâtiments 2026 : Île-de-France + 15 à 30 % sur la province, Paris intra-muros + 20 à 35 %, soit un curseur plus haut, pas une autre grille. Vérifié le 05/09/2026</v>
      </c>
      <c r="K28" s="41"/>
    </row>
    <row r="29" spans="2:11" ht="57" customHeight="1" x14ac:dyDescent="0.35">
      <c r="B29" s="4" t="s">
        <v>381</v>
      </c>
      <c r="C29" s="51">
        <v>0.7</v>
      </c>
      <c r="D29" s="51">
        <v>1</v>
      </c>
      <c r="J29" s="41" t="str">
        <f>"Observatoire ARTEP (monimmeuble.com), Erema Bat 2026, AZ Bâtiments 2026 : Île-de-France + 15 à 30 % sur la province, Paris intra-muros + 20 à 35 %, soit un curseur plus haut, pas une autre grille. "&amp;"Vérifié le "&amp;TEXT(DAY(Référentiel!$C$109),"00")&amp;"/"&amp;TEXT(MONTH(Référentiel!$C$109),"00")&amp;"/"&amp;YEAR(Référentiel!$C$109)</f>
        <v>Observatoire ARTEP (monimmeuble.com), Erema Bat 2026, AZ Bâtiments 2026 : Île-de-France + 15 à 30 % sur la province, Paris intra-muros + 20 à 35 %, soit un curseur plus haut, pas une autre grille. Vérifié le 05/09/2026</v>
      </c>
      <c r="K29" s="41" t="s">
        <v>382</v>
      </c>
    </row>
    <row r="30" spans="2:11" ht="43.5" customHeight="1" x14ac:dyDescent="0.35">
      <c r="B30" s="4" t="s">
        <v>383</v>
      </c>
      <c r="C30" s="51">
        <v>0.1</v>
      </c>
      <c r="D30" s="51">
        <v>0.15</v>
      </c>
      <c r="J30" s="41" t="str">
        <f>"maitre-doeuvre.fr, architecte-batiments.fr, 2026 : 5 à 10 % en rénovation standard, 10 à 15 % dans l'ancien, 15 à 20 % avec inconnues structurelles. "&amp;"Vérifié le "&amp;TEXT(DAY(Référentiel!$C$109),"00")&amp;"/"&amp;TEXT(MONTH(Référentiel!$C$109),"00")&amp;"/"&amp;YEAR(Référentiel!$C$109)</f>
        <v>maitre-doeuvre.fr, architecte-batiments.fr, 2026 : 5 à 10 % en rénovation standard, 10 à 15 % dans l'ancien, 15 à 20 % avec inconnues structurelles. Vérifié le 05/09/2026</v>
      </c>
      <c r="K30" s="41" t="s">
        <v>384</v>
      </c>
    </row>
    <row r="31" spans="2:11" ht="43.5" customHeight="1" x14ac:dyDescent="0.35">
      <c r="B31" s="4" t="s">
        <v>385</v>
      </c>
      <c r="C31" s="51">
        <v>0.08</v>
      </c>
      <c r="D31" s="51">
        <v>0.12</v>
      </c>
      <c r="J31" s="41" t="str">
        <f>"Ootravaux, tarifs architecte 2026 ; Meta Architecte, barème 2026 : maîtrise d'œuvre 6 à 12 %, architecte 8 à 15 %, mission complète en rénovation 12 à 18 %. "&amp;"Vérifié le "&amp;TEXT(DAY(Référentiel!$C$109),"00")&amp;"/"&amp;TEXT(MONTH(Référentiel!$C$109),"00")&amp;"/"&amp;YEAR(Référentiel!$C$109)</f>
        <v>Ootravaux, tarifs architecte 2026 ; Meta Architecte, barème 2026 : maîtrise d'œuvre 6 à 12 %, architecte 8 à 15 %, mission complète en rénovation 12 à 18 %. Vérifié le 05/09/2026</v>
      </c>
      <c r="K31" s="41" t="s">
        <v>386</v>
      </c>
    </row>
    <row r="32" spans="2:11" ht="43.5" customHeight="1" x14ac:dyDescent="0.35">
      <c r="B32" s="4" t="s">
        <v>387</v>
      </c>
      <c r="C32" s="51">
        <v>0.12</v>
      </c>
      <c r="D32" s="51">
        <v>0.18</v>
      </c>
      <c r="J32" s="41" t="str">
        <f>"Ootravaux, tarifs architecte 2026 ; Meta Architecte, barème 2026 : maîtrise d'œuvre 6 à 12 %, architecte 8 à 15 %, mission complète en rénovation 12 à 18 %. "&amp;"Vérifié le "&amp;TEXT(DAY(Référentiel!$C$109),"00")&amp;"/"&amp;TEXT(MONTH(Référentiel!$C$109),"00")&amp;"/"&amp;YEAR(Référentiel!$C$109)</f>
        <v>Ootravaux, tarifs architecte 2026 ; Meta Architecte, barème 2026 : maîtrise d'œuvre 6 à 12 %, architecte 8 à 15 %, mission complète en rénovation 12 à 18 %. Vérifié le 05/09/2026</v>
      </c>
      <c r="K32" s="41"/>
    </row>
    <row r="34" spans="2:11" ht="18" customHeight="1" x14ac:dyDescent="0.35">
      <c r="B34" s="1" t="s">
        <v>388</v>
      </c>
      <c r="C34" s="1"/>
      <c r="D34" s="1"/>
      <c r="E34" s="1"/>
      <c r="F34" s="1"/>
      <c r="G34" s="1"/>
      <c r="H34" s="1"/>
      <c r="I34" s="1"/>
      <c r="J34" s="1"/>
      <c r="K34" s="1"/>
    </row>
    <row r="35" spans="2:11" ht="30" customHeight="1" x14ac:dyDescent="0.35">
      <c r="B35" s="19" t="s">
        <v>389</v>
      </c>
      <c r="C35" s="19" t="s">
        <v>390</v>
      </c>
      <c r="D35" s="19" t="s">
        <v>391</v>
      </c>
      <c r="E35" s="19"/>
      <c r="F35" s="19"/>
      <c r="G35" s="19"/>
      <c r="H35" s="19"/>
      <c r="I35" s="19"/>
      <c r="J35" s="19" t="s">
        <v>392</v>
      </c>
      <c r="K35" s="19" t="s">
        <v>328</v>
      </c>
    </row>
    <row r="36" spans="2:11" ht="43.5" customHeight="1" x14ac:dyDescent="0.35">
      <c r="B36" s="10" t="s">
        <v>393</v>
      </c>
      <c r="C36" s="14">
        <v>0.05</v>
      </c>
      <c r="D36" s="14">
        <v>0.12</v>
      </c>
      <c r="J36" s="41" t="str">
        <f>"Convention CorpusImmo, non sourcée : à caler sur vos propres chantiers. Elle décrit une rénovation lourde de logement ancien. "&amp;"Vérifié le "&amp;TEXT(DAY(Référentiel!$C$109),"00")&amp;"/"&amp;TEXT(MONTH(Référentiel!$C$109),"00")&amp;"/"&amp;YEAR(Référentiel!$C$109)</f>
        <v>Convention CorpusImmo, non sourcée : à caler sur vos propres chantiers. Elle décrit une rénovation lourde de logement ancien. Vérifié le 05/09/2026</v>
      </c>
      <c r="K36" s="9" t="s">
        <v>394</v>
      </c>
    </row>
    <row r="37" spans="2:11" ht="16.5" customHeight="1" x14ac:dyDescent="0.35">
      <c r="B37" s="10" t="s">
        <v>395</v>
      </c>
      <c r="C37" s="14">
        <v>0.1</v>
      </c>
      <c r="D37" s="14">
        <v>0.3</v>
      </c>
      <c r="J37" s="41" t="s">
        <v>396</v>
      </c>
      <c r="K37" s="9" t="s">
        <v>397</v>
      </c>
    </row>
    <row r="38" spans="2:11" ht="16.5" customHeight="1" x14ac:dyDescent="0.35">
      <c r="B38" s="10" t="s">
        <v>398</v>
      </c>
      <c r="C38" s="14">
        <v>0.25</v>
      </c>
      <c r="D38" s="14">
        <v>0.35</v>
      </c>
      <c r="J38" s="41" t="s">
        <v>396</v>
      </c>
      <c r="K38" s="9" t="s">
        <v>399</v>
      </c>
    </row>
    <row r="39" spans="2:11" ht="16.5" customHeight="1" x14ac:dyDescent="0.35">
      <c r="B39" s="10" t="s">
        <v>400</v>
      </c>
      <c r="C39" s="14">
        <v>0.15</v>
      </c>
      <c r="D39" s="14">
        <v>0.28000000000000003</v>
      </c>
      <c r="J39" s="41" t="s">
        <v>396</v>
      </c>
      <c r="K39" s="9" t="s">
        <v>401</v>
      </c>
    </row>
    <row r="40" spans="2:11" ht="16.5" customHeight="1" x14ac:dyDescent="0.35">
      <c r="B40" s="10" t="s">
        <v>402</v>
      </c>
      <c r="C40" s="14">
        <v>0.12</v>
      </c>
      <c r="D40" s="14">
        <v>0.25</v>
      </c>
      <c r="J40" s="41" t="s">
        <v>396</v>
      </c>
      <c r="K40" s="9" t="s">
        <v>403</v>
      </c>
    </row>
    <row r="41" spans="2:11" ht="16.5" customHeight="1" x14ac:dyDescent="0.35">
      <c r="B41" s="10" t="s">
        <v>404</v>
      </c>
      <c r="C41" s="14">
        <v>0</v>
      </c>
      <c r="D41" s="14">
        <v>0.15</v>
      </c>
      <c r="J41" s="41" t="s">
        <v>396</v>
      </c>
      <c r="K41" s="9" t="s">
        <v>405</v>
      </c>
    </row>
    <row r="43" spans="2:11" ht="18" customHeight="1" x14ac:dyDescent="0.35">
      <c r="B43" s="1" t="s">
        <v>406</v>
      </c>
      <c r="C43" s="1"/>
      <c r="D43" s="1"/>
      <c r="E43" s="1"/>
      <c r="F43" s="1"/>
      <c r="G43" s="1"/>
      <c r="H43" s="1"/>
      <c r="I43" s="1"/>
      <c r="J43" s="1"/>
      <c r="K43" s="1"/>
    </row>
    <row r="44" spans="2:11" ht="30" customHeight="1" x14ac:dyDescent="0.35">
      <c r="B44" s="19" t="s">
        <v>239</v>
      </c>
      <c r="C44" s="19" t="s">
        <v>389</v>
      </c>
      <c r="D44" s="19"/>
      <c r="E44" s="19"/>
      <c r="F44" s="19"/>
      <c r="G44" s="19"/>
      <c r="H44" s="19"/>
      <c r="I44" s="19"/>
      <c r="J44" s="19"/>
      <c r="K44" s="19" t="s">
        <v>344</v>
      </c>
    </row>
    <row r="45" spans="2:11" x14ac:dyDescent="0.35">
      <c r="B45" s="10" t="s">
        <v>407</v>
      </c>
      <c r="C45" s="10" t="s">
        <v>393</v>
      </c>
      <c r="K45" s="9" t="s">
        <v>408</v>
      </c>
    </row>
    <row r="46" spans="2:11" x14ac:dyDescent="0.35">
      <c r="B46" s="10" t="s">
        <v>409</v>
      </c>
      <c r="C46" s="10" t="s">
        <v>393</v>
      </c>
    </row>
    <row r="47" spans="2:11" x14ac:dyDescent="0.35">
      <c r="B47" s="10" t="s">
        <v>410</v>
      </c>
      <c r="C47" s="10" t="s">
        <v>395</v>
      </c>
    </row>
    <row r="48" spans="2:11" x14ac:dyDescent="0.35">
      <c r="B48" s="10" t="s">
        <v>411</v>
      </c>
      <c r="C48" s="10" t="s">
        <v>395</v>
      </c>
    </row>
    <row r="49" spans="2:11" x14ac:dyDescent="0.35">
      <c r="B49" s="10" t="s">
        <v>412</v>
      </c>
      <c r="C49" s="10" t="s">
        <v>395</v>
      </c>
    </row>
    <row r="50" spans="2:11" x14ac:dyDescent="0.35">
      <c r="B50" s="10" t="s">
        <v>413</v>
      </c>
      <c r="C50" s="10" t="s">
        <v>395</v>
      </c>
    </row>
    <row r="51" spans="2:11" x14ac:dyDescent="0.35">
      <c r="B51" s="10" t="s">
        <v>414</v>
      </c>
      <c r="C51" s="10" t="s">
        <v>398</v>
      </c>
    </row>
    <row r="52" spans="2:11" x14ac:dyDescent="0.35">
      <c r="B52" s="10" t="s">
        <v>415</v>
      </c>
      <c r="C52" s="10" t="s">
        <v>398</v>
      </c>
    </row>
    <row r="53" spans="2:11" x14ac:dyDescent="0.35">
      <c r="B53" s="10" t="s">
        <v>416</v>
      </c>
      <c r="C53" s="10" t="s">
        <v>398</v>
      </c>
    </row>
    <row r="54" spans="2:11" x14ac:dyDescent="0.35">
      <c r="B54" s="10" t="s">
        <v>417</v>
      </c>
      <c r="C54" s="10" t="s">
        <v>400</v>
      </c>
    </row>
    <row r="55" spans="2:11" x14ac:dyDescent="0.35">
      <c r="B55" s="10" t="s">
        <v>418</v>
      </c>
      <c r="C55" s="10" t="s">
        <v>400</v>
      </c>
    </row>
    <row r="56" spans="2:11" x14ac:dyDescent="0.35">
      <c r="B56" s="10" t="s">
        <v>419</v>
      </c>
      <c r="C56" s="10" t="s">
        <v>400</v>
      </c>
    </row>
    <row r="57" spans="2:11" x14ac:dyDescent="0.35">
      <c r="B57" s="10" t="s">
        <v>420</v>
      </c>
      <c r="C57" s="10" t="s">
        <v>400</v>
      </c>
    </row>
    <row r="58" spans="2:11" x14ac:dyDescent="0.35">
      <c r="B58" s="10" t="s">
        <v>421</v>
      </c>
      <c r="C58" s="10" t="s">
        <v>402</v>
      </c>
    </row>
    <row r="59" spans="2:11" x14ac:dyDescent="0.35">
      <c r="B59" s="10" t="s">
        <v>422</v>
      </c>
      <c r="C59" s="10" t="s">
        <v>402</v>
      </c>
    </row>
    <row r="60" spans="2:11" x14ac:dyDescent="0.35">
      <c r="B60" s="10" t="s">
        <v>423</v>
      </c>
      <c r="C60" s="10" t="s">
        <v>404</v>
      </c>
    </row>
    <row r="62" spans="2:11" ht="18" customHeight="1" x14ac:dyDescent="0.35">
      <c r="B62" s="1" t="s">
        <v>424</v>
      </c>
      <c r="C62" s="1"/>
      <c r="D62" s="1"/>
      <c r="E62" s="1"/>
      <c r="F62" s="1"/>
      <c r="G62" s="1"/>
      <c r="H62" s="1"/>
      <c r="I62" s="1"/>
      <c r="J62" s="1"/>
      <c r="K62" s="1"/>
    </row>
    <row r="63" spans="2:11" x14ac:dyDescent="0.35">
      <c r="B63" s="1" t="s">
        <v>425</v>
      </c>
      <c r="C63" s="1" t="s">
        <v>252</v>
      </c>
    </row>
    <row r="64" spans="2:11" x14ac:dyDescent="0.35">
      <c r="B64" s="10" t="s">
        <v>255</v>
      </c>
      <c r="C64" s="10" t="s">
        <v>253</v>
      </c>
    </row>
    <row r="65" spans="2:11" x14ac:dyDescent="0.35">
      <c r="B65" s="10" t="s">
        <v>258</v>
      </c>
      <c r="C65" s="10" t="s">
        <v>426</v>
      </c>
    </row>
    <row r="66" spans="2:11" x14ac:dyDescent="0.35">
      <c r="B66" s="9" t="s">
        <v>427</v>
      </c>
    </row>
    <row r="68" spans="2:11" ht="18" customHeight="1" x14ac:dyDescent="0.35">
      <c r="B68" s="1" t="s">
        <v>428</v>
      </c>
      <c r="C68" s="1"/>
      <c r="D68" s="1"/>
      <c r="E68" s="1"/>
      <c r="F68" s="1"/>
      <c r="G68" s="1"/>
      <c r="H68" s="1"/>
      <c r="I68" s="1"/>
      <c r="J68" s="1"/>
      <c r="K68" s="1"/>
    </row>
    <row r="69" spans="2:11" ht="30" customHeight="1" x14ac:dyDescent="0.35">
      <c r="B69" s="19" t="s">
        <v>240</v>
      </c>
      <c r="C69" s="19" t="s">
        <v>239</v>
      </c>
      <c r="D69" s="19" t="s">
        <v>241</v>
      </c>
      <c r="E69" s="19" t="s">
        <v>429</v>
      </c>
      <c r="F69" s="19" t="s">
        <v>430</v>
      </c>
      <c r="G69" s="19" t="s">
        <v>250</v>
      </c>
      <c r="H69" s="19" t="s">
        <v>431</v>
      </c>
      <c r="I69" s="19" t="s">
        <v>432</v>
      </c>
      <c r="J69" s="19" t="s">
        <v>433</v>
      </c>
      <c r="K69" s="19" t="s">
        <v>434</v>
      </c>
    </row>
    <row r="70" spans="2:11" ht="30" customHeight="1" x14ac:dyDescent="0.35">
      <c r="B70" s="30" t="s">
        <v>435</v>
      </c>
      <c r="C70" s="10" t="s">
        <v>407</v>
      </c>
      <c r="D70" s="9" t="s">
        <v>436</v>
      </c>
      <c r="E70" s="25">
        <v>25</v>
      </c>
      <c r="F70" s="25">
        <v>60</v>
      </c>
      <c r="G70" s="15">
        <v>0.1</v>
      </c>
      <c r="H70" s="9" t="s">
        <v>230</v>
      </c>
      <c r="I70" s="52">
        <v>1</v>
      </c>
      <c r="J70" s="41" t="str">
        <f>"Hellowatt 2026 : dépose des sols seule 10 à 25 €/m². "&amp;"Vérifié le "&amp;TEXT(DAY(Référentiel!$C$109),"00")&amp;"/"&amp;TEXT(MONTH(Référentiel!$C$109),"00")&amp;"/"&amp;YEAR(Référentiel!$C$109)</f>
        <v>Hellowatt 2026 : dépose des sols seule 10 à 25 €/m². Vérifié le 05/09/2026</v>
      </c>
      <c r="K70" s="41" t="s">
        <v>437</v>
      </c>
    </row>
    <row r="71" spans="2:11" ht="16.5" customHeight="1" x14ac:dyDescent="0.35">
      <c r="B71" s="30" t="s">
        <v>438</v>
      </c>
      <c r="C71" s="10" t="s">
        <v>407</v>
      </c>
      <c r="D71" s="9" t="s">
        <v>439</v>
      </c>
      <c r="E71" s="25">
        <v>400</v>
      </c>
      <c r="F71" s="25">
        <v>1200</v>
      </c>
      <c r="G71" s="15">
        <v>0.1</v>
      </c>
      <c r="H71" s="9" t="s">
        <v>440</v>
      </c>
      <c r="I71" s="52">
        <v>8.3000000000000001E-3</v>
      </c>
      <c r="J71" s="41" t="str">
        <f>"Grilles Hellowatt et Illico Travaux, 2026. "&amp;"Vérifié le "&amp;TEXT(DAY(Référentiel!$C$109),"00")&amp;"/"&amp;TEXT(MONTH(Référentiel!$C$109),"00")&amp;"/"&amp;YEAR(Référentiel!$C$109)</f>
        <v>Grilles Hellowatt et Illico Travaux, 2026. Vérifié le 05/09/2026</v>
      </c>
      <c r="K71" s="41" t="s">
        <v>441</v>
      </c>
    </row>
    <row r="72" spans="2:11" ht="16.5" customHeight="1" x14ac:dyDescent="0.35">
      <c r="B72" s="30" t="s">
        <v>442</v>
      </c>
      <c r="C72" s="10" t="s">
        <v>409</v>
      </c>
      <c r="D72" s="9" t="s">
        <v>443</v>
      </c>
      <c r="E72" s="25">
        <v>1800</v>
      </c>
      <c r="F72" s="25">
        <v>4500</v>
      </c>
      <c r="G72" s="15">
        <v>0.1</v>
      </c>
      <c r="H72" s="9" t="s">
        <v>444</v>
      </c>
      <c r="I72" s="52">
        <v>0</v>
      </c>
      <c r="J72" s="41" t="str">
        <f>"Grilles Hellowatt et Illico Travaux, 2026. "&amp;"Vérifié le "&amp;TEXT(DAY(Référentiel!$C$109),"00")&amp;"/"&amp;TEXT(MONTH(Référentiel!$C$109),"00")&amp;"/"&amp;YEAR(Référentiel!$C$109)</f>
        <v>Grilles Hellowatt et Illico Travaux, 2026. Vérifié le 05/09/2026</v>
      </c>
      <c r="K72" s="41" t="s">
        <v>445</v>
      </c>
    </row>
    <row r="73" spans="2:11" ht="30" customHeight="1" x14ac:dyDescent="0.35">
      <c r="B73" s="30" t="s">
        <v>446</v>
      </c>
      <c r="C73" s="10" t="s">
        <v>409</v>
      </c>
      <c r="D73" s="9" t="s">
        <v>447</v>
      </c>
      <c r="E73" s="25">
        <v>45</v>
      </c>
      <c r="F73" s="25">
        <v>110</v>
      </c>
      <c r="G73" s="15">
        <v>0.1</v>
      </c>
      <c r="H73" s="9" t="s">
        <v>444</v>
      </c>
      <c r="I73" s="52">
        <v>0</v>
      </c>
      <c r="J73" s="41" t="str">
        <f>"Grilles Hellowatt et Illico Travaux, 2026. "&amp;"Vérifié le "&amp;TEXT(DAY(Référentiel!$C$109),"00")&amp;"/"&amp;TEXT(MONTH(Référentiel!$C$109),"00")&amp;"/"&amp;YEAR(Référentiel!$C$109)</f>
        <v>Grilles Hellowatt et Illico Travaux, 2026. Vérifié le 05/09/2026</v>
      </c>
      <c r="K73" s="41" t="s">
        <v>448</v>
      </c>
    </row>
    <row r="74" spans="2:11" ht="43.5" customHeight="1" x14ac:dyDescent="0.35">
      <c r="B74" s="30" t="s">
        <v>449</v>
      </c>
      <c r="C74" s="10" t="s">
        <v>410</v>
      </c>
      <c r="D74" s="9" t="s">
        <v>450</v>
      </c>
      <c r="E74" s="25">
        <v>90</v>
      </c>
      <c r="F74" s="25">
        <v>190</v>
      </c>
      <c r="G74" s="15">
        <v>0.1</v>
      </c>
      <c r="H74" s="9" t="s">
        <v>232</v>
      </c>
      <c r="I74" s="52">
        <v>1</v>
      </c>
      <c r="J74" s="41" t="str">
        <f>"Illico Travaux 2026 et Hellowatt 2026 : toiture complète (charpente et couverture) 180 à 260 €/m² ; couverture seule non contredite. "&amp;"Vérifié le "&amp;TEXT(DAY(Référentiel!$C$109),"00")&amp;"/"&amp;TEXT(MONTH(Référentiel!$C$109),"00")&amp;"/"&amp;YEAR(Référentiel!$C$109)</f>
        <v>Illico Travaux 2026 et Hellowatt 2026 : toiture complète (charpente et couverture) 180 à 260 €/m² ; couverture seule non contredite. Vérifié le 05/09/2026</v>
      </c>
      <c r="K74" s="41" t="s">
        <v>451</v>
      </c>
    </row>
    <row r="75" spans="2:11" ht="16.5" customHeight="1" x14ac:dyDescent="0.35">
      <c r="B75" s="30" t="s">
        <v>452</v>
      </c>
      <c r="C75" s="10" t="s">
        <v>410</v>
      </c>
      <c r="D75" s="9" t="s">
        <v>436</v>
      </c>
      <c r="E75" s="25">
        <v>25</v>
      </c>
      <c r="F75" s="25">
        <v>55</v>
      </c>
      <c r="G75" s="15">
        <v>0.1</v>
      </c>
      <c r="H75" s="9" t="s">
        <v>224</v>
      </c>
      <c r="I75" s="52">
        <v>1</v>
      </c>
      <c r="J75" s="41" t="str">
        <f>"Grilles Hellowatt et Illico Travaux, 2026. "&amp;"Vérifié le "&amp;TEXT(DAY(Référentiel!$C$109),"00")&amp;"/"&amp;TEXT(MONTH(Référentiel!$C$109),"00")&amp;"/"&amp;YEAR(Référentiel!$C$109)</f>
        <v>Grilles Hellowatt et Illico Travaux, 2026. Vérifié le 05/09/2026</v>
      </c>
      <c r="K75" s="41" t="s">
        <v>453</v>
      </c>
    </row>
    <row r="76" spans="2:11" ht="43.5" customHeight="1" x14ac:dyDescent="0.35">
      <c r="B76" s="30" t="s">
        <v>454</v>
      </c>
      <c r="C76" s="10" t="s">
        <v>411</v>
      </c>
      <c r="D76" s="9" t="s">
        <v>443</v>
      </c>
      <c r="E76" s="25">
        <v>550</v>
      </c>
      <c r="F76" s="25">
        <v>1400</v>
      </c>
      <c r="G76" s="15">
        <v>5.5E-2</v>
      </c>
      <c r="H76" s="9" t="s">
        <v>209</v>
      </c>
      <c r="I76" s="52">
        <v>7.6899999999999996E-2</v>
      </c>
      <c r="J76" s="41" t="str">
        <f>"Hellowatt 2026 : 800 à 1 400 € l'unité posée ; Illico Travaux 2026 : 200 à 600 € en fourniture. TVA 5,5 % : arrêté du 24/12/2024. "&amp;"Vérifié le "&amp;TEXT(DAY(Référentiel!$C$109),"00")&amp;"/"&amp;TEXT(MONTH(Référentiel!$C$109),"00")&amp;"/"&amp;YEAR(Référentiel!$C$109)</f>
        <v>Hellowatt 2026 : 800 à 1 400 € l'unité posée ; Illico Travaux 2026 : 200 à 600 € en fourniture. TVA 5,5 % : arrêté du 24/12/2024. Vérifié le 05/09/2026</v>
      </c>
      <c r="K76" s="41" t="s">
        <v>455</v>
      </c>
    </row>
    <row r="77" spans="2:11" ht="30" customHeight="1" x14ac:dyDescent="0.35">
      <c r="B77" s="30" t="s">
        <v>456</v>
      </c>
      <c r="C77" s="10" t="s">
        <v>411</v>
      </c>
      <c r="D77" s="9" t="s">
        <v>443</v>
      </c>
      <c r="E77" s="25">
        <v>900</v>
      </c>
      <c r="F77" s="25">
        <v>2600</v>
      </c>
      <c r="G77" s="15">
        <v>5.5E-2</v>
      </c>
      <c r="H77" s="9" t="s">
        <v>457</v>
      </c>
      <c r="I77" s="52">
        <v>1</v>
      </c>
      <c r="J77" s="41" t="str">
        <f>"Grilles Hellowatt et Illico Travaux, 2026. TVA 5,5 % (porte donnant sur l'extérieur) : arrêté du 24/12/2024. "&amp;"Vérifié le "&amp;TEXT(DAY(Référentiel!$C$109),"00")&amp;"/"&amp;TEXT(MONTH(Référentiel!$C$109),"00")&amp;"/"&amp;YEAR(Référentiel!$C$109)</f>
        <v>Grilles Hellowatt et Illico Travaux, 2026. TVA 5,5 % (porte donnant sur l'extérieur) : arrêté du 24/12/2024. Vérifié le 05/09/2026</v>
      </c>
      <c r="K77" s="41" t="s">
        <v>458</v>
      </c>
    </row>
    <row r="78" spans="2:11" ht="30" customHeight="1" x14ac:dyDescent="0.35">
      <c r="B78" s="30" t="s">
        <v>459</v>
      </c>
      <c r="C78" s="10" t="s">
        <v>412</v>
      </c>
      <c r="D78" s="9" t="s">
        <v>460</v>
      </c>
      <c r="E78" s="25">
        <v>45</v>
      </c>
      <c r="F78" s="25">
        <v>95</v>
      </c>
      <c r="G78" s="15">
        <v>5.5E-2</v>
      </c>
      <c r="H78" s="9" t="s">
        <v>228</v>
      </c>
      <c r="I78" s="52">
        <v>1</v>
      </c>
      <c r="J78" s="41" t="str">
        <f>"Educ Spe 2026 (synthèse) : 30 à 120 €/m² selon la technique. "&amp;"Vérifié le "&amp;TEXT(DAY(Référentiel!$C$109),"00")&amp;"/"&amp;TEXT(MONTH(Référentiel!$C$109),"00")&amp;"/"&amp;YEAR(Référentiel!$C$109)</f>
        <v>Educ Spe 2026 (synthèse) : 30 à 120 €/m² selon la technique. Vérifié le 05/09/2026</v>
      </c>
      <c r="K78" s="41" t="s">
        <v>461</v>
      </c>
    </row>
    <row r="79" spans="2:11" ht="30" customHeight="1" x14ac:dyDescent="0.35">
      <c r="B79" s="30" t="s">
        <v>462</v>
      </c>
      <c r="C79" s="10" t="s">
        <v>412</v>
      </c>
      <c r="D79" s="9" t="s">
        <v>436</v>
      </c>
      <c r="E79" s="25">
        <v>25</v>
      </c>
      <c r="F79" s="25">
        <v>60</v>
      </c>
      <c r="G79" s="15">
        <v>5.5E-2</v>
      </c>
      <c r="H79" s="9" t="s">
        <v>224</v>
      </c>
      <c r="I79" s="52">
        <v>1</v>
      </c>
      <c r="J79" s="41" t="str">
        <f>"Hellowatt 2026 : 19 à 22 €/m² en soufflage. Bas de fourchette prudent. "&amp;"Vérifié le "&amp;TEXT(DAY(Référentiel!$C$109),"00")&amp;"/"&amp;TEXT(MONTH(Référentiel!$C$109),"00")&amp;"/"&amp;YEAR(Référentiel!$C$109)</f>
        <v>Hellowatt 2026 : 19 à 22 €/m² en soufflage. Bas de fourchette prudent. Vérifié le 05/09/2026</v>
      </c>
      <c r="K79" s="41" t="s">
        <v>463</v>
      </c>
    </row>
    <row r="80" spans="2:11" ht="16.5" customHeight="1" x14ac:dyDescent="0.35">
      <c r="B80" s="30" t="s">
        <v>464</v>
      </c>
      <c r="C80" s="10" t="s">
        <v>417</v>
      </c>
      <c r="D80" s="9" t="s">
        <v>447</v>
      </c>
      <c r="E80" s="25">
        <v>45</v>
      </c>
      <c r="F80" s="25">
        <v>95</v>
      </c>
      <c r="G80" s="15">
        <v>0.1</v>
      </c>
      <c r="H80" s="9" t="s">
        <v>465</v>
      </c>
      <c r="I80" s="52">
        <v>0.2</v>
      </c>
      <c r="J80" s="41" t="str">
        <f>"Grilles Hellowatt et Illico Travaux, 2026. "&amp;"Vérifié le "&amp;TEXT(DAY(Référentiel!$C$109),"00")&amp;"/"&amp;TEXT(MONTH(Référentiel!$C$109),"00")&amp;"/"&amp;YEAR(Référentiel!$C$109)</f>
        <v>Grilles Hellowatt et Illico Travaux, 2026. Vérifié le 05/09/2026</v>
      </c>
      <c r="K80" s="41" t="s">
        <v>466</v>
      </c>
    </row>
    <row r="81" spans="2:11" ht="30" customHeight="1" x14ac:dyDescent="0.35">
      <c r="B81" s="30" t="s">
        <v>467</v>
      </c>
      <c r="C81" s="10" t="s">
        <v>417</v>
      </c>
      <c r="D81" s="9" t="s">
        <v>447</v>
      </c>
      <c r="E81" s="25">
        <v>30</v>
      </c>
      <c r="F81" s="25">
        <v>65</v>
      </c>
      <c r="G81" s="15">
        <v>0.1</v>
      </c>
      <c r="H81" s="9" t="s">
        <v>228</v>
      </c>
      <c r="I81" s="52">
        <v>1</v>
      </c>
      <c r="J81" s="41" t="str">
        <f>"Grilles Hellowatt et Illico Travaux, 2026. "&amp;"Vérifié le "&amp;TEXT(DAY(Référentiel!$C$109),"00")&amp;"/"&amp;TEXT(MONTH(Référentiel!$C$109),"00")&amp;"/"&amp;YEAR(Référentiel!$C$109)</f>
        <v>Grilles Hellowatt et Illico Travaux, 2026. Vérifié le 05/09/2026</v>
      </c>
      <c r="K81" s="41" t="s">
        <v>468</v>
      </c>
    </row>
    <row r="82" spans="2:11" ht="30" customHeight="1" x14ac:dyDescent="0.35">
      <c r="B82" s="30" t="s">
        <v>469</v>
      </c>
      <c r="C82" s="10" t="s">
        <v>414</v>
      </c>
      <c r="D82" s="9" t="s">
        <v>436</v>
      </c>
      <c r="E82" s="25">
        <v>90</v>
      </c>
      <c r="F82" s="25">
        <v>165</v>
      </c>
      <c r="G82" s="15">
        <v>0.1</v>
      </c>
      <c r="H82" s="9" t="s">
        <v>230</v>
      </c>
      <c r="I82" s="52">
        <v>1</v>
      </c>
      <c r="J82" s="41" t="str">
        <f>"Hellowatt 2026 : 50 à 200 €/m², 8 000 à 15 000 € pour 100 m² ; Illico Travaux 2026 : 50 à 100 €/m². "&amp;"Vérifié le "&amp;TEXT(DAY(Référentiel!$C$109),"00")&amp;"/"&amp;TEXT(MONTH(Référentiel!$C$109),"00")&amp;"/"&amp;YEAR(Référentiel!$C$109)</f>
        <v>Hellowatt 2026 : 50 à 200 €/m², 8 000 à 15 000 € pour 100 m² ; Illico Travaux 2026 : 50 à 100 €/m². Vérifié le 05/09/2026</v>
      </c>
      <c r="K82" s="41" t="s">
        <v>470</v>
      </c>
    </row>
    <row r="83" spans="2:11" ht="16.5" customHeight="1" x14ac:dyDescent="0.35">
      <c r="B83" s="30" t="s">
        <v>471</v>
      </c>
      <c r="C83" s="10" t="s">
        <v>414</v>
      </c>
      <c r="D83" s="9" t="s">
        <v>443</v>
      </c>
      <c r="E83" s="25">
        <v>900</v>
      </c>
      <c r="F83" s="25">
        <v>2200</v>
      </c>
      <c r="G83" s="15">
        <v>0.1</v>
      </c>
      <c r="H83" s="9" t="s">
        <v>457</v>
      </c>
      <c r="I83" s="52">
        <v>1</v>
      </c>
      <c r="J83" s="41" t="str">
        <f>"Grilles Hellowatt et Illico Travaux, 2026. "&amp;"Vérifié le "&amp;TEXT(DAY(Référentiel!$C$109),"00")&amp;"/"&amp;TEXT(MONTH(Référentiel!$C$109),"00")&amp;"/"&amp;YEAR(Référentiel!$C$109)</f>
        <v>Grilles Hellowatt et Illico Travaux, 2026. Vérifié le 05/09/2026</v>
      </c>
      <c r="K83" s="41" t="s">
        <v>472</v>
      </c>
    </row>
    <row r="84" spans="2:11" ht="30" customHeight="1" x14ac:dyDescent="0.35">
      <c r="B84" s="30" t="s">
        <v>473</v>
      </c>
      <c r="C84" s="10" t="s">
        <v>415</v>
      </c>
      <c r="D84" s="9" t="s">
        <v>436</v>
      </c>
      <c r="E84" s="25">
        <v>55</v>
      </c>
      <c r="F84" s="25">
        <v>120</v>
      </c>
      <c r="G84" s="15">
        <v>0.1</v>
      </c>
      <c r="H84" s="9" t="s">
        <v>230</v>
      </c>
      <c r="I84" s="52">
        <v>1</v>
      </c>
      <c r="J84" s="41" t="str">
        <f>"Hellowatt 2026 : 70 à 150 €/m², 5 000 à 15 000 € pour 100 m². "&amp;"Vérifié le "&amp;TEXT(DAY(Référentiel!$C$109),"00")&amp;"/"&amp;TEXT(MONTH(Référentiel!$C$109),"00")&amp;"/"&amp;YEAR(Référentiel!$C$109)</f>
        <v>Hellowatt 2026 : 70 à 150 €/m², 5 000 à 15 000 € pour 100 m². Vérifié le 05/09/2026</v>
      </c>
      <c r="K84" s="41" t="s">
        <v>474</v>
      </c>
    </row>
    <row r="85" spans="2:11" ht="57" customHeight="1" x14ac:dyDescent="0.35">
      <c r="B85" s="30" t="s">
        <v>475</v>
      </c>
      <c r="C85" s="10" t="s">
        <v>415</v>
      </c>
      <c r="D85" s="9" t="s">
        <v>443</v>
      </c>
      <c r="E85" s="25">
        <v>3500</v>
      </c>
      <c r="F85" s="25">
        <v>14000</v>
      </c>
      <c r="G85" s="15">
        <v>5.5E-2</v>
      </c>
      <c r="H85" s="9" t="s">
        <v>457</v>
      </c>
      <c r="I85" s="52">
        <v>1</v>
      </c>
      <c r="J85" s="41" t="str">
        <f>"Hellowatt 2026 : PAC hybride 4 500 à 12 000 € (air/air en bas de fourchette, air/eau en haut). TVA 5,5 % : arrêté du 24/12/2024 ; PAC air/air ajoutées par l'arrêté du 13/07/2026 (JO du 17/07/2026), Ef"&amp;"fy 2026. "&amp;"Vérifié le "&amp;TEXT(DAY(Référentiel!$C$109),"00")&amp;"/"&amp;TEXT(MONTH(Référentiel!$C$109),"00")&amp;"/"&amp;YEAR(Référentiel!$C$109)</f>
        <v>Hellowatt 2026 : PAC hybride 4 500 à 12 000 € (air/air en bas de fourchette, air/eau en haut). TVA 5,5 % : arrêté du 24/12/2024 ; PAC air/air ajoutées par l'arrêté du 13/07/2026 (JO du 17/07/2026), Effy 2026. Vérifié le 05/09/2026</v>
      </c>
      <c r="K85" s="41" t="s">
        <v>476</v>
      </c>
    </row>
    <row r="86" spans="2:11" ht="57" customHeight="1" x14ac:dyDescent="0.35">
      <c r="B86" s="30" t="s">
        <v>477</v>
      </c>
      <c r="C86" s="10" t="s">
        <v>415</v>
      </c>
      <c r="D86" s="9" t="s">
        <v>443</v>
      </c>
      <c r="E86" s="25">
        <v>4000</v>
      </c>
      <c r="F86" s="25">
        <v>7000</v>
      </c>
      <c r="G86" s="15">
        <v>0.2</v>
      </c>
      <c r="H86" s="9" t="s">
        <v>457</v>
      </c>
      <c r="I86" s="52">
        <v>1</v>
      </c>
      <c r="J86" s="41" t="str">
        <f>"Hellowatt 2026 : chaudière gaz 4 000 à 7 000 €. TVA 20 % depuis le 01/03/2025 : LF 2025 art. 32 ; BOFiP ACTU-2025-00165 du 22/10/2025 ; Service-public F23568 (21/02/2026) ; Quelle Énergie 2026. "&amp;"Vérifié le "&amp;TEXT(DAY(Référentiel!$C$109),"00")&amp;"/"&amp;TEXT(MONTH(Référentiel!$C$109),"00")&amp;"/"&amp;YEAR(Référentiel!$C$109)</f>
        <v>Hellowatt 2026 : chaudière gaz 4 000 à 7 000 €. TVA 20 % depuis le 01/03/2025 : LF 2025 art. 32 ; BOFiP ACTU-2025-00165 du 22/10/2025 ; Service-public F23568 (21/02/2026) ; Quelle Énergie 2026. Vérifié le 05/09/2026</v>
      </c>
      <c r="K86" s="41" t="s">
        <v>478</v>
      </c>
    </row>
    <row r="87" spans="2:11" ht="16.5" customHeight="1" x14ac:dyDescent="0.35">
      <c r="B87" s="30" t="s">
        <v>479</v>
      </c>
      <c r="C87" s="10" t="s">
        <v>415</v>
      </c>
      <c r="D87" s="9" t="s">
        <v>443</v>
      </c>
      <c r="E87" s="25">
        <v>250</v>
      </c>
      <c r="F87" s="25">
        <v>800</v>
      </c>
      <c r="G87" s="15">
        <v>0.1</v>
      </c>
      <c r="H87" s="9" t="s">
        <v>209</v>
      </c>
      <c r="I87" s="52">
        <v>6.25E-2</v>
      </c>
      <c r="J87" s="41" t="str">
        <f>"Grilles Hellowatt et Illico Travaux, 2026. "&amp;"Vérifié le "&amp;TEXT(DAY(Référentiel!$C$109),"00")&amp;"/"&amp;TEXT(MONTH(Référentiel!$C$109),"00")&amp;"/"&amp;YEAR(Référentiel!$C$109)</f>
        <v>Grilles Hellowatt et Illico Travaux, 2026. Vérifié le 05/09/2026</v>
      </c>
      <c r="K87" s="41" t="s">
        <v>480</v>
      </c>
    </row>
    <row r="88" spans="2:11" ht="43.5" customHeight="1" x14ac:dyDescent="0.35">
      <c r="B88" s="30" t="s">
        <v>481</v>
      </c>
      <c r="C88" s="10" t="s">
        <v>416</v>
      </c>
      <c r="D88" s="9" t="s">
        <v>482</v>
      </c>
      <c r="E88" s="25">
        <v>700</v>
      </c>
      <c r="F88" s="25">
        <v>5500</v>
      </c>
      <c r="G88" s="15">
        <v>5.5E-2</v>
      </c>
      <c r="H88" s="9" t="s">
        <v>457</v>
      </c>
      <c r="I88" s="52">
        <v>1</v>
      </c>
      <c r="J88" s="41" t="str">
        <f>"Grilles Hellowatt et Illico Travaux, 2026. TVA 5,5 % réservée à la double flux et à la simple flux hygroréglable : arrêté du 24/12/2024, FFB (25/08/2026), CAPEB. "&amp;"Vérifié le "&amp;TEXT(DAY(Référentiel!$C$109),"00")&amp;"/"&amp;TEXT(MONTH(Référentiel!$C$109),"00")&amp;"/"&amp;YEAR(Référentiel!$C$109)</f>
        <v>Grilles Hellowatt et Illico Travaux, 2026. TVA 5,5 % réservée à la double flux et à la simple flux hygroréglable : arrêté du 24/12/2024, FFB (25/08/2026), CAPEB. Vérifié le 05/09/2026</v>
      </c>
      <c r="K88" s="41" t="s">
        <v>483</v>
      </c>
    </row>
    <row r="89" spans="2:11" ht="30" customHeight="1" x14ac:dyDescent="0.35">
      <c r="B89" s="30" t="s">
        <v>484</v>
      </c>
      <c r="C89" s="10" t="s">
        <v>418</v>
      </c>
      <c r="D89" s="9" t="s">
        <v>447</v>
      </c>
      <c r="E89" s="25">
        <v>35</v>
      </c>
      <c r="F89" s="25">
        <v>110</v>
      </c>
      <c r="G89" s="15">
        <v>0.1</v>
      </c>
      <c r="H89" s="9" t="s">
        <v>230</v>
      </c>
      <c r="I89" s="52">
        <v>0.7</v>
      </c>
      <c r="J89" s="41" t="str">
        <f>"Hellowatt 2026 : sols posés 50 à 250 €/m² ; Illico Travaux 2026 : 20 à 100 €/m². "&amp;"Vérifié le "&amp;TEXT(DAY(Référentiel!$C$109),"00")&amp;"/"&amp;TEXT(MONTH(Référentiel!$C$109),"00")&amp;"/"&amp;YEAR(Référentiel!$C$109)</f>
        <v>Hellowatt 2026 : sols posés 50 à 250 €/m² ; Illico Travaux 2026 : 20 à 100 €/m². Vérifié le 05/09/2026</v>
      </c>
      <c r="K89" s="41" t="s">
        <v>485</v>
      </c>
    </row>
    <row r="90" spans="2:11" ht="16.5" customHeight="1" x14ac:dyDescent="0.35">
      <c r="B90" s="30" t="s">
        <v>486</v>
      </c>
      <c r="C90" s="10" t="s">
        <v>418</v>
      </c>
      <c r="D90" s="9" t="s">
        <v>447</v>
      </c>
      <c r="E90" s="25">
        <v>55</v>
      </c>
      <c r="F90" s="25">
        <v>140</v>
      </c>
      <c r="G90" s="15">
        <v>0.1</v>
      </c>
      <c r="H90" s="9" t="s">
        <v>230</v>
      </c>
      <c r="I90" s="52">
        <v>0.3</v>
      </c>
      <c r="J90" s="41" t="str">
        <f>"Mêmes sources que le parquet. "&amp;"Vérifié le "&amp;TEXT(DAY(Référentiel!$C$109),"00")&amp;"/"&amp;TEXT(MONTH(Référentiel!$C$109),"00")&amp;"/"&amp;YEAR(Référentiel!$C$109)</f>
        <v>Mêmes sources que le parquet. Vérifié le 05/09/2026</v>
      </c>
      <c r="K90" s="41" t="s">
        <v>487</v>
      </c>
    </row>
    <row r="91" spans="2:11" ht="70.5" customHeight="1" x14ac:dyDescent="0.35">
      <c r="B91" s="30" t="s">
        <v>488</v>
      </c>
      <c r="C91" s="10" t="s">
        <v>419</v>
      </c>
      <c r="D91" s="9" t="s">
        <v>436</v>
      </c>
      <c r="E91" s="25">
        <v>52</v>
      </c>
      <c r="F91" s="25">
        <v>112</v>
      </c>
      <c r="G91" s="15">
        <v>0.1</v>
      </c>
      <c r="H91" s="9" t="s">
        <v>230</v>
      </c>
      <c r="I91" s="52">
        <v>1</v>
      </c>
      <c r="J91" s="41" t="str">
        <f>"Monsieur Peinture, grille 2026 : 17,50 €/m² peint en rafraîchissement, 27,50 à 37,50 avec enduit ; Travaux.com 2026 : murs 20 à 35, plafonds 30 à 45 ; Hellowatt 2026 : enduit et peinture 50 à 100 €/m²"&amp;". Avec le ratio 3 (murs et plafonds / sol) : 52 à 112 €/m² au sol. "&amp;"Vérifié le "&amp;TEXT(DAY(Référentiel!$C$109),"00")&amp;"/"&amp;TEXT(MONTH(Référentiel!$C$109),"00")&amp;"/"&amp;YEAR(Référentiel!$C$109)</f>
        <v>Monsieur Peinture, grille 2026 : 17,50 €/m² peint en rafraîchissement, 27,50 à 37,50 avec enduit ; Travaux.com 2026 : murs 20 à 35, plafonds 30 à 45 ; Hellowatt 2026 : enduit et peinture 50 à 100 €/m². Avec le ratio 3 (murs et plafonds / sol) : 52 à 112 €/m² au sol. Vérifié le 05/09/2026</v>
      </c>
      <c r="K91" s="41" t="s">
        <v>489</v>
      </c>
    </row>
    <row r="92" spans="2:11" ht="16.5" customHeight="1" x14ac:dyDescent="0.35">
      <c r="B92" s="30" t="s">
        <v>490</v>
      </c>
      <c r="C92" s="10" t="s">
        <v>420</v>
      </c>
      <c r="D92" s="9" t="s">
        <v>443</v>
      </c>
      <c r="E92" s="25">
        <v>250</v>
      </c>
      <c r="F92" s="25">
        <v>650</v>
      </c>
      <c r="G92" s="15">
        <v>0.1</v>
      </c>
      <c r="H92" s="9" t="s">
        <v>209</v>
      </c>
      <c r="I92" s="52">
        <v>6.25E-2</v>
      </c>
      <c r="J92" s="41" t="str">
        <f>"Grilles Hellowatt et Illico Travaux, 2026. "&amp;"Vérifié le "&amp;TEXT(DAY(Référentiel!$C$109),"00")&amp;"/"&amp;TEXT(MONTH(Référentiel!$C$109),"00")&amp;"/"&amp;YEAR(Référentiel!$C$109)</f>
        <v>Grilles Hellowatt et Illico Travaux, 2026. Vérifié le 05/09/2026</v>
      </c>
      <c r="K92" s="41" t="s">
        <v>491</v>
      </c>
    </row>
    <row r="93" spans="2:11" ht="30" customHeight="1" x14ac:dyDescent="0.35">
      <c r="B93" s="30" t="s">
        <v>492</v>
      </c>
      <c r="C93" s="10" t="s">
        <v>421</v>
      </c>
      <c r="D93" s="9" t="s">
        <v>443</v>
      </c>
      <c r="E93" s="25">
        <v>3500</v>
      </c>
      <c r="F93" s="25">
        <v>15000</v>
      </c>
      <c r="G93" s="15">
        <v>0.1</v>
      </c>
      <c r="H93" s="9" t="s">
        <v>457</v>
      </c>
      <c r="I93" s="52">
        <v>1</v>
      </c>
      <c r="J93" s="41" t="str">
        <f>"Illico Travaux 2026 : 1 500 à 15 000 €. "&amp;"Vérifié le "&amp;TEXT(DAY(Référentiel!$C$109),"00")&amp;"/"&amp;TEXT(MONTH(Référentiel!$C$109),"00")&amp;"/"&amp;YEAR(Référentiel!$C$109)</f>
        <v>Illico Travaux 2026 : 1 500 à 15 000 €. Vérifié le 05/09/2026</v>
      </c>
      <c r="K93" s="41" t="s">
        <v>493</v>
      </c>
    </row>
    <row r="94" spans="2:11" ht="16.5" customHeight="1" x14ac:dyDescent="0.35">
      <c r="B94" s="30" t="s">
        <v>494</v>
      </c>
      <c r="C94" s="10" t="s">
        <v>422</v>
      </c>
      <c r="D94" s="9" t="s">
        <v>443</v>
      </c>
      <c r="E94" s="25">
        <v>4000</v>
      </c>
      <c r="F94" s="25">
        <v>14000</v>
      </c>
      <c r="G94" s="15">
        <v>0.1</v>
      </c>
      <c r="H94" s="9" t="s">
        <v>495</v>
      </c>
      <c r="I94" s="52">
        <v>1.43E-2</v>
      </c>
      <c r="J94" s="41" t="str">
        <f>"Illico Travaux 2026 : 3 000 à 15 000 €. "&amp;"Vérifié le "&amp;TEXT(DAY(Référentiel!$C$109),"00")&amp;"/"&amp;TEXT(MONTH(Référentiel!$C$109),"00")&amp;"/"&amp;YEAR(Référentiel!$C$109)</f>
        <v>Illico Travaux 2026 : 3 000 à 15 000 €. Vérifié le 05/09/2026</v>
      </c>
      <c r="K94" s="41" t="s">
        <v>496</v>
      </c>
    </row>
    <row r="95" spans="2:11" ht="16.5" customHeight="1" x14ac:dyDescent="0.35">
      <c r="B95" s="30" t="s">
        <v>497</v>
      </c>
      <c r="C95" s="10" t="s">
        <v>422</v>
      </c>
      <c r="D95" s="9" t="s">
        <v>443</v>
      </c>
      <c r="E95" s="25">
        <v>450</v>
      </c>
      <c r="F95" s="25">
        <v>1100</v>
      </c>
      <c r="G95" s="15">
        <v>0.1</v>
      </c>
      <c r="H95" s="9" t="s">
        <v>495</v>
      </c>
      <c r="I95" s="52">
        <v>1.67E-2</v>
      </c>
      <c r="J95" s="41" t="str">
        <f>"Grilles Hellowatt et Illico Travaux, 2026. "&amp;"Vérifié le "&amp;TEXT(DAY(Référentiel!$C$109),"00")&amp;"/"&amp;TEXT(MONTH(Référentiel!$C$109),"00")&amp;"/"&amp;YEAR(Référentiel!$C$109)</f>
        <v>Grilles Hellowatt et Illico Travaux, 2026. Vérifié le 05/09/2026</v>
      </c>
      <c r="K95" s="41" t="s">
        <v>498</v>
      </c>
    </row>
    <row r="96" spans="2:11" ht="16.5" customHeight="1" x14ac:dyDescent="0.35">
      <c r="B96" s="30" t="s">
        <v>499</v>
      </c>
      <c r="C96" s="10" t="s">
        <v>413</v>
      </c>
      <c r="D96" s="9" t="s">
        <v>500</v>
      </c>
      <c r="E96" s="25">
        <v>50</v>
      </c>
      <c r="F96" s="25">
        <v>130</v>
      </c>
      <c r="G96" s="15">
        <v>0.1</v>
      </c>
      <c r="H96" s="9" t="s">
        <v>228</v>
      </c>
      <c r="I96" s="52">
        <v>1</v>
      </c>
      <c r="J96" s="41" t="str">
        <f>"Illico Travaux 2026 : 20 à 120 €/m². "&amp;"Vérifié le "&amp;TEXT(DAY(Référentiel!$C$109),"00")&amp;"/"&amp;TEXT(MONTH(Référentiel!$C$109),"00")&amp;"/"&amp;YEAR(Référentiel!$C$109)</f>
        <v>Illico Travaux 2026 : 20 à 120 €/m². Vérifié le 05/09/2026</v>
      </c>
      <c r="K96" s="41" t="s">
        <v>453</v>
      </c>
    </row>
    <row r="97" spans="2:11" ht="16.5" customHeight="1" x14ac:dyDescent="0.35">
      <c r="B97" s="30" t="s">
        <v>501</v>
      </c>
      <c r="C97" s="10" t="s">
        <v>413</v>
      </c>
      <c r="D97" s="9" t="s">
        <v>447</v>
      </c>
      <c r="E97" s="25">
        <v>40</v>
      </c>
      <c r="F97" s="25">
        <v>120</v>
      </c>
      <c r="G97" s="15">
        <v>0.1</v>
      </c>
      <c r="H97" s="9" t="s">
        <v>444</v>
      </c>
      <c r="I97" s="52">
        <v>0</v>
      </c>
      <c r="J97" s="41" t="str">
        <f>"Grilles Hellowatt et Illico Travaux, 2026. "&amp;"Vérifié le "&amp;TEXT(DAY(Référentiel!$C$109),"00")&amp;"/"&amp;TEXT(MONTH(Référentiel!$C$109),"00")&amp;"/"&amp;YEAR(Référentiel!$C$109)</f>
        <v>Grilles Hellowatt et Illico Travaux, 2026. Vérifié le 05/09/2026</v>
      </c>
      <c r="K97" s="41" t="s">
        <v>502</v>
      </c>
    </row>
    <row r="98" spans="2:11" ht="30" customHeight="1" x14ac:dyDescent="0.35">
      <c r="B98" s="30" t="s">
        <v>503</v>
      </c>
      <c r="C98" s="10" t="s">
        <v>423</v>
      </c>
      <c r="D98" s="30" t="s">
        <v>443</v>
      </c>
      <c r="E98" s="25">
        <v>0</v>
      </c>
      <c r="F98" s="25">
        <v>0</v>
      </c>
      <c r="G98" s="15">
        <v>0.1</v>
      </c>
      <c r="H98" s="9" t="s">
        <v>444</v>
      </c>
      <c r="I98" s="52">
        <v>0</v>
      </c>
      <c r="J98" s="41" t="str">
        <f>"À renseigner par l'utilisateur, avec son devis. "&amp;"Vérifié le "&amp;TEXT(DAY(Référentiel!$C$109),"00")&amp;"/"&amp;TEXT(MONTH(Référentiel!$C$109),"00")&amp;"/"&amp;YEAR(Référentiel!$C$109)</f>
        <v>À renseigner par l'utilisateur, avec son devis. Vérifié le 05/09/2026</v>
      </c>
      <c r="K98" s="41" t="s">
        <v>504</v>
      </c>
    </row>
    <row r="99" spans="2:11" ht="16.5" customHeight="1" x14ac:dyDescent="0.35">
      <c r="B99" s="30" t="s">
        <v>505</v>
      </c>
      <c r="C99" s="10" t="s">
        <v>423</v>
      </c>
      <c r="D99" s="30" t="s">
        <v>443</v>
      </c>
      <c r="E99" s="25">
        <v>0</v>
      </c>
      <c r="F99" s="25">
        <v>0</v>
      </c>
      <c r="G99" s="15">
        <v>0.1</v>
      </c>
      <c r="H99" s="9" t="s">
        <v>444</v>
      </c>
      <c r="I99" s="52">
        <v>0</v>
      </c>
      <c r="J99" s="41" t="str">
        <f>"À renseigner par l'utilisateur, avec son devis. "&amp;"Vérifié le "&amp;TEXT(DAY(Référentiel!$C$109),"00")&amp;"/"&amp;TEXT(MONTH(Référentiel!$C$109),"00")&amp;"/"&amp;YEAR(Référentiel!$C$109)</f>
        <v>À renseigner par l'utilisateur, avec son devis. Vérifié le 05/09/2026</v>
      </c>
      <c r="K99" s="41" t="s">
        <v>506</v>
      </c>
    </row>
    <row r="100" spans="2:11" ht="16.5" customHeight="1" x14ac:dyDescent="0.35">
      <c r="B100" s="30" t="s">
        <v>507</v>
      </c>
      <c r="C100" s="10" t="s">
        <v>423</v>
      </c>
      <c r="D100" s="30" t="s">
        <v>443</v>
      </c>
      <c r="E100" s="25">
        <v>0</v>
      </c>
      <c r="F100" s="25">
        <v>0</v>
      </c>
      <c r="G100" s="15">
        <v>0.1</v>
      </c>
      <c r="H100" s="9" t="s">
        <v>444</v>
      </c>
      <c r="I100" s="52">
        <v>0</v>
      </c>
      <c r="J100" s="41" t="str">
        <f>"À renseigner par l'utilisateur, avec son devis. "&amp;"Vérifié le "&amp;TEXT(DAY(Référentiel!$C$109),"00")&amp;"/"&amp;TEXT(MONTH(Référentiel!$C$109),"00")&amp;"/"&amp;YEAR(Référentiel!$C$109)</f>
        <v>À renseigner par l'utilisateur, avec son devis. Vérifié le 05/09/2026</v>
      </c>
      <c r="K100" s="41" t="s">
        <v>506</v>
      </c>
    </row>
    <row r="103" spans="2:11" x14ac:dyDescent="0.35">
      <c r="B103" s="9" t="s">
        <v>508</v>
      </c>
    </row>
    <row r="104" spans="2:11" x14ac:dyDescent="0.35">
      <c r="B104" s="9" t="s">
        <v>509</v>
      </c>
    </row>
    <row r="105" spans="2:11" x14ac:dyDescent="0.35">
      <c r="B105" s="9" t="s">
        <v>510</v>
      </c>
    </row>
    <row r="106" spans="2:11" x14ac:dyDescent="0.35">
      <c r="B106" s="9" t="s">
        <v>511</v>
      </c>
    </row>
    <row r="107" spans="2:11" x14ac:dyDescent="0.35">
      <c r="B107" s="9" t="s">
        <v>512</v>
      </c>
    </row>
    <row r="109" spans="2:11" x14ac:dyDescent="0.35">
      <c r="B109" s="35" t="s">
        <v>513</v>
      </c>
      <c r="C109" s="53">
        <v>46270</v>
      </c>
      <c r="D109" s="9" t="str">
        <f ca="1">IF(TODAY()-C109&gt;365,"Référentiel vieux de plus d'un an : reprenez les prix et les taux.","À refaire chaque janvier. Toutes les mentions « Vérifié le » de ce classeur lisent cette cellule.")</f>
        <v>À refaire chaque janvier. Toutes les mentions « Vérifié le » de ce classeur lisent cette cellule.</v>
      </c>
    </row>
    <row r="110" spans="2:11" x14ac:dyDescent="0.35">
      <c r="B110" s="9" t="s">
        <v>514</v>
      </c>
    </row>
    <row r="111" spans="2:11" ht="36" customHeight="1" x14ac:dyDescent="0.35">
      <c r="B111" s="61" t="s">
        <v>204</v>
      </c>
      <c r="C111" s="55"/>
      <c r="D111" s="55"/>
      <c r="E111" s="55"/>
      <c r="F111" s="55"/>
      <c r="G111" s="55"/>
      <c r="H111" s="55"/>
      <c r="I111" s="55"/>
      <c r="J111" s="55"/>
      <c r="K111" s="55"/>
    </row>
  </sheetData>
  <sheetProtection sheet="1" formatColumns="0" formatRows="0"/>
  <mergeCells count="1">
    <mergeCell ref="B111:K111"/>
  </mergeCells>
  <conditionalFormatting sqref="C7">
    <cfRule type="cellIs" dxfId="1" priority="1" operator="equal">
      <formula>"OK"</formula>
    </cfRule>
    <cfRule type="cellIs" dxfId="0" priority="2" operator="equal">
      <formula>"À CORRIGER"</formula>
    </cfRule>
  </conditionalFormatting>
  <dataValidations count="11">
    <dataValidation type="decimal" allowBlank="1" showErrorMessage="1" errorTitle="Saisie" error="Taux ou proportion entre 0 % et 100 %." sqref="C10:C14" xr:uid="{00000000-0002-0000-0200-000000000000}">
      <formula1>0</formula1>
      <formula2>1</formula2>
    </dataValidation>
    <dataValidation type="whole" allowBlank="1" showErrorMessage="1" errorTitle="Saisie" error="Ancienneté en années entières." sqref="C15" xr:uid="{00000000-0002-0000-0200-000001000000}">
      <formula1>0</formula1>
      <formula2>50</formula2>
    </dataValidation>
    <dataValidation type="decimal" allowBlank="1" showErrorMessage="1" errorTitle="Saisie" error="Coefficient de périmètre entre 3,5 (cercle) et 8 (plan très développé)." sqref="C19" xr:uid="{00000000-0002-0000-0200-000002000000}">
      <formula1>3.5</formula1>
      <formula2>8</formula2>
    </dataValidation>
    <dataValidation type="whole" allowBlank="1" showErrorMessage="1" errorTitle="Saisie" error="Nombre de façades entier." sqref="C20" xr:uid="{00000000-0002-0000-0200-000003000000}">
      <formula1>1</formula1>
      <formula2>8</formula2>
    </dataValidation>
    <dataValidation type="decimal" allowBlank="1" showErrorMessage="1" errorTitle="Saisie" error="Coefficient de toiture entre 1,00 (toit plat) et 2,00." sqref="C21" xr:uid="{00000000-0002-0000-0200-000004000000}">
      <formula1>1</formula1>
      <formula2>2</formula2>
    </dataValidation>
    <dataValidation type="decimal" operator="greaterThanOrEqual" allowBlank="1" showErrorMessage="1" errorTitle="Saisie" error="Seuil en €/m² TTC, positif." sqref="C22:C23" xr:uid="{00000000-0002-0000-0200-000005000000}">
      <formula1>0</formula1>
    </dataValidation>
    <dataValidation type="decimal" allowBlank="1" showErrorMessage="1" errorTitle="Saisie" error="Taux entre 0 % et 100 %." sqref="C27:D32" xr:uid="{00000000-0002-0000-0200-000006000000}">
      <formula1>0</formula1>
      <formula2>1</formula2>
    </dataValidation>
    <dataValidation type="decimal" allowBlank="1" showErrorMessage="1" errorTitle="Saisie" error="Part entre 0 % et 100 %." sqref="C36:D41" xr:uid="{00000000-0002-0000-0200-000007000000}">
      <formula1>0</formula1>
      <formula2>1</formula2>
    </dataValidation>
    <dataValidation type="decimal" operator="greaterThanOrEqual" allowBlank="1" showErrorMessage="1" errorTitle="Saisie" error="Prix hors taxes, positif ou nul." sqref="E70:F100" xr:uid="{00000000-0002-0000-0200-000008000000}">
      <formula1>0</formula1>
    </dataValidation>
    <dataValidation type="decimal" operator="greaterThanOrEqual" allowBlank="1" showErrorMessage="1" errorTitle="Saisie" error="Ratio positif ou nul." sqref="I70:I100" xr:uid="{00000000-0002-0000-0200-000009000000}">
      <formula1>0</formula1>
    </dataValidation>
    <dataValidation type="list" allowBlank="1" showErrorMessage="1" errorTitle="Choisir dans la liste" error="Choisissez 5,5 %, 10 % ou 20 % dans la liste (barèmes ci-dessus)." sqref="G70:G100" xr:uid="{00000000-0002-0000-0200-00000A000000}">
      <formula1>$C$10:$C$12</formula1>
    </dataValidation>
  </dataValidations>
  <pageMargins left="0.75" right="0.75" top="1" bottom="1" header="0.5" footer="0.5"/>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8A93A6"/>
  </sheetPr>
  <dimension ref="B1:C57"/>
  <sheetViews>
    <sheetView showGridLines="0" workbookViewId="0">
      <selection activeCell="B1" sqref="B1"/>
    </sheetView>
  </sheetViews>
  <sheetFormatPr baseColWidth="10" defaultColWidth="8.7265625" defaultRowHeight="14.5" x14ac:dyDescent="0.35"/>
  <cols>
    <col min="1" max="1" width="2" customWidth="1"/>
    <col min="2" max="2" width="36" customWidth="1"/>
    <col min="3" max="3" width="112" customWidth="1"/>
  </cols>
  <sheetData>
    <row r="1" spans="2:3" ht="20" customHeight="1" x14ac:dyDescent="0.35">
      <c r="B1" s="1" t="s">
        <v>0</v>
      </c>
      <c r="C1" s="1"/>
    </row>
    <row r="2" spans="2:3" ht="26" customHeight="1" x14ac:dyDescent="0.35">
      <c r="B2" s="2" t="s">
        <v>515</v>
      </c>
    </row>
    <row r="3" spans="2:3" x14ac:dyDescent="0.35">
      <c r="B3" s="3" t="s">
        <v>516</v>
      </c>
    </row>
    <row r="5" spans="2:3" ht="18" customHeight="1" x14ac:dyDescent="0.35">
      <c r="B5" s="1" t="s">
        <v>517</v>
      </c>
      <c r="C5" s="1"/>
    </row>
    <row r="6" spans="2:3" ht="30" customHeight="1" x14ac:dyDescent="0.35">
      <c r="B6" s="8" t="s">
        <v>518</v>
      </c>
      <c r="C6" s="4" t="s">
        <v>519</v>
      </c>
    </row>
    <row r="7" spans="2:3" ht="30" customHeight="1" x14ac:dyDescent="0.35">
      <c r="B7" s="8" t="s">
        <v>520</v>
      </c>
      <c r="C7" s="4" t="s">
        <v>521</v>
      </c>
    </row>
    <row r="8" spans="2:3" ht="30" customHeight="1" x14ac:dyDescent="0.35">
      <c r="B8" s="8" t="s">
        <v>522</v>
      </c>
      <c r="C8" s="4" t="s">
        <v>523</v>
      </c>
    </row>
    <row r="9" spans="2:3" ht="70.5" customHeight="1" x14ac:dyDescent="0.35">
      <c r="B9" s="8" t="s">
        <v>524</v>
      </c>
      <c r="C9" s="4" t="s">
        <v>525</v>
      </c>
    </row>
    <row r="10" spans="2:3" ht="70.5" customHeight="1" x14ac:dyDescent="0.35">
      <c r="B10" s="8" t="s">
        <v>526</v>
      </c>
      <c r="C10" s="4" t="s">
        <v>527</v>
      </c>
    </row>
    <row r="11" spans="2:3" ht="43.5" customHeight="1" x14ac:dyDescent="0.35">
      <c r="B11" s="8" t="s">
        <v>528</v>
      </c>
      <c r="C11" s="4" t="s">
        <v>529</v>
      </c>
    </row>
    <row r="12" spans="2:3" ht="43.5" customHeight="1" x14ac:dyDescent="0.35">
      <c r="B12" s="8" t="s">
        <v>530</v>
      </c>
      <c r="C12" s="4" t="s">
        <v>531</v>
      </c>
    </row>
    <row r="13" spans="2:3" ht="30" customHeight="1" x14ac:dyDescent="0.35">
      <c r="B13" s="8" t="s">
        <v>221</v>
      </c>
      <c r="C13" s="4" t="s">
        <v>532</v>
      </c>
    </row>
    <row r="14" spans="2:3" ht="43.5" customHeight="1" x14ac:dyDescent="0.35">
      <c r="B14" s="8" t="s">
        <v>533</v>
      </c>
      <c r="C14" s="4" t="s">
        <v>534</v>
      </c>
    </row>
    <row r="15" spans="2:3" ht="97.5" customHeight="1" x14ac:dyDescent="0.35">
      <c r="B15" s="8" t="s">
        <v>535</v>
      </c>
      <c r="C15" s="4" t="s">
        <v>536</v>
      </c>
    </row>
    <row r="16" spans="2:3" ht="138" customHeight="1" x14ac:dyDescent="0.35">
      <c r="B16" s="8" t="s">
        <v>537</v>
      </c>
      <c r="C16" s="4" t="s">
        <v>538</v>
      </c>
    </row>
    <row r="17" spans="2:3" ht="57" customHeight="1" x14ac:dyDescent="0.35">
      <c r="B17" s="8" t="s">
        <v>539</v>
      </c>
      <c r="C17" s="4" t="s">
        <v>540</v>
      </c>
    </row>
    <row r="18" spans="2:3" ht="57" customHeight="1" x14ac:dyDescent="0.35">
      <c r="B18" s="8" t="s">
        <v>56</v>
      </c>
      <c r="C18" s="4" t="s">
        <v>541</v>
      </c>
    </row>
    <row r="19" spans="2:3" ht="70.5" customHeight="1" x14ac:dyDescent="0.35">
      <c r="B19" s="8" t="s">
        <v>542</v>
      </c>
      <c r="C19" s="4" t="s">
        <v>543</v>
      </c>
    </row>
    <row r="20" spans="2:3" ht="70.5" customHeight="1" x14ac:dyDescent="0.35">
      <c r="B20" s="8" t="s">
        <v>544</v>
      </c>
      <c r="C20" s="4" t="s">
        <v>545</v>
      </c>
    </row>
    <row r="21" spans="2:3" ht="43.5" customHeight="1" x14ac:dyDescent="0.35">
      <c r="B21" s="8" t="s">
        <v>546</v>
      </c>
      <c r="C21" s="4" t="s">
        <v>547</v>
      </c>
    </row>
    <row r="23" spans="2:3" ht="18" customHeight="1" x14ac:dyDescent="0.35">
      <c r="B23" s="1" t="s">
        <v>548</v>
      </c>
      <c r="C23" s="1"/>
    </row>
    <row r="24" spans="2:3" ht="16.5" customHeight="1" x14ac:dyDescent="0.35">
      <c r="B24" s="54" t="s">
        <v>549</v>
      </c>
      <c r="C24" s="55"/>
    </row>
    <row r="25" spans="2:3" ht="16.5" customHeight="1" x14ac:dyDescent="0.35">
      <c r="B25" s="54" t="s">
        <v>550</v>
      </c>
      <c r="C25" s="55"/>
    </row>
    <row r="26" spans="2:3" ht="16.5" customHeight="1" x14ac:dyDescent="0.35">
      <c r="B26" s="54" t="s">
        <v>551</v>
      </c>
      <c r="C26" s="55"/>
    </row>
    <row r="27" spans="2:3" ht="16.5" customHeight="1" x14ac:dyDescent="0.35">
      <c r="B27" s="54" t="s">
        <v>552</v>
      </c>
      <c r="C27" s="55"/>
    </row>
    <row r="28" spans="2:3" ht="30" customHeight="1" x14ac:dyDescent="0.35">
      <c r="B28" s="54" t="s">
        <v>553</v>
      </c>
      <c r="C28" s="55"/>
    </row>
    <row r="29" spans="2:3" ht="16.5" customHeight="1" x14ac:dyDescent="0.35">
      <c r="B29" s="54" t="s">
        <v>554</v>
      </c>
      <c r="C29" s="55"/>
    </row>
    <row r="30" spans="2:3" ht="16.5" customHeight="1" x14ac:dyDescent="0.35">
      <c r="B30" s="54" t="s">
        <v>555</v>
      </c>
      <c r="C30" s="55"/>
    </row>
    <row r="31" spans="2:3" ht="16.5" customHeight="1" x14ac:dyDescent="0.35">
      <c r="B31" s="54" t="s">
        <v>556</v>
      </c>
      <c r="C31" s="55"/>
    </row>
    <row r="32" spans="2:3" ht="16.5" customHeight="1" x14ac:dyDescent="0.35">
      <c r="B32" s="54" t="s">
        <v>557</v>
      </c>
      <c r="C32" s="55"/>
    </row>
    <row r="33" spans="2:3" ht="30" customHeight="1" x14ac:dyDescent="0.35">
      <c r="B33" s="54" t="s">
        <v>558</v>
      </c>
      <c r="C33" s="55"/>
    </row>
    <row r="34" spans="2:3" ht="16.5" customHeight="1" x14ac:dyDescent="0.35">
      <c r="B34" s="54" t="s">
        <v>559</v>
      </c>
      <c r="C34" s="55"/>
    </row>
    <row r="36" spans="2:3" ht="18" customHeight="1" x14ac:dyDescent="0.35">
      <c r="B36" s="1" t="s">
        <v>560</v>
      </c>
      <c r="C36" s="1"/>
    </row>
    <row r="37" spans="2:3" ht="16.5" customHeight="1" x14ac:dyDescent="0.35">
      <c r="B37" s="8" t="s">
        <v>345</v>
      </c>
      <c r="C37" s="41" t="str">
        <f>"CGI art. 278 ; Service-public Entreprendre F23568, mis à jour le 21/02/2026. "&amp;"Vérifié le "&amp;TEXT(DAY(Référentiel!$C$109),"00")&amp;"/"&amp;TEXT(MONTH(Référentiel!$C$109),"00")&amp;"/"&amp;YEAR(Référentiel!$C$109)</f>
        <v>CGI art. 278 ; Service-public Entreprendre F23568, mis à jour le 21/02/2026. Vérifié le 05/09/2026</v>
      </c>
    </row>
    <row r="38" spans="2:3" ht="30" customHeight="1" x14ac:dyDescent="0.35">
      <c r="B38" s="8" t="s">
        <v>348</v>
      </c>
      <c r="C38" s="41" t="str">
        <f>"CGI art. 279-0 bis ; BOI-TVA-LIQ-30-20-90-10 du 22/10/2025. "&amp;"Vérifié le "&amp;TEXT(DAY(Référentiel!$C$109),"00")&amp;"/"&amp;TEXT(MONTH(Référentiel!$C$109),"00")&amp;"/"&amp;YEAR(Référentiel!$C$109)</f>
        <v>CGI art. 279-0 bis ; BOI-TVA-LIQ-30-20-90-10 du 22/10/2025. Vérifié le 05/09/2026</v>
      </c>
    </row>
    <row r="39" spans="2:3" ht="30" customHeight="1" x14ac:dyDescent="0.35">
      <c r="B39" s="8" t="s">
        <v>350</v>
      </c>
      <c r="C39" s="41" t="str">
        <f>"CGI art. 278-0 bis A ; arrêté du 24/12/2024 (liste des équipements) ; BOFiP ACTU-2025-00165 du 22/10/2025 ; FFB, liste du 25/08/2026. "&amp;"Vérifié le "&amp;TEXT(DAY(Référentiel!$C$109),"00")&amp;"/"&amp;TEXT(MONTH(Référentiel!$C$109),"00")&amp;"/"&amp;YEAR(Référentiel!$C$109)</f>
        <v>CGI art. 278-0 bis A ; arrêté du 24/12/2024 (liste des équipements) ; BOFiP ACTU-2025-00165 du 22/10/2025 ; FFB, liste du 25/08/2026. Vérifié le 05/09/2026</v>
      </c>
    </row>
    <row r="40" spans="2:3" ht="30" customHeight="1" x14ac:dyDescent="0.35">
      <c r="B40" s="8" t="s">
        <v>353</v>
      </c>
      <c r="C40" s="41" t="str">
        <f>"CGI art. 257, I-2-2° ; CGI annexe II art. 245 A ; BOI-TVA-IMM-10-10-10-20 § 140 et suivants. "&amp;"Vérifié le "&amp;TEXT(DAY(Référentiel!$C$109),"00")&amp;"/"&amp;TEXT(MONTH(Référentiel!$C$109),"00")&amp;"/"&amp;YEAR(Référentiel!$C$109)</f>
        <v>CGI art. 257, I-2-2° ; CGI annexe II art. 245 A ; BOI-TVA-IMM-10-10-10-20 § 140 et suivants. Vérifié le 05/09/2026</v>
      </c>
    </row>
    <row r="41" spans="2:3" ht="30" customHeight="1" x14ac:dyDescent="0.35">
      <c r="B41" s="8" t="s">
        <v>356</v>
      </c>
      <c r="C41" s="41" t="str">
        <f>"CGI art. 279-0 bis, 2 bis ; BOI-TVA-LIQ-30-20-90-10 du 22/10/2025. "&amp;"Vérifié le "&amp;TEXT(DAY(Référentiel!$C$109),"00")&amp;"/"&amp;TEXT(MONTH(Référentiel!$C$109),"00")&amp;"/"&amp;YEAR(Référentiel!$C$109)</f>
        <v>CGI art. 279-0 bis, 2 bis ; BOI-TVA-LIQ-30-20-90-10 du 22/10/2025. Vérifié le 05/09/2026</v>
      </c>
    </row>
    <row r="42" spans="2:3" ht="30" customHeight="1" x14ac:dyDescent="0.35">
      <c r="B42" s="8" t="s">
        <v>358</v>
      </c>
      <c r="C42" s="41" t="str">
        <f>"CGI art. 279-0 bis, 1 ; BOI-TVA-LIQ-30-20-90-10 § 10 : appréciée au début des travaux. "&amp;"Vérifié le "&amp;TEXT(DAY(Référentiel!$C$109),"00")&amp;"/"&amp;TEXT(MONTH(Référentiel!$C$109),"00")&amp;"/"&amp;YEAR(Référentiel!$C$109)</f>
        <v>CGI art. 279-0 bis, 1 ; BOI-TVA-LIQ-30-20-90-10 § 10 : appréciée au début des travaux. Vérifié le 05/09/2026</v>
      </c>
    </row>
    <row r="43" spans="2:3" ht="30" customHeight="1" x14ac:dyDescent="0.35">
      <c r="B43" s="8" t="s">
        <v>361</v>
      </c>
      <c r="C43" s="41" t="str">
        <f>"Géométrie : 4,0 pour un carré, 4,08 pour un rectangle 1,5:1, 4,24 pour un rectangle 2:1. "&amp;"Vérifié le "&amp;TEXT(DAY(Référentiel!$C$109),"00")&amp;"/"&amp;TEXT(MONTH(Référentiel!$C$109),"00")&amp;"/"&amp;YEAR(Référentiel!$C$109)</f>
        <v>Géométrie : 4,0 pour un carré, 4,08 pour un rectangle 1,5:1, 4,24 pour un rectangle 2:1. Vérifié le 05/09/2026</v>
      </c>
    </row>
    <row r="44" spans="2:3" ht="30" customHeight="1" x14ac:dyDescent="0.35">
      <c r="B44" s="8" t="s">
        <v>364</v>
      </c>
      <c r="C44" s="41" t="str">
        <f>"Géométrie. "&amp;"Vérifié le "&amp;TEXT(DAY(Référentiel!$C$109),"00")&amp;"/"&amp;TEXT(MONTH(Référentiel!$C$109),"00")&amp;"/"&amp;YEAR(Référentiel!$C$109)</f>
        <v>Géométrie. Vérifié le 05/09/2026</v>
      </c>
    </row>
    <row r="45" spans="2:3" ht="30" customHeight="1" x14ac:dyDescent="0.35">
      <c r="B45" s="8" t="s">
        <v>367</v>
      </c>
      <c r="C45" s="41" t="str">
        <f>"Trigonométrie : 1/cos 30° = 1,155 ; 1/cos 35° = 1,221 ; 1,41 à 45°. "&amp;"Vérifié le "&amp;TEXT(DAY(Référentiel!$C$109),"00")&amp;"/"&amp;TEXT(MONTH(Référentiel!$C$109),"00")&amp;"/"&amp;YEAR(Référentiel!$C$109)</f>
        <v>Trigonométrie : 1/cos 30° = 1,155 ; 1/cos 35° = 1,221 ; 1,41 à 45°. Vérifié le 05/09/2026</v>
      </c>
    </row>
    <row r="46" spans="2:3" ht="30" customHeight="1" x14ac:dyDescent="0.35">
      <c r="B46" s="8" t="s">
        <v>369</v>
      </c>
      <c r="C46" s="41" t="str">
        <f>"Hellowatt 2026 : léger 250 à 750, moyen 750 à 1 500, lourd 2 000 à 4 000 €/m² TTC ; Illico Travaux 2026 : complet 1 000 à 1 800, lourd 1 500 et plus. "&amp;"Vérifié le "&amp;TEXT(DAY(Référentiel!$C$109),"00")&amp;"/"&amp;TEXT(MONTH(Référentiel!$C$109),"00")&amp;"/"&amp;YEAR(Référentiel!$C$109)</f>
        <v>Hellowatt 2026 : léger 250 à 750, moyen 750 à 1 500, lourd 2 000 à 4 000 €/m² TTC ; Illico Travaux 2026 : complet 1 000 à 1 800, lourd 1 500 et plus. Vérifié le 05/09/2026</v>
      </c>
    </row>
    <row r="47" spans="2:3" ht="30" customHeight="1" x14ac:dyDescent="0.35">
      <c r="B47" s="8" t="s">
        <v>372</v>
      </c>
      <c r="C47" s="41" t="str">
        <f>"Mêmes sources. Le 1 500 €/m² est un plancher de rénovation lourde, pas un centre. "&amp;"Vérifié le "&amp;TEXT(DAY(Référentiel!$C$109),"00")&amp;"/"&amp;TEXT(MONTH(Référentiel!$C$109),"00")&amp;"/"&amp;YEAR(Référentiel!$C$109)</f>
        <v>Mêmes sources. Le 1 500 €/m² est un plancher de rénovation lourde, pas un centre. Vérifié le 05/09/2026</v>
      </c>
    </row>
    <row r="48" spans="2:3" ht="30" customHeight="1" x14ac:dyDescent="0.35">
      <c r="B48" s="8" t="s">
        <v>561</v>
      </c>
      <c r="C48" s="41" t="str">
        <f>"LF 2025 (loi n° 2025-127 du 14/02/2025), art. 41 ; BOFiP ACTU-2025-00165 du 22/10/2025 ; Service-public Entreprendre F23568, mis à jour le 21/02/2026. "&amp;"Vérifié le "&amp;TEXT(DAY(Référentiel!$C$109),"00")&amp;"/"&amp;TEXT(MONTH(Référentiel!$C$109),"00")&amp;"/"&amp;YEAR(Référentiel!$C$109)</f>
        <v>LF 2025 (loi n° 2025-127 du 14/02/2025), art. 41 ; BOFiP ACTU-2025-00165 du 22/10/2025 ; Service-public Entreprendre F23568, mis à jour le 21/02/2026. Vérifié le 05/09/2026</v>
      </c>
    </row>
    <row r="49" spans="2:3" ht="30" customHeight="1" x14ac:dyDescent="0.35">
      <c r="B49" s="8" t="s">
        <v>562</v>
      </c>
      <c r="C49" s="41" t="str">
        <f>"LF 2025, art. 32 (depuis le 01/03/2025) ; BOFiP ACTU-2025-00165 ; Quelle Énergie, TVA chaudière gaz 2026 ; Service-public F23568. "&amp;"Vérifié le "&amp;TEXT(DAY(Référentiel!$C$109),"00")&amp;"/"&amp;TEXT(MONTH(Référentiel!$C$109),"00")&amp;"/"&amp;YEAR(Référentiel!$C$109)</f>
        <v>LF 2025, art. 32 (depuis le 01/03/2025) ; BOFiP ACTU-2025-00165 ; Quelle Énergie, TVA chaudière gaz 2026 ; Service-public F23568. Vérifié le 05/09/2026</v>
      </c>
    </row>
    <row r="50" spans="2:3" ht="30" customHeight="1" x14ac:dyDescent="0.35">
      <c r="B50" s="8" t="s">
        <v>563</v>
      </c>
      <c r="C50" s="41" t="str">
        <f>"Arrêté du 24/12/2024 (JO) ; arrêté du 13/07/2026 (JO du 17/07/2026) pour les PAC air/air ; FFB, dossier TVA rénovation énergétique du 25/08/2026 ; CAPEB, TVA au taux de 5,5 % ; Effy, TVA pompe à chale"&amp;"ur 2026. "&amp;"Vérifié le "&amp;TEXT(DAY(Référentiel!$C$109),"00")&amp;"/"&amp;TEXT(MONTH(Référentiel!$C$109),"00")&amp;"/"&amp;YEAR(Référentiel!$C$109)</f>
        <v>Arrêté du 24/12/2024 (JO) ; arrêté du 13/07/2026 (JO du 17/07/2026) pour les PAC air/air ; FFB, dossier TVA rénovation énergétique du 25/08/2026 ; CAPEB, TVA au taux de 5,5 % ; Effy, TVA pompe à chaleur 2026. Vérifié le 05/09/2026</v>
      </c>
    </row>
    <row r="51" spans="2:3" ht="30" customHeight="1" x14ac:dyDescent="0.35">
      <c r="B51" s="8" t="s">
        <v>564</v>
      </c>
      <c r="C51" s="41" t="str">
        <f>"CGI art. 257, I-2-2° ; CGI annexe II art. 245 A ; BOI-TVA-IMM-10-10-10-20 § 140 et suivants ; CMS Francis Lefebvre, « Travaux immobiliers, TVA et production d'un immeuble neuf » ; Fintae, second œuvre"&amp;" et marchand de biens. "&amp;"Vérifié le "&amp;TEXT(DAY(Référentiel!$C$109),"00")&amp;"/"&amp;TEXT(MONTH(Référentiel!$C$109),"00")&amp;"/"&amp;YEAR(Référentiel!$C$109)</f>
        <v>CGI art. 257, I-2-2° ; CGI annexe II art. 245 A ; BOI-TVA-IMM-10-10-10-20 § 140 et suivants ; CMS Francis Lefebvre, « Travaux immobiliers, TVA et production d'un immeuble neuf » ; Fintae, second œuvre et marchand de biens. Vérifié le 05/09/2026</v>
      </c>
    </row>
    <row r="52" spans="2:3" ht="30" customHeight="1" x14ac:dyDescent="0.35">
      <c r="B52" s="8" t="s">
        <v>159</v>
      </c>
      <c r="C52" s="41" t="str">
        <f>"Convention CorpusImmo, non sourcée : à caler sur vos propres chantiers. Elle décrit une rénovation lourde de logement ancien. "&amp;"Vérifié le "&amp;TEXT(DAY(Référentiel!$C$109),"00")&amp;"/"&amp;TEXT(MONTH(Référentiel!$C$109),"00")&amp;"/"&amp;YEAR(Référentiel!$C$109)</f>
        <v>Convention CorpusImmo, non sourcée : à caler sur vos propres chantiers. Elle décrit une rénovation lourde de logement ancien. Vérifié le 05/09/2026</v>
      </c>
    </row>
    <row r="53" spans="2:3" ht="43.5" customHeight="1" x14ac:dyDescent="0.35">
      <c r="B53" s="8" t="s">
        <v>565</v>
      </c>
      <c r="C53" s="41" t="str">
        <f>"Hellowatt, prix de la rénovation au m² 2026 ; Illico Travaux, guide des prix 2026 ; Educ Spe, prix rénovation 2026 ; Monsieur Peinture, grille 2026 ; Travaux.com, prix de pose de la peinture 2026. Dét"&amp;"ail ligne à ligne dans le Référentiel. "&amp;"Vérifié le "&amp;TEXT(DAY(Référentiel!$C$109),"00")&amp;"/"&amp;TEXT(MONTH(Référentiel!$C$109),"00")&amp;"/"&amp;YEAR(Référentiel!$C$109)</f>
        <v>Hellowatt, prix de la rénovation au m² 2026 ; Illico Travaux, guide des prix 2026 ; Educ Spe, prix rénovation 2026 ; Monsieur Peinture, grille 2026 ; Travaux.com, prix de pose de la peinture 2026. Détail ligne à ligne dans le Référentiel. Vérifié le 05/09/2026</v>
      </c>
    </row>
    <row r="54" spans="2:3" ht="30" customHeight="1" x14ac:dyDescent="0.35">
      <c r="B54" s="8" t="s">
        <v>566</v>
      </c>
      <c r="C54" s="41" t="str">
        <f>"maitre-doeuvre.fr, imprévus de chantier ; architecte-batiments.fr ; Ootravaux, tarifs architecte 2026 ; Meta Architecte, barème 2026. "&amp;"Vérifié le "&amp;TEXT(DAY(Référentiel!$C$109),"00")&amp;"/"&amp;TEXT(MONTH(Référentiel!$C$109),"00")&amp;"/"&amp;YEAR(Référentiel!$C$109)</f>
        <v>maitre-doeuvre.fr, imprévus de chantier ; architecte-batiments.fr ; Ootravaux, tarifs architecte 2026 ; Meta Architecte, barème 2026. Vérifié le 05/09/2026</v>
      </c>
    </row>
    <row r="55" spans="2:3" ht="30" customHeight="1" x14ac:dyDescent="0.35">
      <c r="B55" s="8" t="s">
        <v>567</v>
      </c>
      <c r="C55" s="41" t="str">
        <f>"Observatoire ARTEP (monimmeuble.com) ; Erema Bat, rénovation d'appartement à Paris 2026 ; AZ Bâtiments 2026. "&amp;"Vérifié le "&amp;TEXT(DAY(Référentiel!$C$109),"00")&amp;"/"&amp;TEXT(MONTH(Référentiel!$C$109),"00")&amp;"/"&amp;YEAR(Référentiel!$C$109)</f>
        <v>Observatoire ARTEP (monimmeuble.com) ; Erema Bat, rénovation d'appartement à Paris 2026 ; AZ Bâtiments 2026. Vérifié le 05/09/2026</v>
      </c>
    </row>
    <row r="57" spans="2:3" ht="36" customHeight="1" x14ac:dyDescent="0.35">
      <c r="B57" s="61" t="s">
        <v>204</v>
      </c>
      <c r="C57" s="55"/>
    </row>
  </sheetData>
  <sheetProtection sheet="1" formatColumns="0" formatRows="0"/>
  <mergeCells count="12">
    <mergeCell ref="B57:C57"/>
    <mergeCell ref="B34:C34"/>
    <mergeCell ref="B28:C28"/>
    <mergeCell ref="B32:C32"/>
    <mergeCell ref="B31:C31"/>
    <mergeCell ref="B26:C26"/>
    <mergeCell ref="B27:C27"/>
    <mergeCell ref="B24:C24"/>
    <mergeCell ref="B30:C30"/>
    <mergeCell ref="B29:C29"/>
    <mergeCell ref="B33:C33"/>
    <mergeCell ref="B25:C25"/>
  </mergeCells>
  <pageMargins left="0.75" right="0.75" top="1" bottom="1" header="0.5" footer="0.5"/>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4</vt:i4>
      </vt:variant>
    </vt:vector>
  </HeadingPairs>
  <TitlesOfParts>
    <vt:vector size="4" baseType="lpstr">
      <vt:lpstr>Mode d'emploi</vt:lpstr>
      <vt:lpstr>Chiffrage</vt:lpstr>
      <vt:lpstr>Référentiel</vt:lpstr>
      <vt:lpstr>Méthode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Chiffrage de travaux par lot</dc:title>
  <dc:creator>CorpusImmo</dc:creator>
  <cp:lastModifiedBy>CorpusImmo</cp:lastModifiedBy>
  <dcterms:created xsi:type="dcterms:W3CDTF">2026-08-18T15:28:53Z</dcterms:created>
  <dcterms:modified xsi:type="dcterms:W3CDTF">2026-09-08T09:28:00Z</dcterms:modified>
</cp:coreProperties>
</file>