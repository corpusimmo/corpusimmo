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714C186A-2706-4361-8945-CA6C8EE7E785}"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Net vendeur" sheetId="2" r:id="rId2"/>
    <sheet name="Qualifier le mandat" sheetId="3" r:id="rId3"/>
    <sheet name="Paramètres" sheetId="4" r:id="rId4"/>
    <sheet name="Méthod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5" l="1"/>
  <c r="C43" i="5"/>
  <c r="C42" i="5"/>
  <c r="C41" i="5"/>
  <c r="C40" i="5"/>
  <c r="C39" i="5"/>
  <c r="C38" i="5"/>
  <c r="C37" i="5"/>
  <c r="D80" i="4"/>
  <c r="D78" i="4"/>
  <c r="D76" i="4"/>
  <c r="D15" i="4"/>
  <c r="D14" i="4"/>
  <c r="D13" i="4"/>
  <c r="D12" i="4"/>
  <c r="D11" i="4"/>
  <c r="D10" i="4"/>
  <c r="D9" i="4"/>
  <c r="D8" i="4"/>
  <c r="C27" i="3"/>
  <c r="C26" i="3"/>
  <c r="C25" i="3"/>
  <c r="F18" i="3"/>
  <c r="E15" i="3"/>
  <c r="E14" i="3"/>
  <c r="E13" i="3"/>
  <c r="E12" i="3"/>
  <c r="E11" i="3"/>
  <c r="E10" i="3"/>
  <c r="E9" i="3"/>
  <c r="E8" i="3"/>
  <c r="C42" i="2"/>
  <c r="C38" i="2"/>
  <c r="C34" i="2"/>
  <c r="C29" i="2" s="1"/>
  <c r="D20" i="2"/>
  <c r="D19" i="2"/>
  <c r="C17" i="2"/>
  <c r="C21" i="2" s="1"/>
  <c r="C12" i="2"/>
  <c r="D8" i="2"/>
  <c r="C65" i="2" l="1"/>
  <c r="C22" i="3"/>
  <c r="C23" i="3" s="1"/>
  <c r="C24" i="3" s="1"/>
  <c r="C21" i="3"/>
  <c r="C10" i="2"/>
  <c r="C11" i="2" s="1"/>
  <c r="C45" i="2" l="1"/>
  <c r="C46" i="2"/>
  <c r="C49" i="2"/>
  <c r="C51" i="2" s="1"/>
  <c r="C50" i="2"/>
  <c r="C63" i="2"/>
  <c r="C47" i="2" l="1"/>
  <c r="C48" i="2" s="1"/>
  <c r="C53" i="2" l="1"/>
  <c r="C57" i="2" s="1"/>
  <c r="C52" i="2"/>
  <c r="C58" i="2" l="1"/>
  <c r="C56" i="2"/>
  <c r="C59" i="2" s="1"/>
  <c r="C62" i="2" l="1"/>
  <c r="C64" i="2"/>
</calcChain>
</file>

<file path=xl/sharedStrings.xml><?xml version="1.0" encoding="utf-8"?>
<sst xmlns="http://schemas.openxmlformats.org/spreadsheetml/2006/main" count="644" uniqueCount="562">
  <si>
    <t>CorpusImmo  ·  www.corpus.immo  ·  Estimer, comparer, décider. Sur les ventes réelles.</t>
  </si>
  <si>
    <t>Mode d'emploi</t>
  </si>
  <si>
    <t>À quoi sert ce classeur, dans quel ordre le remplir, et comment lire ce qu'il répond.</t>
  </si>
  <si>
    <t xml:space="preserve">  À QUOI SERT CE CLASSEUR</t>
  </si>
  <si>
    <t>Un vendeur vous demande ce qu'il touchera. Entre le prix de l'annonce et le virement du notaire, il y a les honoraires d'agence, le solde du prêt et son indemnité, les diagnostics et les frais de mainlevée, et surtout l'impôt de plus-value. Ce classeur fait la soustraction complète, avec le vrai barème fiscal, et vous donne le net en poche.</t>
  </si>
  <si>
    <t>Il calcule l'impôt de plus-value avec la méthode et les barèmes que le notaire appliquera : durée de détention comptée de date à date, abattements par paliers légaux, deux barèmes différents pour l'impôt sur le revenu et pour les prélèvements sociaux, taxe supplémentaire sur les plus-values élevées, et les exonérations les plus courantes. Chaque barème vit dans l'onglet Paramètres, avec sa source et sa date. Le calcul du notaire reste le seul qui fasse foi : c'est lui qui vérifiera les conditions de fond des exonérations et les pièces de l'acte.</t>
  </si>
  <si>
    <t>Un second onglet, indépendant du premier, vous aide à décider si le mandat vaut la peine d'être pris : huit critères notés pendant le rendez-vous, un critère de prix éliminatoire, un score et un verdict.</t>
  </si>
  <si>
    <t>Vous êtes</t>
  </si>
  <si>
    <t>Ce que le classeur vous donne</t>
  </si>
  <si>
    <t>Agent immobilier</t>
  </si>
  <si>
    <t>L'ordre de grandeur du net en poche à annoncer au vendeur, avec la réserve du notaire, et une grille pour décider si le mandat vaut vos six prochains mois.</t>
  </si>
  <si>
    <t>Vendeur particulier</t>
  </si>
  <si>
    <t>Ce qui reste réellement après honoraires, remboursement du prêt, frais et impôt, avant de fixer votre prix.</t>
  </si>
  <si>
    <t>Notaire, clerc</t>
  </si>
  <si>
    <t>Le détail du calcul de plus-value : prix d'acquisition majoré, durée de date à date, abattements par paliers, surtaxe, exonération retenue.</t>
  </si>
  <si>
    <t>Conseiller en gestion de patrimoine</t>
  </si>
  <si>
    <t>L'effet de la durée de détention sur l'impôt, pour arbitrer entre vendre maintenant et attendre une date anniversaire.</t>
  </si>
  <si>
    <t>Ce que vous pouvez dire au vendeur : arrondissez au millier et annoncez une fourchette. « D'après mon calcul, vous devriez toucher de l'ordre de 206 000 €, à confirmer par votre notaire, qui refera le calcul de plus-value sur pièces. » Ce que vous ne devez pas dire : un chiffre au centime, ni « vous toucherez ». Trois choses peuvent encore bouger après vous : une exonération que le notaire refusera parce qu'une condition de fond manque, un décompte de banque différent de celui que vous avez saisi, et la date d'acte réelle, qui décale la durée de détention.</t>
  </si>
  <si>
    <t>Cinq mots à poser avant de commencer. Plus-value brute : ce que le bien a pris entre l'achat et la vente, une fois les frais et les travaux ajoutés au prix d'achat. Abattement : une réduction de cette plus-value, qui grandit avec la durée de détention. Paliers : l'abattement ne grandit pas jour par jour mais par marches d'une année entière, ce qui fait que quinze jours de patience valent parfois plusieurs centaines d'euros. Impôt sur le revenu et prélèvements sociaux : deux impôts distincts sur la même plus-value, à 19 % et 17,2 % (millésime 2026), avec deux abattements de cadence différente. Les prélèvements sociaux finissent presque toujours plus lourds que l'impôt sur le revenu, et durent 8 ans de plus. Surtaxe : une taxe en plus, de 2 % à 6 %, qui ne tombe qu'au-delà de 50 000 € de plus-value imposable à l'impôt sur le revenu (millésime 2026), et jamais sur un terrain à bâtir.</t>
  </si>
  <si>
    <t xml:space="preserve">  LE PRINCIPE, EN UNE LIGNE</t>
  </si>
  <si>
    <t>Prix affiché − honoraires d'agence = prix net vendeur, puis prix net vendeur − solde du prêt et indemnité − frais de vente − impôt de plus-value = ce que le vendeur touche</t>
  </si>
  <si>
    <t xml:space="preserve">  LES ONGLETS, DANS L'ORDRE OÙ ON LES REMPLIT</t>
  </si>
  <si>
    <t>Onglet</t>
  </si>
  <si>
    <t>Ce que vous y faites</t>
  </si>
  <si>
    <t>Ce que vous y lisez</t>
  </si>
  <si>
    <t>Rien à saisir. Vous lisez ce guide.</t>
  </si>
  <si>
    <t>La marche à suivre et l'exemple guidé.</t>
  </si>
  <si>
    <t>Net vendeur</t>
  </si>
  <si>
    <t>Vous remplissez les quatre blocs violets, de haut en bas : la vente, le prêt et les frais, le bien et son acquisition, les exonérations.</t>
  </si>
  <si>
    <t>Quatre contrôles de bloc (Net vendeur!C12, Net vendeur!C21, Net vendeur!C34, Net vendeur!C42) et le contrôle général (Net vendeur!C65), puis la plus-value, l'impôt et le net en poche (Net vendeur!C62).</t>
  </si>
  <si>
    <t>Qualifier le mandat</t>
  </si>
  <si>
    <t>Vous notez huit critères de 0 à 5 pendant le rendez-vous, et vous saisissez l'écart entre le prix espéré et votre estimation.</t>
  </si>
  <si>
    <t>Le score (Qualifier le mandat!C23) et le verdict (Qualifier le mandat!C24), avec les deux seuils de décision juste en dessous.</t>
  </si>
  <si>
    <t>Paramètres</t>
  </si>
  <si>
    <t>Rien, sauf à la mise à jour annuelle des barèmes et des repères.</t>
  </si>
  <si>
    <t>Chaque valeur avec sa source datée, la table des abattements par durée, le barème de la surtaxe, la liste des exonérations testées, les listes déroulantes.</t>
  </si>
  <si>
    <t>Méthode</t>
  </si>
  <si>
    <t>Rien à saisir.</t>
  </si>
  <si>
    <t>Les conventions de calcul, ce que le modèle ne fait pas, les points tranchés dans le sens prudent, les sources.</t>
  </si>
  <si>
    <t xml:space="preserve">  LE CODE COULEUR, ET COMMENT DÉVERROUILLER UNE CELLULE</t>
  </si>
  <si>
    <t>Cellule</t>
  </si>
  <si>
    <t>Ce que c'est</t>
  </si>
  <si>
    <t>Ce que vous faites</t>
  </si>
  <si>
    <t>Fond violet clair</t>
  </si>
  <si>
    <t>Saisie utilisateur</t>
  </si>
  <si>
    <t>Vous la remplissez. Jamais de formule dedans.</t>
  </si>
  <si>
    <t>Fond blanc</t>
  </si>
  <si>
    <t>Calcul</t>
  </si>
  <si>
    <t>Vous la lisez. Elle est verrouillée.</t>
  </si>
  <si>
    <t>Fond violet très pâle, gras</t>
  </si>
  <si>
    <t>Résultat de bloc ou chiffre clé</t>
  </si>
  <si>
    <t>Le chiffre à retenir.</t>
  </si>
  <si>
    <t>Texte gris à droite</t>
  </si>
  <si>
    <t>Aide de saisie</t>
  </si>
  <si>
    <t>Une phrase par ligne, avec l'ordre de grandeur attendu.</t>
  </si>
  <si>
    <t>Pastille verte ou rouge</t>
  </si>
  <si>
    <t>Contrôle de cohérence</t>
  </si>
  <si>
    <t>Rouge : corrigez avant de lire le moindre chiffre.</t>
  </si>
  <si>
    <t>Feuille protégée</t>
  </si>
  <si>
    <t>Protection sans mot de passe</t>
  </si>
  <si>
    <t>Onglet Révision, puis Ôter la protection de la feuille. Aucun mot de passe n'est demandé. Reprotégez ensuite, la protection évite d'écraser une formule.</t>
  </si>
  <si>
    <t xml:space="preserve">  LA MARCHE À SUIVRE, ÉTAPE PAR ÉTAPE</t>
  </si>
  <si>
    <t>Étape</t>
  </si>
  <si>
    <t>Où</t>
  </si>
  <si>
    <t>Pourquoi</t>
  </si>
  <si>
    <t>Étape 0 : que faire de l'exemple</t>
  </si>
  <si>
    <t>Net vendeur et Qualifier le mandat</t>
  </si>
  <si>
    <t>Le classeur est livré rempli d'un cas complet. Gardez-le le temps de vous repérer, puis effacez les cellules violettes de chiffres et de dates de l'onglet Net vendeur, ainsi que les notes de Qualifier le mandat!C8:C15 et l'écart de prix de Qualifier le mandat!C18, avant de saisir votre dossier. Ne touchez ni aux poids de Qualifier le mandat!D8:D15, qui sont votre grille et pas votre dossier, ni aux cellules violettes de l'onglet Paramètres, qui sont vos barèmes. N'effacez jamais les cellules d'option, celles qui se choisissent dans une liste : une option vide fait passer le contrôle au rouge et vide tout le calcul. Remplacez-les, ne les videz pas.</t>
  </si>
  <si>
    <t>Une saisie oubliée de l'exemple est l'erreur la plus probable d'un premier usage. Regardez surtout les travaux, les frais réels et l'indemnité de remboursement anticipé, qui n'ont aucune raison d'exister dans votre dossier. Les plages indiquées ci-dessous sautent les cellules calculées : suivez-les telles quelles plutôt que de sélectionner une colonne entière, la feuille est protégée et refusera d'effacer une formule.</t>
  </si>
  <si>
    <t>1. La vente</t>
  </si>
  <si>
    <t>Net vendeur!C7:C9</t>
  </si>
  <si>
    <t>Prix affiché dans l'annonce, taux d'honoraires toutes taxes comprises, et qui les paie, exactement comme dans le mandat.</t>
  </si>
  <si>
    <t>La charge des honoraires change la base du taux, donc le prix net vendeur, donc la plus-value. C'est le premier poste où l'on se trompe.</t>
  </si>
  <si>
    <t>2. Le prêt et les frais</t>
  </si>
  <si>
    <t>Net vendeur!C15, C16, puis C18:C20</t>
  </si>
  <si>
    <t>Capital restant dû, taux du prêt, indemnité réclamée par la banque, diagnostics, mainlevée et état daté. Laissez vide ce qui n'existe pas. La cellule entre les deux, Net vendeur!C17, est calculée : c'est le plafond légal, vous ne la remplissez pas.</t>
  </si>
  <si>
    <t>Le classeur calcule le plafond légal de l'indemnité (Net vendeur!C17) et passe au rouge si la banque vous en réclame davantage.</t>
  </si>
  <si>
    <t>3. Le bien et son acquisition</t>
  </si>
  <si>
    <t>Net vendeur!C24:C28, puis C30:C33</t>
  </si>
  <si>
    <t>Nature du bien, mode d'acquisition, prix payé ou valeur retenue pour les droits, les deux dates d'acte, puis vos deux options : frais au forfait ou au réel, travaux au forfait, au réel ou aucun. La cellule Net vendeur!C29, entre les dates et les options, est calculée : c'est la durée de détention que le classeur déduit de vos deux dates.</t>
  </si>
  <si>
    <t>Ce sont les dates qui fixent l'abattement, et les options qui fixent le prix d'acquisition majoré. Un bien reçu par succession ou par donation n'a pas droit au forfait de frais.</t>
  </si>
  <si>
    <t>4. Les cas particuliers et les exonérations</t>
  </si>
  <si>
    <t>Net vendeur!C37, puis C39:C41</t>
  </si>
  <si>
    <t>Déclarez d'abord si le cas sort du périmètre du modèle, puis répondez aux trois questions d'exonération. Répondez Non si vous n'êtes pas certain des conditions. Le cas particulier se choisit en Net vendeur!C37. Quatre situations sortent du modèle et l'arrêtent net : « Démembrement de propriété », c'est-à-dire une vente en nue-propriété ou d'un usufruit seul, y compris après une succession où le conjoint garde l'usufruit ; « Bien détenu par une société », SCI familiale comprise ; « Bien situé à l'étranger » ; « Cession de parts de société », quand on vous propose de vendre les parts de la société plutôt que le bien. Dans ces quatre cas, le classeur affiche un avertissement en Net vendeur!C38 et refuse de chiffrer : la fiscalité y est différente, et le calcul se fait avec le notaire. Cette cellule Net vendeur!C38 est calculée, vous ne la remplissez pas. Les trois questions sont la résidence principale, la première cession d'un logement autre que la résidence principale, et la vente à un organisme de logement social. Trois autres exonérations se déclenchent toutes seules, sans question : le prix sous le seuil des petites cessions, 22 ans de détention pour l'impôt sur le revenu, 30 ans pour les prélèvements sociaux. Leurs conditions sont détaillées plus bas, dans la section « Les exonérations, et ce qu'elles exigent vraiment ».</t>
  </si>
  <si>
    <t>Le vendeur ne vous dira pas spontanément que le bien est dans une SCI ou qu'il ne vend que la nue-propriété. Posez la question au rendez-vous : c'est la première chose qui fait sortir le dossier du modèle. Une exonération à tort, elle, produit un net en poche trop élevé de tout l'impôt : 10 525 € sur l'exemple livré (millésime 2026). Le classeur ne vérifie aucune condition de fond, il applique votre réponse. Le notaire, lui, la vérifiera, et c'est vous qui aurez annoncé le chiffre au vendeur.</t>
  </si>
  <si>
    <t>5. Lisez le résultat</t>
  </si>
  <si>
    <t>Net vendeur!C48:C64</t>
  </si>
  <si>
    <t>Vérifiez d'abord que le contrôle général Net vendeur!C65 est vert, puis lisez l'exonération retenue (Net vendeur!C51), l'impôt total (Net vendeur!C59) et le net en poche (Net vendeur!C62).</t>
  </si>
  <si>
    <t>Tant qu'un contrôle est rouge, ces cellules restent vides. C'est voulu : un impôt calculé sur une saisie fausse ne se voit pas. Une exception : si vous avez déclaré un cas hors périmètre en Net vendeur!C37, le rouge n'est pas une erreur à corriger, c'est le modèle qui refuse de chiffrer. Le message de Net vendeur!C38 vous le dit en toutes lettres. Ne repassez pas sur « Aucun » pour faire revenir les chiffres : ils seraient faux.</t>
  </si>
  <si>
    <t>6. Qualifiez le mandat</t>
  </si>
  <si>
    <t>Qualifier le mandat!C8:C15 et D8:D15, puis Qualifier le mandat!C18</t>
  </si>
  <si>
    <t>Notez les huit critères de 0 à 5 en colonne C pendant le rendez-vous. La colonne D porte le poids de chaque critère, de 0 à 5 : elle est livrée réglée et ne se retouche qu'une fois, pas à chaque mandat. Saisissez enfin l'écart entre le prix espéré du vendeur et votre estimation.</t>
  </si>
  <si>
    <t>Les poids se règlent une fois pour toutes, pas à chaque mandat. L'écart de prix, lui, se ressaisit à chaque fois : au-delà du seuil de Paramètres!C85, le verdict devient éliminatoire. La note maximale et le poids maximal se règlent en Paramètres!C83 et Paramètres!C84.</t>
  </si>
  <si>
    <t xml:space="preserve">  EXEMPLE GUIDÉ : LE CAS LIVRÉ DANS LE CLASSEUR</t>
  </si>
  <si>
    <t>Un appartement acheté 268 000 € le 20/09/2013, affiché 385 000 € honoraires inclus, avec 4,50 % d'honoraires à la charge de l'acquéreur, vendu le 04/09/2026. Il reste 148 000 € de prêt, la banque réclame 2 200 € d'indemnité, les diagnostics coûtent 750 € et la mainlevée 700 €.</t>
  </si>
  <si>
    <t>Les honoraires ressortent à 16 578,95 € : le prix affiché divisé par un plus le taux, pas le prix multiplié par le taux. Le prix net vendeur est donc de 368 421,05 €, et c'est lui qui sert de base à la plus-value.</t>
  </si>
  <si>
    <t>Entre le 20/09/2013 et le 04/09/2026, il s'est écoulé 12 années révolues, et non 13 : la vente a lieu seize jours avant la date anniversaire, et la treizième année n'est pas acquise. Vendre le 20/09/2026 au lieu du 04/09/2026 ferait tomber l'impôt de 10 525 € à 9 954 €, soit 571 € de moins pour seize jours de patience.</t>
  </si>
  <si>
    <t>Le prix d'acquisition majoré vaut 328 300 € : 268 000 € de prix, plus 20 100 € de frais au forfait, plus 40 200 € de travaux au forfait, acquis parce que le bien est bâti et détenu depuis plus de cinq ans. La plus-value brute est de 40 121 €.</t>
  </si>
  <si>
    <t>À 12 ans, l'abattement est de 42,00 % pour l'impôt sur le revenu et de 11,55 % seulement pour les prélèvements sociaux : deux barèmes, deux cadences. La plus-value imposable est donc de 23 270 € d'un côté et de 35 487 € de l'autre, ce qui donne 4 421,34 € d'impôt sur le revenu et 6 103,78 € de prélèvements sociaux. La surtaxe est nulle : la plus-value imposable à l'impôt sur le revenu reste sous le premier seuil du barème (50 000 €). Retenez les deux dates qui comptent : à 22 ans de détention il n'y a plus d'impôt sur le revenu, mais les prélèvements sociaux restent dus ; ils ne disparaissent qu'à 30 ans.</t>
  </si>
  <si>
    <t>Impôt total : 10 525,12 €. Net en poche : 206 245,94 €, parce que le vendeur rend aussi 148 000 € à sa banque : ce n'est pas un coût de la vente, c'est sa dette qui s'éteint. Rapportés à ce qu'il faut mesurer, les deux vrais coûts sont l'agence, qui lui laisse 95,69 % du prix affiché, et l'impôt, qui lui laisse 97,14 % de son net vendeur. Ce que vous annoncez en rendez-vous sur ce dossier : « de l'ordre de 206 000 €, à confirmer par votre notaire ». Pas 206 245,94 €. Le classeur affiche les centimes parce qu'il calcule sans arrondi intermédiaire, pas parce que le chiffre est certain à ce niveau.</t>
  </si>
  <si>
    <t>Sur l'onglet de qualification, le même dossier obtient 57 points sur 90, soit un score de 63,33 %, avec un écart de prix de 8 %. Le verdict tombe : « Prenez-le, mais négociez le prix avant de signer ». Chiffres du millésime 2026.</t>
  </si>
  <si>
    <t xml:space="preserve">  LES EXONÉRATIONS, ET CE QU'ELLES EXIGENT VRAIMENT</t>
  </si>
  <si>
    <t>Le classeur teste six situations, dans l'ordre de ce tableau. Trois se déclenchent par une réponse Oui à l'étape 4, trois se calculent toutes seules. Le motif retenu s'affiche toujours en toutes lettres en Net vendeur!C51 : un impôt nul sans motif écrit est une erreur de saisie, jamais un résultat.</t>
  </si>
  <si>
    <t>Le classeur ne vérifie aucune condition de fond. Il signale qu'une exonération paraît applicable au vu de ce que vous lui avez répondu. C'est le notaire qui la confirmera, sur pièces : ne l'annoncez jamais comme acquise.</t>
  </si>
  <si>
    <t>Exonération</t>
  </si>
  <si>
    <t>Ce qui la déclenche</t>
  </si>
  <si>
    <t>Son effet</t>
  </si>
  <si>
    <t>La condition qui se rate</t>
  </si>
  <si>
    <t>Résidence principale</t>
  </si>
  <si>
    <t>Votre réponse Oui en Net vendeur!C39.</t>
  </si>
  <si>
    <t>Exonération totale : l'impôt de plus-value tombe à zéro.</t>
  </si>
  <si>
    <t>Le logement doit être l'habitation habituelle du vendeur au jour de la vente, ou venir d'être libéré pour être vendu. Une maison vide depuis deux ans n'y a plus droit. C'est la case sur laquelle on répond Oui par habitude, et c'est tout l'impôt qui disparaît à tort.</t>
  </si>
  <si>
    <t>Vente à un organisme de logement social</t>
  </si>
  <si>
    <t>Votre réponse Oui en Net vendeur!C41.</t>
  </si>
  <si>
    <t>Exonération totale.</t>
  </si>
  <si>
    <t>L'acquéreur doit être un bailleur social, un organisme de foncier solidaire, ou une collectivité qui rétrocède à un bailleur social. Le dispositif court jusqu'au 31/12/2027.</t>
  </si>
  <si>
    <t>Première cession d'un logement autre que la résidence principale</t>
  </si>
  <si>
    <t>Votre réponse Oui en Net vendeur!C40.</t>
  </si>
  <si>
    <t>Trois conditions ensemble, pas une seule : ne pas avoir été propriétaire de sa résidence principale au cours des quatre années précédentes, remployer le prix dans l'achat ou la construction de sa résidence principale dans les vingt-quatre mois, et n'avoir jamais utilisé cette exonération. Le nom trompe : ce n'est pas « la première fois que je vends un bien locatif ».</t>
  </si>
  <si>
    <t>Petites cessions</t>
  </si>
  <si>
    <t>Automatique, sans question : le classeur compare le prix affiché au seuil de Paramètres!C13, soit 15 000 € (millésime 2026).</t>
  </si>
  <si>
    <t>Le seuil s'apprécie bien par bien et par vendeur. Le classeur le compare au prix affiché, ce qui est l'hypothèse la moins favorable au vendeur.</t>
  </si>
  <si>
    <t>30 ans de détention</t>
  </si>
  <si>
    <t>Automatique : les deux abattements de la table de Paramètres atteignent 100 %.</t>
  </si>
  <si>
    <t>30 ans révolus de date à date, pas 30 années civiles. La durée se lit en Net vendeur!C29.</t>
  </si>
  <si>
    <t>22 ans de détention</t>
  </si>
  <si>
    <t>Automatique.</t>
  </si>
  <si>
    <t>Exonération partielle : plus d'impôt sur le revenu, mais les prélèvements sociaux restent dus jusqu'à 30 ans.</t>
  </si>
  <si>
    <t>C'est le décalage qui surprend tous les vendeurs : à 25 ans de détention, il n'y a plus d'impôt sur le revenu du tout, et il reste encore 45 % de la plus-value soumise aux prélèvements sociaux (millésime 2026).</t>
  </si>
  <si>
    <t xml:space="preserve">  LES CHIFFRES À REGARDER, ET CE QU'ILS VALENT</t>
  </si>
  <si>
    <t>Indicateur</t>
  </si>
  <si>
    <t>Repère métier</t>
  </si>
  <si>
    <t>Ce qu'il dit vraiment</t>
  </si>
  <si>
    <t>Prix net vendeur</t>
  </si>
  <si>
    <t>Net vendeur!C11</t>
  </si>
  <si>
    <t>368 421 € sur l'exemple (2026)</t>
  </si>
  <si>
    <t>La base de la plus-value, et le chiffre que le vendeur compare à son estimation. Ce n'est pas ce qu'il touchera.</t>
  </si>
  <si>
    <t>Durée de détention</t>
  </si>
  <si>
    <t>Net vendeur!C29</t>
  </si>
  <si>
    <t>12 années révolues (2026)</t>
  </si>
  <si>
    <t>Comptée de date à date, en années entières. Chaque année franchie au-delà de 5 ans ajoute 6 points d'abattement à l'impôt sur le revenu, jusqu'à l'exonération à 22 ans, la dernière année n'en valant que 4 points. Aux prélèvements sociaux, la même année ne vaut que 1,65 point, et ils ne s'effacent qu'à 30 ans (barème 2026). C'est ce décalage de 8 ans qui surprend tous les vendeurs.</t>
  </si>
  <si>
    <t>Plus-value brute</t>
  </si>
  <si>
    <t>Net vendeur!C48</t>
  </si>
  <si>
    <t>40 121 € sur l'exemple (2026)</t>
  </si>
  <si>
    <t>Une plus-value brute élevée n'est pas un impôt élevé : tout dépend de la durée. Une moins-value vaut zéro, elle ne s'impute nulle part.</t>
  </si>
  <si>
    <t>Exonération applicable</t>
  </si>
  <si>
    <t>Net vendeur!C51</t>
  </si>
  <si>
    <t>Toujours écrite, même quand il n'y en a pas</t>
  </si>
  <si>
    <t>Un impôt nul doit avoir un motif affiché. 7 textes sont possibles : les 6 exonérations de la section ci-dessus, ou « Aucune exonération : la plus-value est imposable ». Un impôt nul sans motif, c'est une erreur de saisie.</t>
  </si>
  <si>
    <t>Impôt total de plus-value</t>
  </si>
  <si>
    <t>Net vendeur!C59</t>
  </si>
  <si>
    <t>10 525 € sur l'exemple (2026)</t>
  </si>
  <si>
    <t>L'ordre de grandeur de ce que le notaire retiendra sur le prix le jour de la signature, surtaxe comprise. Le montant définitif est celui que le notaire calculera sur pièces : annoncez-le arrondi au millier, jamais au centime.</t>
  </si>
  <si>
    <t>Net en poche</t>
  </si>
  <si>
    <t>Net vendeur!C62</t>
  </si>
  <si>
    <t>206 246 € sur l'exemple (2026)</t>
  </si>
  <si>
    <t>Le virement attendu. Il ne comprend ni la régularisation du prorata de taxe foncière, qui joue en votre faveur, ni les frais de déménagement.</t>
  </si>
  <si>
    <t>Score du mandat</t>
  </si>
  <si>
    <t>Qualifier le mandat!C23</t>
  </si>
  <si>
    <t>Solide au-dessus de 75 %, à refuser sous 40 % (repères 2026)</t>
  </si>
  <si>
    <t>Une aide à la décision commerciale, pas une évaluation du bien.</t>
  </si>
  <si>
    <t>Une lecture à ne pas confondre : Net vendeur!C63 mesure le coût de l'agence, et rien d'autre ; Net vendeur!C64, juste en dessous, mesure le coût fiscal. Le remboursement du prêt n'est ni l'un ni l'autre : c'est une dette qui s'éteint, et il n'entre dans aucun des deux ratios.</t>
  </si>
  <si>
    <t xml:space="preserve">  LES DONNÉES À METTRE À JOUR, OÙ ET POURQUOI</t>
  </si>
  <si>
    <t>Les barèmes fiscaux changent chaque année ou presque, les données de dossier changent à chaque vente. Les deux ne vivent pas au même endroit, et c'est ce qui permet de ne jamais toucher aux formules.</t>
  </si>
  <si>
    <t>Paramètre</t>
  </si>
  <si>
    <t>Onglet et cellule</t>
  </si>
  <si>
    <t>Ce qu'il pilote</t>
  </si>
  <si>
    <t>Source à consulter, et à quelle fréquence</t>
  </si>
  <si>
    <t>Barèmes fiscaux (taux, forfaits, seuils)</t>
  </si>
  <si>
    <t>Paramètres!C8:C15</t>
  </si>
  <si>
    <t>Tout le calcul de l'impôt de plus-value (Paramètres!C8:C13), et le plafond légal de l'indemnité de remboursement anticipé (Paramètres!C14:C15, code de la consommation).</t>
  </si>
  <si>
    <t>BOFiP et Legifrance. Colonne Source de l'onglet Paramètres. Fréquence : chaque janvier, après la loi de finances.</t>
  </si>
  <si>
    <t>Abattements par durée de détention</t>
  </si>
  <si>
    <t>Paramètres!B19:D49</t>
  </si>
  <si>
    <t>Les deux abattements lus par les formules, année par année.</t>
  </si>
  <si>
    <t>CGI art. 150 VC et BOI-RFPI-PVI-20-20. Aucune formule ne recalcule un palier. Fréquence : chaque janvier.</t>
  </si>
  <si>
    <t>Barème de la surtaxe</t>
  </si>
  <si>
    <t>Paramètres!B53:E62</t>
  </si>
  <si>
    <t>La taxe sur les plus-values élevées, tranche par tranche.</t>
  </si>
  <si>
    <t>CGI art. 1609 nonies G et BOI-RFPI-TPVIE-20. Fréquence : chaque janvier.</t>
  </si>
  <si>
    <t>Repères de marché et garde-fous des contrôles</t>
  </si>
  <si>
    <t>Paramètres!C76:C87</t>
  </si>
  <si>
    <t>Les ordres de grandeur affichés en aide de saisie, honoraires, diagnostics et mainlevée (Paramètres!C76:C81), et les garde-fous des contrôles : plancher de plausibilité d'un taux, note et poids maximaux de la grille, écart de prix éliminatoire, bornes de dates admises (Paramètres!C82:C87).</t>
  </si>
  <si>
    <t>Barèmes d'agences et devis de diagnostiqueurs. Fréquence : une fois par an.</t>
  </si>
  <si>
    <t>Seuils et verdicts du mandat</t>
  </si>
  <si>
    <t>Paramètres!C85, puis Paramètres!B91:C95</t>
  </si>
  <si>
    <t>L'écart de prix éliminatoire, puis les cinq verdicts de la grille de qualification et leurs seuils.</t>
  </si>
  <si>
    <t>Vos douze derniers mandats. Ce ne sont pas des normes, ce sont vos repères. Fréquence : une fois par an.</t>
  </si>
  <si>
    <t>Données de dossier</t>
  </si>
  <si>
    <t>Net vendeur!C7:C9, C15:C16, C18:C20, C24:C28, C30:C33, C37, C39:C41</t>
  </si>
  <si>
    <t>Le dossier lui-même : prix, taux, dates, montants, options. Les cellules sautées sont des calculs.</t>
  </si>
  <si>
    <t>Le mandat, l'acte d'acquisition, le décompte de la banque, les factures. Fréquence : à chaque dossier.</t>
  </si>
  <si>
    <t>Date de dernière vérification</t>
  </si>
  <si>
    <t>Paramètres!C105</t>
  </si>
  <si>
    <t>Toutes les mentions « Vérifié le » et « Consulté le » de l'onglet Paramètres.</t>
  </si>
  <si>
    <t>À changer le jour où vous relisez les barèmes. Fréquence : à chaque relecture des barèmes.</t>
  </si>
  <si>
    <t>L'architecture ne change jamais quand les données changent : seules les cellules violettes de Paramètres bougent, les formules pointent dessus. Les chiffres cités dans ce guide et dans l'onglet Méthode sont du millésime 2026 : relisez-les à chaque mise à jour de Paramètres, en particulier l'exemple guidé et le tableau des repères ci-dessus.</t>
  </si>
  <si>
    <t xml:space="preserve">  TROIS FAÇONS DE S'EN SERVIR</t>
  </si>
  <si>
    <t>Votre situation</t>
  </si>
  <si>
    <t>Un vendeur veut savoir ce qu'il touchera avant de fixer son prix</t>
  </si>
  <si>
    <t>Remplissez les quatre blocs, lisez le net en poche (Net vendeur!C62) et l'impôt (Net vendeur!C59). Montrez-lui la ligne d'exonération et les deux abattements : c'est là qu'il comprend pourquoi son voisin a payé moins.</t>
  </si>
  <si>
    <t>Le vendeur hésite entre vendre maintenant et attendre</t>
  </si>
  <si>
    <t>Changez la seule date de vente (Net vendeur!C28) et regardez l'impôt. Sur l'exemple livré, seize jours de patience font gagner 571 € (repère 2026), parce qu'ils font franchir une date anniversaire.</t>
  </si>
  <si>
    <t>Vous décidez de prendre ou non un mandat</t>
  </si>
  <si>
    <t>Notez les huit critères pendant le rendez-vous et saisissez l'écart de prix. Au-delà du seuil de Paramètres!C85, soit 15 % d'écart (repère 2026), le verdict devient éliminatoire quel que soit le reste : c'est le seul critère qui l'emporte sur le score.</t>
  </si>
  <si>
    <t xml:space="preserve">  LES ERREURS QUI FAUSSENT TOUT</t>
  </si>
  <si>
    <t>L'erreur</t>
  </si>
  <si>
    <t>Ce qu'elle coûte (chiffres de l'exemple livré, millésime 2026)</t>
  </si>
  <si>
    <t>Taper 0,045 au lieu de 4,5 dans le taux d'honoraires (Net vendeur!C8)</t>
  </si>
  <si>
    <t>La cellule est déjà au format pourcentage : 0,045 y vaut 0,05 %, et les honoraires tomberaient de 16 578,95 € à moins de deux cents euros. Le contrôle de la vente passe au rouge grâce au plancher de plausibilité de Paramètres (Paramètres!C82), et plus rien ne s'affiche tant que le taux n'est pas corrigé.</t>
  </si>
  <si>
    <t>Se tromper sur la charge des honoraires (Net vendeur!C9)</t>
  </si>
  <si>
    <t>La base du taux change. Sur l'exemple, passer de la charge acquéreur à la charge vendeur fait passer les honoraires de 16 578,95 € à 17 325,00 € et le net en poche de 206 246 € à 205 696 €. Recopiez le mandat, ne devinez pas.</t>
  </si>
  <si>
    <t>Saisir des années au lieu de vraies dates (Net vendeur!C27 et Net vendeur!C28)</t>
  </si>
  <si>
    <t>La validation n'accepte qu'une date, et si une année est collée par-dessus, le contrôle du bloc passe au rouge : 2013 est un vrai numéro de série Excel, qui désigne un jour de 1905 et donnerait 121 ans de détention. Une année entière d'abattement se joue sur quelques jours : 571 € sur l'exemple.</t>
  </si>
  <si>
    <t>Laisser les travaux de l'exemple (Net vendeur!C33) ou les frais réels (Net vendeur!C31)</t>
  </si>
  <si>
    <t>Ils ne servent que si l'option correspondante est choisie, mais ils la faussent complètement quand elle l'est. Sur l'exemple, passer du forfait aux travaux réels ferait monter l'impôt de 10 525,12 € à 14 774,93 €, parce que les 24 000 € de factures sont inférieurs au forfait de 40 200 €.</t>
  </si>
  <si>
    <t>Répondre Oui à la résidence principale par habitude (Net vendeur!C39)</t>
  </si>
  <si>
    <t>L'impôt tombe à zéro et le net en poche gagne 10 525 € : 216 771 € au lieu de 206 246 €. Le logement doit être l'habitation habituelle au jour de la vente, ou libéré depuis un délai normal de vente. Le notaire, lui, vérifiera.</t>
  </si>
  <si>
    <t>Demander le forfait travaux sur un bien détenu depuis moins de cinq ans (Net vendeur!C32)</t>
  </si>
  <si>
    <t>Le contrôle du bloc passe au rouge au lieu de retenir zéro en silence. Choisissez « Aucun travaux » ou les travaux réels : c'est la condition de durée qui manque, pas la saisie.</t>
  </si>
  <si>
    <t>Oublier l'indemnité de remboursement anticipé ou en accepter une trop élevée (Net vendeur!C18)</t>
  </si>
  <si>
    <t>Le plafond légal est calculé juste au-dessus (Net vendeur!C17) : sur l'exemple, il vaut 2 368,00 € pour une indemnité réclamée de 2 200 €. Au-delà du plafond, le contrôle passe au rouge et l'indemnité se conteste.</t>
  </si>
  <si>
    <t>Ce que le classeur ne fait pas, les points tranchés dans le sens prudent et les sources de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</si>
  <si>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</si>
  <si>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Ce que le vendeur touche vraiment</t>
  </si>
  <si>
    <t>Du prix affiché au virement du notaire : honoraires, solde de prêt, impôt de plus-value et net en poche.</t>
  </si>
  <si>
    <t>Cellules violettes : à remplir.  Cellules blanches : calculées automatiquement.</t>
  </si>
  <si>
    <t xml:space="preserve">  LA VENTE</t>
  </si>
  <si>
    <t>Prix affiché dans l'annonce</t>
  </si>
  <si>
    <t>Le prix que voit l'acquéreur. Honoraires inclus quand ils sont à sa charge, honoraires exclus quand ils sont à la charge du vendeur.</t>
  </si>
  <si>
    <t>Taux d'honoraires d'agence TTC</t>
  </si>
  <si>
    <t>Honoraires à la charge de</t>
  </si>
  <si>
    <t>Acquéreur</t>
  </si>
  <si>
    <t>Exactement comme dans le mandat. À la charge de l'acquéreur, le taux porte sur le prix hors honoraires. À la charge du vendeur, il porte sur le prix de vente.</t>
  </si>
  <si>
    <t>Honoraires d'agence TTC</t>
  </si>
  <si>
    <t>Charge acquéreur : prix affiché moins prix affiché divisé par un plus le taux. Charge vendeur : prix affiché multiplié par le taux.</t>
  </si>
  <si>
    <t>La base de la plus-value, et le chiffre que le vendeur compare à son estimation.</t>
  </si>
  <si>
    <t>La vente : saisies cohérentes</t>
  </si>
  <si>
    <t>Rouge si le prix manque, est négatif ou nul, si le taux d'honoraires sort de la plage admise ou trahit une saisie en fraction, ou si la charge n'est pas une valeur de la liste.</t>
  </si>
  <si>
    <t xml:space="preserve">  LE PRÊT EN COURS ET LES FRAIS DE LA VENTE</t>
  </si>
  <si>
    <t>Capital restant dû du prêt</t>
  </si>
  <si>
    <t>Montant que la banque vous réclamera le jour de la vente. Laissez vide ou 0 s'il n'y a plus de prêt.</t>
  </si>
  <si>
    <t>Taux nominal du prêt en cours</t>
  </si>
  <si>
    <t>Sert au plafond légal de l'indemnité ci-dessous. Vide si vous ne le connaissez pas : seul le plafond en pourcentage du capital sera contrôlé.</t>
  </si>
  <si>
    <t>Plafond légal de l'indemnité de remboursement anticipé</t>
  </si>
  <si>
    <t>Le plus faible des deux plafonds du code de la consommation : un semestre d'intérêts au taux du prêt, et une part du capital restant dû (Paramètres).</t>
  </si>
  <si>
    <t>Indemnité de remboursement anticipé réclamée</t>
  </si>
  <si>
    <t>Le montant écrit sur le décompte de la banque. Aucune indemnité n'est due en cas de changement de lieu de travail, de décès ou de cessation forcée d'activité.</t>
  </si>
  <si>
    <t>Dossier de diagnostic technique</t>
  </si>
  <si>
    <t>Mainlevée, état daté et autres frais de vente</t>
  </si>
  <si>
    <t>Le prêt et les frais : saisies cohérentes</t>
  </si>
  <si>
    <t>Rouge si une saisie est négative, si le taux du prêt sort de la plage admise ou trahit une saisie en fraction, ou si l'indemnité réclamée dépasse le plafond légal calculé au-dessus.</t>
  </si>
  <si>
    <t xml:space="preserve">  LE BIEN ET SON ACQUISITION D'ORIGINE</t>
  </si>
  <si>
    <t>Nature du bien vendu</t>
  </si>
  <si>
    <t>Logement ou immeuble bâti</t>
  </si>
  <si>
    <t>Un terrain à bâtir n'ouvre droit ni au forfait travaux, ni à la surtaxe sur les plus-values élevées.</t>
  </si>
  <si>
    <t>Comment le bien a été acquis</t>
  </si>
  <si>
    <t>Achat (à titre onéreux)</t>
  </si>
  <si>
    <t>Achat : le forfait de frais d'acquisition est possible. Succession ou donation : seuls les frais réels comptent, et la durée part de la date du décès ou de l'acte de donation.</t>
  </si>
  <si>
    <t>Prix d'acquisition, ou valeur retenue pour les droits</t>
  </si>
  <si>
    <t>Achat : le prix payé, hors frais. Succession ou donation : la valeur qui a servi de base aux droits de mutation à titre gratuit.</t>
  </si>
  <si>
    <t>Date d'acquisition</t>
  </si>
  <si>
    <t>Date de l'acte d'achat, du décès pour une succession, de l'acte pour une donation. Une vraie date, pas une année.</t>
  </si>
  <si>
    <t>Date de la vente</t>
  </si>
  <si>
    <t>Date prévue de l'acte authentique. C'est elle qui fixe la durée de détention, jour pour jour.</t>
  </si>
  <si>
    <t>Durée de détention, de date à date</t>
  </si>
  <si>
    <t>Années révolues, comptées par périodes de douze mois depuis la date d'acquisition. Une vente la veille de la date anniversaire perd une année entière d'abattement.</t>
  </si>
  <si>
    <t>Frais d'acquisition retenus</t>
  </si>
  <si>
    <t>Forfait de 7,5 %</t>
  </si>
  <si>
    <t>Le forfait est réservé aux achats. Choisissez les frais réels pour une succession ou une donation, ou si vos frais justifiés sont plus élevés que le forfait.</t>
  </si>
  <si>
    <t>Frais d'acquisition réels justifiés</t>
  </si>
  <si>
    <t>Droits d'enregistrement, émoluments du notaire, honoraires payés à l'acquisition. Pour un bien reçu : droits de mutation à titre gratuit et frais d'acte.</t>
  </si>
  <si>
    <t>Travaux retenus</t>
  </si>
  <si>
    <t>Forfait de 15 %</t>
  </si>
  <si>
    <t>Le forfait suppose un immeuble bâti détenu depuis plus de cinq ans. Les travaux réels ne comptent que sur factures d'entreprise, jamais les matériaux achetés soi-même.</t>
  </si>
  <si>
    <t>Travaux réels justifiés</t>
  </si>
  <si>
    <t>Construction, reconstruction, agrandissement, amélioration. L'entretien et les réparations locatives sont exclus.</t>
  </si>
  <si>
    <t>Le bien et son acquisition : saisies cohérentes</t>
  </si>
  <si>
    <t>Rouge si une date manque, sort des bornes de plausibilité de Paramètres ou n'est pas une vraie date, si la vente précède l'achat, si le prix d'acquisition manque, si une option n'est pas une valeur de sa liste, si le forfait de frais est demandé sur un bien reçu, ou si le forfait travaux est demandé alors que ses conditions ne sont pas réunies.</t>
  </si>
  <si>
    <t xml:space="preserve">  LES EXONÉRATIONS ET LES CAS HORS PÉRIMÈTRE</t>
  </si>
  <si>
    <t>Cas particulier de la cession</t>
  </si>
  <si>
    <t>Aucun</t>
  </si>
  <si>
    <t>Choisissez « Aucun » pour une vente ordinaire en pleine propriété par un particulier résident. Les autres cas sortent du périmètre du modèle.</t>
  </si>
  <si>
    <t>Avertissement</t>
  </si>
  <si>
    <t>Le bien est-il votre résidence principale ?</t>
  </si>
  <si>
    <t>Non</t>
  </si>
  <si>
    <t>Oui seulement si le logement est votre habitation habituelle au jour de la vente, ou vient d'être libéré pour la vendre.</t>
  </si>
  <si>
    <t>Première cession d'un logement autre que la résidence principale ?</t>
  </si>
  <si>
    <t>Oui seulement si vous n'avez pas été propriétaire de votre résidence principale depuis quatre ans, que vous remployez le prix dans les vingt-quatre mois, et que vous n'avez jamais utilisé cette exonération.</t>
  </si>
  <si>
    <t>Vente à un organisme de logement social ?</t>
  </si>
  <si>
    <t>Bailleur social, organisme de foncier solidaire, collectivité qui rétrocède à un bailleur social.</t>
  </si>
  <si>
    <t>Les exonérations : saisies cohérentes</t>
  </si>
  <si>
    <t>Rouge si une réponse n'est pas une valeur de la liste, si le cas sort du périmètre du modèle, ou si la résidence principale et la première cession sont déclarées ensemble, ce qui est contradictoire.</t>
  </si>
  <si>
    <t xml:space="preserve">  LA PLUS-VALUE IMPOSABLE</t>
  </si>
  <si>
    <t>Forfait sur le prix d'acquisition, ou frais réels justifiés, selon votre choix.</t>
  </si>
  <si>
    <t>Forfait sur le prix d'acquisition si les conditions de durée et de nature sont réunies, travaux réels justifiés, ou zéro.</t>
  </si>
  <si>
    <t>Prix d'acquisition majoré</t>
  </si>
  <si>
    <t>Prix d'acquisition, plus les frais retenus, plus les travaux retenus. C'est ce que l'on retranche du prix net vendeur.</t>
  </si>
  <si>
    <t>Prix net vendeur moins prix d'acquisition majoré. Une moins-value vaut zéro : elle n'est pas imputable.</t>
  </si>
  <si>
    <t>Abattement pour durée, impôt sur le revenu</t>
  </si>
  <si>
    <t>Lu dans la table de Paramètres, par paliers légaux. Nul jusqu'à cinq ans révolus, total à vingt-deux ans.</t>
  </si>
  <si>
    <t>Abattement pour durée, prélèvements sociaux</t>
  </si>
  <si>
    <t>Autre cadence, autre durée : total à trente ans seulement. Ce décalage de huit ans surprend tous les vendeurs.</t>
  </si>
  <si>
    <t>Plus-value imposable à l'impôt sur le revenu</t>
  </si>
  <si>
    <t>Plus-value brute moins l'abattement d'impôt sur le revenu. Zéro en cas d'exonération totale.</t>
  </si>
  <si>
    <t>Plus-value imposable aux prélèvements sociaux</t>
  </si>
  <si>
    <t>Plus-value brute moins l'abattement de prélèvements sociaux. Presque toujours plus élevée que la précédente.</t>
  </si>
  <si>
    <t xml:space="preserve">  L'IMPÔT DE PLUS-VALUE</t>
  </si>
  <si>
    <t>Impôt sur le revenu</t>
  </si>
  <si>
    <t>Taux proportionnel de Paramètres, appliqué à la plus-value imposable à l'impôt sur le revenu.</t>
  </si>
  <si>
    <t>Prélèvements sociaux</t>
  </si>
  <si>
    <t>Taux de Paramètres, appliqué à l'autre base. Ils sont presque toujours plus lourds que l'impôt sur le revenu.</t>
  </si>
  <si>
    <t>Surtaxe sur les plus-values élevées</t>
  </si>
  <si>
    <t>Barème par tranches de Paramètres, assis sur la plus-value imposable à l'impôt sur le revenu. Nulle pour un terrain à bâtir.</t>
  </si>
  <si>
    <t>Ce que le notaire retiendra sur le prix le jour de la signature.</t>
  </si>
  <si>
    <t xml:space="preserve">  CE QUE LE VENDEUR ENCAISSE</t>
  </si>
  <si>
    <t>Net en poche pour le vendeur</t>
  </si>
  <si>
    <t>Prix net vendeur, moins le solde du prêt et l'indemnité, moins les diagnostics et les autres frais, moins l'impôt.</t>
  </si>
  <si>
    <t>Part du prix affiché qui revient au vendeur</t>
  </si>
  <si>
    <t>Le coût de l'intermédiation, et rien d'autre. Cent pour cent en vente sans agence.</t>
  </si>
  <si>
    <t>Part du net vendeur conservée après impôt</t>
  </si>
  <si>
    <t>Le coût fiscal de la vente. Le remboursement du prêt n'entre pas dans ce ratio : ce n'est pas un coût de la vente, c'est votre dette.</t>
  </si>
  <si>
    <t>Saisies et paramètres complets</t>
  </si>
  <si>
    <t>Rouge dès qu'un contrôle est rouge ou qu'un barème manque dans Paramètres. Tant qu'il l'est, le classeur n'affiche aucun chiffre de plus-value : un impôt calculé sur une saisie fausse est pire que pas d'impôt du tout.</t>
  </si>
  <si>
    <t>Ce mandat vaut-il vos six prochains mois ?</t>
  </si>
  <si>
    <t>Huit critères notés pendant le rendez-vous, un critère de prix éliminatoire, un score, un verdict.</t>
  </si>
  <si>
    <t xml:space="preserve">  LES HUIT CRITÈRES DU MANDAT</t>
  </si>
  <si>
    <t>Critère</t>
  </si>
  <si>
    <t>Note (0 à 5)</t>
  </si>
  <si>
    <t>Poids (0 à 5)</t>
  </si>
  <si>
    <t>Pondéré</t>
  </si>
  <si>
    <t>Ce que le critère mesure</t>
  </si>
  <si>
    <t>Le vendeur est-il vraiment décidé à vendre ?</t>
  </si>
  <si>
    <t>Un vendeur qui teste le marché consomme votre temps sans le payer.</t>
  </si>
  <si>
    <t>Son prix espéré est-il compatible avec le marché ?</t>
  </si>
  <si>
    <t>Le premier motif d'échec d'un mandat. Notez 0 dès que l'écart dépasse le seuil éliminatoire ci-dessous.</t>
  </si>
  <si>
    <t>L'échéance est-elle datée et contrainte ?</t>
  </si>
  <si>
    <t>Mutation, succession, divorce, achat déjà signé : une date fait vendre.</t>
  </si>
  <si>
    <t>Le bien est-il présentable en l'état ?</t>
  </si>
  <si>
    <t>Photos, encombrement, travaux visibles.</t>
  </si>
  <si>
    <t>Le titre et les diagnostics sont-ils prêts ?</t>
  </si>
  <si>
    <t>Titre de propriété, dossier de diagnostic technique, procès-verbaux d'assemblée générale, surface loi Carrez.</t>
  </si>
  <si>
    <t>Le mandat est-il exclusif ?</t>
  </si>
  <si>
    <t>Un mandat simple partagé à cinq vaut le cinquième de votre effort.</t>
  </si>
  <si>
    <t>Les signatures nécessaires sont-elles réunies ?</t>
  </si>
  <si>
    <t>Notez haut si tous les propriétaires sont d'accord. Notez bas en cas d'indivision ou de copropriété conflictuelle, où plusieurs signatures peuvent bloquer la vente.</t>
  </si>
  <si>
    <t>Le bien correspond-il à votre fichier acquéreurs ?</t>
  </si>
  <si>
    <t>Un bien hors de votre zone ou de votre gamme se vend deux fois plus lentement.</t>
  </si>
  <si>
    <t xml:space="preserve">  LE PRIX DEMANDÉ : LE CRITÈRE ÉLIMINATOIRE</t>
  </si>
  <si>
    <t>Écart entre le prix espéré et votre estimation</t>
  </si>
  <si>
    <t xml:space="preserve">  LE SCORE ET LE VERDICT</t>
  </si>
  <si>
    <t>Total pondéré</t>
  </si>
  <si>
    <t>Somme des notes multipliées par leurs poids.</t>
  </si>
  <si>
    <t>Maximum atteignable</t>
  </si>
  <si>
    <t>Somme des poids multipliée par la note maximale de Paramètres.</t>
  </si>
  <si>
    <t>Vert au-dessus du seuil de mandat solide, rouge sous le seuil de refus, sans couleur entre les deux.</t>
  </si>
  <si>
    <t>Verdict</t>
  </si>
  <si>
    <t>Texte lu dans la table des verdicts de Paramètres. L'écart de prix l'emporte sur le score.</t>
  </si>
  <si>
    <t>Seuil de mandat à refuser</t>
  </si>
  <si>
    <t>Repère commercial, modifiable dans Paramètres.</t>
  </si>
  <si>
    <t>Seuil de mandat solide</t>
  </si>
  <si>
    <t>Recalez ces deux seuils sur vos douze derniers mandats.</t>
  </si>
  <si>
    <t>La grille : saisies cohérentes</t>
  </si>
  <si>
    <t>Rouge si un critère n'est pas noté, si une note ou un poids sort de 0 à 5 ou n'est pas entier, si tous les poids sont à zéro, ou si l'écart de prix sort de la plage admise.</t>
  </si>
  <si>
    <t xml:space="preserve">  POURQUOI CES POIDS, ET COMMENT LES RECALER</t>
  </si>
  <si>
    <t>Les poids comptent autant que les notes. Trois critères pèsent trois fois plus que le titre et les diagnostics : la décision réelle du vendeur, la</t>
  </si>
  <si>
    <t>compatibilité du prix avec le marché, et l'exclusivité. Ce sont les trois seuls qui déterminent si le bien se vendra ; le reste ne fait que moduler le délai.</t>
  </si>
  <si>
    <t>Le prix est le seul critère éliminatoire : au-delà du seuil de Paramètres, un mandat ne se vend pas au prix demandé, quel que soit le reste du dossier.</t>
  </si>
  <si>
    <t>Reprenez vos douze derniers mandats, notez-les après coup, et recalez les poids et les deux seuils : votre grille vaudra mieux que celle-ci.</t>
  </si>
  <si>
    <t>Les seules valeurs à mettre à jour quand la loi ou le marché changent. Toutes les formules du classeur pointent ici.</t>
  </si>
  <si>
    <t xml:space="preserve">  BARÈMES RÉGLEMENTAIRES, MILLÉSIME 2026</t>
  </si>
  <si>
    <t>Valeur</t>
  </si>
  <si>
    <t>Source (organisme, texte, date)</t>
  </si>
  <si>
    <t>Mise à jour</t>
  </si>
  <si>
    <t>Commentaire</t>
  </si>
  <si>
    <t>Impôt sur le revenu sur la plus-value immobilière des particuliers</t>
  </si>
  <si>
    <t>Chaque loi de finances (décembre)</t>
  </si>
  <si>
    <t>Résidents et non-résidents. Le notaire le prélève sur le prix le jour de la signature.</t>
  </si>
  <si>
    <t>Prélèvements sociaux sur la plus-value immobilière</t>
  </si>
  <si>
    <t>Chaque loi de financement de la sécurité sociale (décembre)</t>
  </si>
  <si>
    <t>Ne pas recopier ici les 18,6 % des revenus de location meublée : la plus-value immobilière des particuliers reste à 17,2 %.</t>
  </si>
  <si>
    <t>Forfait de frais d'acquisition (acquisitions à titre onéreux)</t>
  </si>
  <si>
    <t>Stable, à revérifier à chaque loi de finances</t>
  </si>
  <si>
    <t>Un bien reçu par succession ou par donation n'y a pas droit : seuls les frais réels justifiés majorent la valeur retenue.</t>
  </si>
  <si>
    <t>Forfait travaux (immeuble bâti détenu depuis plus de cinq ans)</t>
  </si>
  <si>
    <t>Alternative aux travaux réels sur factures d'entreprise. Le classeur applique celui que vous choisissez, jamais les deux.</t>
  </si>
  <si>
    <t>Détention minimale exigée pour le forfait travaux</t>
  </si>
  <si>
    <t>Stable</t>
  </si>
  <si>
    <t>Strictement plus : à cinq ans jour pour jour le forfait n'est pas acquis, il l'est le lendemain.</t>
  </si>
  <si>
    <t>Seuil d'exonération des petites cessions</t>
  </si>
  <si>
    <t>Le classeur compare le prix affiché à ce seuil, ce qui est l'hypothèse la moins favorable au vendeur.</t>
  </si>
  <si>
    <t>Plafond légal de l'indemnité de remboursement anticipé, part du capital</t>
  </si>
  <si>
    <t>Plafond absolu : l'indemnité réclamée ne peut jamais le dépasser.</t>
  </si>
  <si>
    <t>Plafond légal de l'indemnité, nombre de mois d'intérêts</t>
  </si>
  <si>
    <t>Aucune indemnité n'est due en cas de vente liée à un changement de lieu de travail, à un décès ou à une cessation forcée d'activité (art. L313-48).</t>
  </si>
  <si>
    <t xml:space="preserve">  ABATTEMENTS POUR DURÉE DE DÉTENTION, BARÈME PAR PALIERS LÉGAUX (CGI ART. 150 VC)</t>
  </si>
  <si>
    <t>Années de détention révolues</t>
  </si>
  <si>
    <t>Abattement impôt sur le revenu</t>
  </si>
  <si>
    <t>Abattement prélèvements sociaux</t>
  </si>
  <si>
    <t>CGI art. 150 VC, I (Legifrance, version en vigueur depuis le 01/01/2014) et CSS art. L136-7, VI ; BOFiP BOI-RFPI-PVI-20-20 du 18/07/2023, § 60 et § 70. Impôt sur le revenu : 6 % par année de détention de la sixième à la vingt et unième, 4 % la vingt-deuxième. Prélèvements sociaux : 1,65 % par année de la sixième à la vingt et unième, 1,60 % la vingt-deuxième, 9 % de la vingt-troisième à la trentième.</t>
  </si>
  <si>
    <t>Deux cadences et deux durées : exonération d'impôt sur le revenu à vingt-deux ans, de prélèvements sociaux à trente ans seulement. Le classeur lit cette table, il ne recalcule aucun palier. Une durée supérieure à trente ans lit la dernière ligne.</t>
  </si>
  <si>
    <t xml:space="preserve">  TAXE SUR LES PLUS-VALUES IMMOBILIÈRES ÉLEVÉES, BARÈME PAR TRANCHES (CGI ART. 1609 NONIES G)</t>
  </si>
  <si>
    <t>Plus-value imposable supérieure à</t>
  </si>
  <si>
    <t>Taux</t>
  </si>
  <si>
    <t>Coefficient de lissage</t>
  </si>
  <si>
    <t>Borne de lissage</t>
  </si>
  <si>
    <t>Source et commentaire</t>
  </si>
  <si>
    <t>CGI art. 1609 nonies G, version en vigueur depuis le 01/01/2024 (Legifrance) ; BOFiP BOI-RFPI-TPVIE-20. Barème par tranches, avec un terme de lissage sur les cinq tranches d'entrée. Assiette : la plus-value imposable à l'impôt sur le revenu, après abattement pour durée de détention. Les terrains à bâtir sont hors du champ.</t>
  </si>
  <si>
    <t>Taxe = taux multiplié par la plus-value, moins le coefficient multiplié par l'écart à la borne. Un coefficient nul désigne une tranche sans lissage.</t>
  </si>
  <si>
    <t xml:space="preserve">  EXONÉRATIONS TESTÉES PAR LE CLASSEUR, DANS L'ORDRE OÙ ELLES SONT EXAMINÉES</t>
  </si>
  <si>
    <t>Texte affiché dans l'onglet Net vendeur</t>
  </si>
  <si>
    <t>Ordre</t>
  </si>
  <si>
    <t>Article du code général des impôts</t>
  </si>
  <si>
    <t>Effet</t>
  </si>
  <si>
    <t>Condition testée par le classeur</t>
  </si>
  <si>
    <t>Exonération totale : résidence principale au jour de la vente</t>
  </si>
  <si>
    <t>CGI art. 150 U, II-1°</t>
  </si>
  <si>
    <t>Exonération totale</t>
  </si>
  <si>
    <t>Réponse Oui à la question « Résidence principale ». Le logement doit être votre habitation habituelle au jour de la vente, ou avoir été libéré depuis un délai normal de vente. Les dépendances immédiates et nécessaires suivent le même sort.</t>
  </si>
  <si>
    <t>Exonération totale : cession à un organisme de logement social</t>
  </si>
  <si>
    <t>CGI art. 150 U, II-7° et 8°</t>
  </si>
  <si>
    <t>Réponse Oui à la question correspondante. Dispositif prorogé jusqu'au 31/12/2027 (service-public.gouv.fr, fiche F10864).</t>
  </si>
  <si>
    <t>Exonération totale : première cession d'un logement autre que la résidence principale</t>
  </si>
  <si>
    <t>CGI art. 150 U, II-1° bis</t>
  </si>
  <si>
    <t>Réponse Oui. Trois conditions cumulatives : ne pas avoir été propriétaire de sa résidence principale au cours des quatre années précédentes, remployer le prix dans l'achat ou la construction de sa résidence principale dans les vingt-quatre mois, et n'avoir jamais utilisé cette exonération.</t>
  </si>
  <si>
    <t>Exonération totale : prix de cession sous le seuil des petites cessions</t>
  </si>
  <si>
    <t>CGI art. 150 U, II-6°</t>
  </si>
  <si>
    <t>Prix affiché inférieur ou égal au seuil des petites cessions du bloc des barèmes. Le seuil s'apprécie bien par bien et par vendeur.</t>
  </si>
  <si>
    <t>Exonération totale : plus de trente ans de détention</t>
  </si>
  <si>
    <t>CGI art. 150 VC et CSS art. L136-7</t>
  </si>
  <si>
    <t>Abattement de 100 % à l'impôt sur le revenu et de 100 % aux prélèvements sociaux dans la table ci-dessus.</t>
  </si>
  <si>
    <t>Exonération d'impôt sur le revenu seulement : plus de vingt-deux ans de détention</t>
  </si>
  <si>
    <t>CGI art. 150 VC</t>
  </si>
  <si>
    <t>Exonération partielle</t>
  </si>
  <si>
    <t>Abattement de 100 % à l'impôt sur le revenu, mais inférieur à 100 % aux prélèvements sociaux : ces derniers restent dus, et la surtaxe ne s'applique plus, son assiette étant nulle.</t>
  </si>
  <si>
    <t>Aucune exonération : la plus-value est imposable</t>
  </si>
  <si>
    <t>Aucune</t>
  </si>
  <si>
    <t>Aucune des conditions ci-dessus n'est remplie.</t>
  </si>
  <si>
    <t xml:space="preserve">  REPÈRES DE MARCHÉ ET DE DÉCISION COMMERCIALE (POINTS DE DÉPART, À RECALER)</t>
  </si>
  <si>
    <t>Honoraires d'agence TTC, bas de fourchette</t>
  </si>
  <si>
    <t>Annuelle</t>
  </si>
  <si>
    <t>Les gros montants se négocient : le taux baisse quand le prix monte.</t>
  </si>
  <si>
    <t>Honoraires d'agence TTC, haut de fourchette</t>
  </si>
  <si>
    <t>Mêmes sources : petits montants, secteurs ruraux, mandats simples.</t>
  </si>
  <si>
    <t>Le barème doit être affiché en vitrine et sur le site, et le mandat indique qui paie.</t>
  </si>
  <si>
    <t>Dossier de diagnostic technique, bas de fourchette</t>
  </si>
  <si>
    <t>Studio ou T2 récent en copropriété.</t>
  </si>
  <si>
    <t>Dossier de diagnostic technique, haut de fourchette</t>
  </si>
  <si>
    <t>Mêmes sources.</t>
  </si>
  <si>
    <t>Maison ancienne : amiante avant juillet 1997, plomb avant 1949, électricité et gaz de plus de quinze ans, termites, assainissement, audit énergétique pour les classes E, F et G.</t>
  </si>
  <si>
    <t>Mainlevée d'hypothèque et état daté, bas de fourchette</t>
  </si>
  <si>
    <t>Petit capital restant dû, pas de copropriété.</t>
  </si>
  <si>
    <t>Mainlevée d'hypothèque et état daté, haut de fourchette</t>
  </si>
  <si>
    <t>Capital élevé, copropriété, ou privilège de prêteur de deniers à radier.</t>
  </si>
  <si>
    <t>Plancher de plausibilité d'un taux saisi</t>
  </si>
  <si>
    <t>Convention CorpusImmo, commune aux matrices qui saisissent des taux.</t>
  </si>
  <si>
    <t>Un taux compris entre 0 et 0,10 % signale presque toujours une saisie en fraction : 0,045 tapé pour 4,5 %. Le contrôle de l'onglet passe alors au rouge.</t>
  </si>
  <si>
    <t>Note maximale de la grille de qualification</t>
  </si>
  <si>
    <t>Choix de l'auteur : échelle de 0 à 5, une note par critère.</t>
  </si>
  <si>
    <t>Sert au maximum atteignable de la grille. Une note supérieure est refusée à la saisie et signalée par le contrôle.</t>
  </si>
  <si>
    <t>Poids maximal d'un critère de la grille</t>
  </si>
  <si>
    <t>Choix de l'auteur : les poids livrés vont de 1 à 3.</t>
  </si>
  <si>
    <t>Recalez les poids sur vos douze derniers mandats, une fois pour toutes.</t>
  </si>
  <si>
    <t>Écart de prix éliminatoire (prix espéré contre estimation)</t>
  </si>
  <si>
    <t>Repère commercial CorpusImmo, millésime 2026 : au-delà de cet écart, le mandat ne se vend pas au prix demandé, quel que soit le reste.</t>
  </si>
  <si>
    <t>À recaler sur vos mandats</t>
  </si>
  <si>
    <t>Au-delà, le verdict devient éliminatoire quel que soit le score.</t>
  </si>
  <si>
    <t>Date d'acte la plus ancienne admise</t>
  </si>
  <si>
    <t>Convention CorpusImmo : borne de plausibilité des deux dates d'acte, reprise à l'identique dans la validation de saisie et dans le contrôle.</t>
  </si>
  <si>
    <t>Une année tapée à la place d'une date (2013) est un vrai numéro de série Excel, qui désigne un jour de 1905 : cette borne l'attrape. Un acte antérieur donne de toute façon une exonération totale par la durée.</t>
  </si>
  <si>
    <t>Date d'acte la plus lointaine admise</t>
  </si>
  <si>
    <t>Même convention.</t>
  </si>
  <si>
    <t>Attrape une date de vente saisie de travers, par exemple un millésime à quatre chiffres tapé dans le mauvais ordre.</t>
  </si>
  <si>
    <t xml:space="preserve">  VERDICTS DE LA GRILLE DE QUALIFICATION DU MANDAT</t>
  </si>
  <si>
    <t>Verdict affiché</t>
  </si>
  <si>
    <t>Score minimal</t>
  </si>
  <si>
    <t>Passez votre chemin : ce mandat coûtera plus qu'il ne rapporte</t>
  </si>
  <si>
    <t>En dessous du seuil suivant. Le temps passé ne sera pas payé.</t>
  </si>
  <si>
    <t>Mandat à risque : exigez l'exclusivité et une baisse de prix datée</t>
  </si>
  <si>
    <t>Prenable si vous obtenez les deux contreparties, écrites dans le mandat.</t>
  </si>
  <si>
    <t>Prenez-le, mais négociez le prix avant de signer</t>
  </si>
  <si>
    <t>Le dossier tient, le prix est le point faible.</t>
  </si>
  <si>
    <t>Prenez-le, et en exclusivité</t>
  </si>
  <si>
    <t>Vendeur décidé, prix tenable, dossier prêt.</t>
  </si>
  <si>
    <t>Éliminatoire : reprenez le prix avant de parler de mandat</t>
  </si>
  <si>
    <t>S'affiche quel que soit le score dès que l'écart de prix dépasse le repère éliminatoire ci-dessus.</t>
  </si>
  <si>
    <t xml:space="preserve">  LISTES DÉROULANTES DE L'ONGLET NET VENDEUR</t>
  </si>
  <si>
    <t>Oui / Non</t>
  </si>
  <si>
    <t>Mode d'acquisition</t>
  </si>
  <si>
    <t>Nature du bien</t>
  </si>
  <si>
    <t>Oui</t>
  </si>
  <si>
    <t>Vendeur</t>
  </si>
  <si>
    <t>Succession</t>
  </si>
  <si>
    <t>Frais réels justifiés</t>
  </si>
  <si>
    <t>Terrain à bâtir</t>
  </si>
  <si>
    <t>Démembrement de propriété</t>
  </si>
  <si>
    <t>Donation</t>
  </si>
  <si>
    <t>Aucun travaux</t>
  </si>
  <si>
    <t>Bien détenu par une société</t>
  </si>
  <si>
    <t>Bien situé à l'étranger</t>
  </si>
  <si>
    <t>Cession de parts de société</t>
  </si>
  <si>
    <t>Dernière vérification des paramètres</t>
  </si>
  <si>
    <t>Aucun de ces taux n'est recopié dans une formule : toutes pointent ici.</t>
  </si>
  <si>
    <t>Les libellés des listes ci-dessus sont fixes : les formules comparent leur texte. Les modifier casse le classeur ; les valeurs violettes, elles, se mettent à jour librement.</t>
  </si>
  <si>
    <t>Vérifiez les barèmes chaque janvier, après la loi de finances et la loi de financement de la sécurité sociale, puis mettez à jour la date ci-dessus : toutes les mentions « Vérifié le » et « Consulté le » de cet onglet la lisent.</t>
  </si>
  <si>
    <t>Méthode de calcul</t>
  </si>
  <si>
    <t>Le net vendeur poste par poste, les conventions retenues et ce qu'elles coûtent, ce que le modèle ne fait pas, les sources.</t>
  </si>
  <si>
    <t xml:space="preserve">  CONVENTIONS RETENUES, ET CE QU'ELLES COÛTENT</t>
  </si>
  <si>
    <t>Honoraires et prix net vendeur</t>
  </si>
  <si>
    <t>Honoraires à la charge de l'acquéreur : le prix affiché contient les honoraires, et le prix net vendeur s'obtient en divisant par un plus le taux, pas en soustrayant le taux du prix, erreur qui décale le calcul de plusieurs centaines d'euros. Honoraires à la charge du vendeur : la règle d'affichage veut que le prix annoncé ne les contienne pas, et le taux porte alors sur le prix de vente. Le classeur change donc de base selon la charge choisie, et les deux formules sont écrites en clair dans la colonne d'aide. Conséquence pour l'acheteur, qui n'est pas calculée ici : des honoraires à la charge du vendeur entrent dans l'assiette des droits de mutation, des honoraires à la charge de l'acquéreur en sont exclus si le mandat et l'acte le stipulent.</t>
  </si>
  <si>
    <t>Base de la plus-value</t>
  </si>
  <si>
    <t>La plus-value se calcule sur le prix net vendeur, jamais sur le prix affiché. Quand les honoraires sont à la charge de l'acquéreur, ils ne font pas partie du prix de cession ; quand ils sont à la charge du vendeur, ils s'en retranchent comme frais de cession sur justification (CGI art. 150 VA). Le résultat est le même dans les deux cas, et c'est celui que retient le classeur.</t>
  </si>
  <si>
    <t>La durée est comptée par périodes de douze mois depuis la date d'acquisition jusqu'à la date de vente, et non en années civiles. Le classeur soustrait les millésimes puis retire une année tant que la date anniversaire n'est pas atteinte. Une vente la veille de l'anniversaire perd une année entière d'abattement : sur l'exemple livré, cela vaut 571 € d'impôt. Convention sur le 29 février : l'anniversaire est ramené au 28 février dans une année non bissextile, ce qui est l'usage des tableurs et sans effet en pratique. Pour une succession, la durée part de la date du décès ; pour une donation, de la date de l'acte.</t>
  </si>
  <si>
    <t>Abattements pour durée de détention</t>
  </si>
  <si>
    <t>Deux barèmes différents, lus dans la table de Paramètres : 6 % par année de la sixième à la vingt et unième puis 4 % la vingt-deuxième pour l'impôt sur le revenu ; 1,65 % par année de la sixième à la vingt et unième, 1,60 % la vingt-deuxième, puis 9 % par année de la vingt-troisième à la trentième pour les prélèvements sociaux. Aucune formule du classeur ne recalcule un palier : elles lisent toutes la table. Le décalage de huit ans entre les deux exonérations surprend tous les vendeurs et mérite d'être expliqué en rendez-vous.</t>
  </si>
  <si>
    <t>Prix d'acquisition, plus les frais d'acquisition retenus, plus les travaux retenus. Les frais sont au forfait de 7,5 % du prix, réservé aux acquisitions à titre onéreux, ou au réel justifié : le classeur applique votre choix, il ne prend pas automatiquement le plus favorable, parce que le forfait et le réel ne se justifient pas de la même façon devant l'administration. Les travaux sont au forfait de 15 % du prix, réservé aux immeubles bâtis détenus depuis plus de cinq ans et apprécié de date à date, ou au réel sur factures d'entreprise, ou nuls. Un même euro de travaux ne peut pas servir deux fois : ceux déjà déduits d'un revenu foncier sont exclus du réel.</t>
  </si>
  <si>
    <t>Impôt et surtaxe</t>
  </si>
  <si>
    <t>19 % d'impôt sur le revenu sur la plus-value après abattement d'impôt sur le revenu, 17,2 % de prélèvements sociaux sur la plus-value après abattement de prélèvements sociaux : deux bases différentes, deux taux différents. S'y ajoute la taxe sur les plus-values immobilières élevées dès que la plus-value imposable à l'impôt sur le revenu dépasse le premier seuil du barème de Paramètres : de 2 % à 6 %, avec un terme de lissage sur les tranches d'entrée, et un ressaut à l'euro près au franchissement du seuil. Les terrains à bâtir en sont exclus. Le classeur applique le barème par tranches, il ne l'approxime pas.</t>
  </si>
  <si>
    <t>Exonérations</t>
  </si>
  <si>
    <t>Cinq exonérations totales sont testées, dans l'ordre de la table de Paramètres : résidence principale, cession à un organisme de logement social, première cession d'un logement autre que la résidence principale, prix de cession sous le seuil des petites cessions, détention de plus de trente ans. Une sixième situation, la détention de plus de vingt-deux ans, exonère de l'impôt sur le revenu mais pas des prélèvements sociaux. L'exonération retenue est toujours écrite en toutes lettres dans l'onglet Net vendeur : un impôt nul sans explication est le pire des résultats. Le seuil des petites cessions est comparé au prix affiché, ce qui est l'hypothèse la moins favorable au vendeur quand les honoraires sont à sa charge.</t>
  </si>
  <si>
    <t>Indemnité de remboursement anticipé</t>
  </si>
  <si>
    <t>Le classeur calcule le plafond légal du code de la consommation, le plus faible entre un semestre d'intérêts au taux du prêt sur le capital remboursé et une part du capital restant dû, et compare l'indemnité réclamée à ce plafond. Le taux du prêt est facultatif : sans lui, seul le plafond en pourcentage du capital est vérifié, ce qui est moins strict. Le remboursement anticipé est en outre sans indemnité en cas de vente liée à un changement de lieu d'activité professionnelle, à un décès ou à une cessation forcée d'activité.</t>
  </si>
  <si>
    <t>Ce que mesurent les deux ratios</t>
  </si>
  <si>
    <t>Le premier rapporte le prix net vendeur au prix affiché : c'est le coût de l'intermédiation, et rien d'autre. Le second rapporte le net après impôt au prix net vendeur : c'est le coût fiscal. Le remboursement du prêt n'entre dans aucun des deux, parce que rendre à la banque un capital emprunté n'est pas un coût de la vente, c'est l'extinction d'une dette. Rapporter le net en poche au prix affiché n'aurait aucun sens : le vendeur croirait perdre la moitié de son prix, alors que l'essentiel de l'écart est le remboursement de son propre emprunt.</t>
  </si>
  <si>
    <t>Taux, dates et arrondis</t>
  </si>
  <si>
    <t>Tous les taux sont des fractions affichées en pourcentage : tapez 4,5 dans une cellule de taux, elle affiche 4,50 % et contient 0,045. Ne convertissez jamais vous-même : 0,045 tapé dans cette cellule vaut 0,05 %, et les contrôles des deux onglets passent au rouge grâce au plancher de plausibilité de Paramètres (Paramètres!C82). Aucune formule ne divise par cent. Les dates sont de vraies dates Excel. Les montants sont affichés à l'euro ou au centime selon les lignes, mais calculés sans arrondi intermédiaire : le total peut différer d'un centime de la somme des lignes affichées.</t>
  </si>
  <si>
    <t>Quand le classeur n'affiche rien</t>
  </si>
  <si>
    <t>Les contrôles de chaque bloc (Net vendeur!C12, Net vendeur!C21, Net vendeur!C34, Net vendeur!C42) alimentent le contrôle général Net vendeur!C65. Tant que l'un d'eux est rouge, tout le calcul de plus-value, l'impôt et le net en poche restent vides. C'est volontaire : un impôt calculé sur une saisie fausse ou sur une durée par défaut est plus dangereux qu'une cellule vide, parce que personne ne le vérifie.</t>
  </si>
  <si>
    <t>Millésime des chiffres cités</t>
  </si>
  <si>
    <t>Les barèmes cités dans cet onglet et dans le Mode d'emploi sont ceux du millésime 2026 et vivent tous dans Paramètres. Ils sont recopiés ici en toutes lettres pour que le texte se lise sans formule : à chaque mise à jour d'une valeur de Paramètres, relisez les lignes qui la citent, ici comme dans le Mode d'emploi. La date de la dernière vérification est en Paramètres!C105.</t>
  </si>
  <si>
    <t xml:space="preserve">  CE QUE CE MODÈLE NE FAIT PAS</t>
  </si>
  <si>
    <t>•  Il ne remplace pas le calcul du notaire, qui est le seul à faire foi. Il sert à annoncer un ordre de grandeur en rendez-vous et à ne pas signer un mandat sur un net vendeur faux.</t>
  </si>
  <si>
    <t>•  Il ne traite ni le démembrement de propriété, ni les biens détenus par une société, ni les biens situés à l'étranger, ni les cessions de parts de sociétés immobilières. Ces quatre cas se déclarent dans l'onglet Net vendeur et déclenchent un avertissement au lieu d'un chiffre.</t>
  </si>
  <si>
    <t>•  Il ne calcule pas le cas du non-résident, dont les prélèvements sociaux peuvent être limités au prélèvement de solidarité de 7,5 % s'il relève d'un régime de sécurité sociale de l'Union européenne, de l'Espace économique européen ou de Suisse.</t>
  </si>
  <si>
    <t>•  Il ne réintègre pas les amortissements déduits en location meublée non professionnelle, qui viennent en diminution du prix d'acquisition pour les cessions depuis le 15 février 2025 (loi n° 2025-127, CGI art. 150 VB). Un bien loué meublé au réel demande donc un calcul complémentaire.</t>
  </si>
  <si>
    <t>•  Il ne modélise ni l'abattement exceptionnel en zones tendues (CGI art. 150 VE), ni les exonérations liées à l'expropriation, au remembrement, aux retraités et invalides de condition modeste, ni la cession d'un droit de surélévation.</t>
  </si>
  <si>
    <t>•  Il ne vérifie pas les conditions de fond des exonérations : il applique la réponse que vous lui donnez. Une réponse Oui à la légère produit un net en poche trop élevé de tout l'impôt.</t>
  </si>
  <si>
    <t>•  Il ne calcule ni la taxe sur les terrains devenus constructibles, ni les frais de cession autres que ceux que vous saisissez, ni la régularisation du prorata de taxe foncière, qui joue en faveur du vendeur.</t>
  </si>
  <si>
    <t>•  La grille de qualification est un outil de décision commerciale, pas une évaluation du bien. Ses poids et ses seuils sont des repères à recaler sur vos propres mandats.</t>
  </si>
  <si>
    <t xml:space="preserve">  POINTS TRANCHÉS DANS LE SENS PRUDENT</t>
  </si>
  <si>
    <t>Seuil des petites cessions</t>
  </si>
  <si>
    <t>Le seuil de 15 000 € porte sur le prix de cession. Le classeur le compare au prix affiché, plus élevé que le prix net vendeur quand les honoraires sont à la charge de l'acquéreur : l'exonération s'applique donc un peu moins souvent que la lettre du texte ne le permettrait, et l'impôt annoncé n'est jamais sous-estimé.</t>
  </si>
  <si>
    <t>Forfait travaux à cinq ans jour pour jour</t>
  </si>
  <si>
    <t>La condition est « plus de cinq ans ». À cinq ans jour pour jour, le classeur refuse le forfait ; il l'accorde le lendemain. C'est l'hypothèse la plus lourde à la date pivot.</t>
  </si>
  <si>
    <t>Prélèvements sociaux à 17,2 %</t>
  </si>
  <si>
    <t>La loi de financement de la sécurité sociale pour 2026 a porté la contribution sociale généralisée à 10,6 % sur certains revenus du patrimoine, mais les plus-values immobilières des particuliers restent à 17,2 %, ce que confirment la fiche officielle de service-public.gouv.fr et les commentaires publiés. Si un texte venait à les aligner, la ligne de Paramètres est la seule à changer.</t>
  </si>
  <si>
    <t>Surtaxe maintenue</t>
  </si>
  <si>
    <t>Une suppression de la taxe sur les plus-values élevées a été discutée lors des débats budgétaires pour 2026 sans être retenue dans le texte promulgué : l'article 1609 nonies G est toujours en vigueur dans sa version du 1er janvier 2024. Le classeur l'applique. En cas de suppression, mettez les taux du barème de Paramètres à zéro.</t>
  </si>
  <si>
    <t>Frais d'acquisition, forfait ou réel</t>
  </si>
  <si>
    <t>Le classeur applique l'option que vous choisissez et ne retient pas d'office la plus favorable : comparez vous-même le forfait au montant réel justifié, la ligne des frais retenus vous donne le résultat de chaque choix.</t>
  </si>
  <si>
    <t xml:space="preserve">  SOURCES</t>
  </si>
  <si>
    <t>Taxe sur les plus-values élevées</t>
  </si>
  <si>
    <t>Exonérations de plus-value</t>
  </si>
  <si>
    <t>CGI art. 150 U, II ; BOFiP BOI-RFPI-PVI-10-40 ; service-public.gouv.fr, fiche F10864, mise à jour du 15/04/2026 (résidence principale, première cession, seuil de 15 000 €, organisme de logement social prorogé jusqu'au 31/12/2027, durées de 22 et 30 ans).</t>
  </si>
  <si>
    <t>Prix d'acquisition à titre gratuit</t>
  </si>
  <si>
    <t>CGI art. 150 VB, I ; BOFiP BOI-RFPI-PVI-20-10-20-10 : la valeur retenue est celle qui a servi de base aux droits de mutation à titre gratuit, majorée des seuls frais réels justifiés.</t>
  </si>
  <si>
    <t>Honoraires d'agence et affichage</t>
  </si>
  <si>
    <t>Loi n° 70-9 du 2 janvier 1970 dite Hoguet ; arrêté du 10 janvier 2017 (JO du 18/01/2017) : barème libre, affiché toutes taxes comprises, en pourcentage de la valeur du bien hors honoraires, avec indication de qui les paie.</t>
  </si>
  <si>
    <t>Droits de mutation et charge des honoraires</t>
  </si>
  <si>
    <t>BOFiP BOI-ENR-DMTOI-10-10-20-20 : des honoraires à la charge de l'acquéreur sont exclus de l'assiette des droits de mutation si le mandat et l'acte le stipulent.</t>
  </si>
  <si>
    <t>Code de la consommation art. L313-47, L313-48 et R313-25, version en vigueur au 01/07/2016 : plafond et cas d'exonération.</t>
  </si>
  <si>
    <t>Code de la construction et de l'habitation art. L271-4 : contenu du dossier annexé à la promesse ou à l'acte.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</si>
</sst>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 €&quot;"/>
    <numFmt numFmtId="165" formatCode="#,##0.00&quot; €&quot;"/>
    <numFmt numFmtId="167" formatCode="dd/mm/yyyy;@"/>
    <numFmt numFmtId="168" formatCode="0&quot; ans&quot;"/>
    <numFmt numFmtId="169" formatCode="0&quot; mois&quot;"/>
  </numFmts>
  <fonts count="12" x14ac:knownFonts="1">
    <font>
      <sz val="11"/>
      <color theme="1"/>
      <name val="Calibri"/>
      <family val="2"/>
      <scheme val="minor"/>
    </font>
    <font>
      <b/>
      <sz val="10"/>
      <color rgb="FFFFFFFF"/>
      <name val="Calibri"/>
    </font>
    <font>
      <b/>
      <sz val="16"/>
      <color rgb="FF2F2650"/>
      <name val="Calibri"/>
    </font>
    <font>
      <sz val="10"/>
      <color rgb="FF6B7280"/>
      <name val="Calibri"/>
    </font>
    <font>
      <sz val="9"/>
      <color rgb="FF6B7280"/>
      <name val="Calibri"/>
    </font>
    <font>
      <sz val="10"/>
      <color rgb="FF1F2937"/>
      <name val="Calibri"/>
    </font>
    <font>
      <sz val="10"/>
      <color rgb="FF2F2650"/>
      <name val="Calibri"/>
    </font>
    <font>
      <b/>
      <sz val="10"/>
      <color rgb="FF2F2650"/>
      <name val="Calibri"/>
    </font>
    <font>
      <b/>
      <sz val="14"/>
      <color rgb="FF2F2650"/>
      <name val="Calibri"/>
    </font>
    <font>
      <b/>
      <sz val="10"/>
      <color rgb="FF991B1B"/>
      <name val="Calibri"/>
    </font>
    <font>
      <i/>
      <sz val="8"/>
      <color rgb="FF6B7280"/>
      <name val="Calibri"/>
    </font>
    <font>
      <b/>
      <sz val="12"/>
      <color rgb="FF2F2650"/>
      <name val="Calibri"/>
    </font>
  </fonts>
  <fills count="6">
    <fill>
      <patternFill patternType="none"/>
    </fill>
    <fill>
      <patternFill patternType="gray125"/>
    </fill>
    <fill>
      <patternFill patternType="solid">
        <fgColor rgb="FF4B3D7C"/>
      </patternFill>
    </fill>
    <fill>
      <patternFill patternType="solid">
        <fgColor rgb="FFF1EEF8"/>
      </patternFill>
    </fill>
    <fill>
      <patternFill patternType="solid">
        <fgColor rgb="FFF8F6FC"/>
      </patternFill>
    </fill>
    <fill>
      <patternFill patternType="solid">
        <fgColor rgb="FFFFFFFF"/>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5">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64" fontId="6" fillId="3" borderId="1" xfId="0" applyNumberFormat="1" applyFont="1" applyFill="1" applyBorder="1" applyAlignment="1" applyProtection="1">
      <alignment horizontal="right" vertical="center"/>
      <protection locked="0"/>
    </xf>
    <xf numFmtId="10" fontId="6" fillId="3" borderId="1" xfId="0" applyNumberFormat="1" applyFont="1" applyFill="1" applyBorder="1" applyAlignment="1" applyProtection="1">
      <alignment horizontal="right" vertical="center"/>
      <protection locked="0"/>
    </xf>
    <xf numFmtId="49" fontId="6" fillId="3" borderId="1" xfId="0" applyNumberFormat="1" applyFont="1" applyFill="1" applyBorder="1" applyAlignment="1" applyProtection="1">
      <alignment horizontal="left" vertical="center"/>
      <protection locked="0"/>
    </xf>
    <xf numFmtId="0" fontId="7" fillId="0" borderId="0" xfId="0" applyFont="1" applyAlignment="1">
      <alignment horizontal="left" vertical="center"/>
    </xf>
    <xf numFmtId="165" fontId="7" fillId="4" borderId="1" xfId="0" applyNumberFormat="1" applyFont="1" applyFill="1" applyBorder="1" applyAlignment="1">
      <alignment horizontal="right" vertical="center"/>
    </xf>
    <xf numFmtId="0" fontId="7" fillId="0" borderId="1" xfId="0" applyFont="1" applyBorder="1" applyAlignment="1">
      <alignment horizontal="center" vertical="center"/>
    </xf>
    <xf numFmtId="165" fontId="5" fillId="5" borderId="0" xfId="0" applyNumberFormat="1" applyFont="1" applyFill="1" applyAlignment="1">
      <alignment horizontal="right" vertical="center"/>
    </xf>
    <xf numFmtId="167" fontId="6" fillId="3" borderId="1" xfId="0" applyNumberFormat="1" applyFont="1" applyFill="1" applyBorder="1" applyAlignment="1" applyProtection="1">
      <alignment horizontal="right" vertical="center"/>
      <protection locked="0"/>
    </xf>
    <xf numFmtId="168" fontId="5" fillId="5" borderId="0" xfId="0" applyNumberFormat="1" applyFont="1" applyFill="1" applyAlignment="1">
      <alignment horizontal="right" vertical="center"/>
    </xf>
    <xf numFmtId="49" fontId="9" fillId="5" borderId="0" xfId="0" applyNumberFormat="1" applyFont="1" applyFill="1" applyAlignment="1">
      <alignment horizontal="left" vertical="center"/>
    </xf>
    <xf numFmtId="164" fontId="5" fillId="5" borderId="0" xfId="0" applyNumberFormat="1" applyFont="1" applyFill="1" applyAlignment="1">
      <alignment horizontal="right" vertical="center"/>
    </xf>
    <xf numFmtId="10" fontId="5" fillId="5" borderId="0" xfId="0" applyNumberFormat="1" applyFont="1" applyFill="1" applyAlignment="1">
      <alignment horizontal="right" vertical="center"/>
    </xf>
    <xf numFmtId="49" fontId="5" fillId="5" borderId="0" xfId="0" applyNumberFormat="1" applyFont="1" applyFill="1" applyAlignment="1">
      <alignment horizontal="left" vertical="center"/>
    </xf>
    <xf numFmtId="165" fontId="8" fillId="4" borderId="1" xfId="0" applyNumberFormat="1" applyFont="1" applyFill="1" applyBorder="1" applyAlignment="1">
      <alignment horizontal="right" vertical="center"/>
    </xf>
    <xf numFmtId="0" fontId="1" fillId="2" borderId="0" xfId="0" applyFont="1" applyFill="1" applyAlignment="1">
      <alignment horizontal="center" vertical="center" wrapText="1"/>
    </xf>
    <xf numFmtId="3" fontId="6" fillId="3" borderId="1" xfId="0" applyNumberFormat="1" applyFont="1" applyFill="1" applyBorder="1" applyAlignment="1" applyProtection="1">
      <alignment horizontal="right" vertical="center"/>
      <protection locked="0"/>
    </xf>
    <xf numFmtId="3" fontId="5" fillId="5" borderId="0" xfId="0" applyNumberFormat="1" applyFont="1" applyFill="1" applyAlignment="1">
      <alignment horizontal="right" vertical="center"/>
    </xf>
    <xf numFmtId="0" fontId="4" fillId="0" borderId="0" xfId="0" applyFont="1" applyAlignment="1">
      <alignment horizontal="left" vertical="top" wrapText="1"/>
    </xf>
    <xf numFmtId="10" fontId="8" fillId="4" borderId="1" xfId="0" applyNumberFormat="1" applyFont="1" applyFill="1" applyBorder="1" applyAlignment="1">
      <alignment horizontal="right" vertical="center"/>
    </xf>
    <xf numFmtId="49" fontId="7" fillId="4" borderId="1" xfId="0" applyNumberFormat="1" applyFont="1" applyFill="1" applyBorder="1" applyAlignment="1">
      <alignment horizontal="left" vertical="center"/>
    </xf>
    <xf numFmtId="0" fontId="5" fillId="0" borderId="0" xfId="0" applyFont="1"/>
    <xf numFmtId="168" fontId="6" fillId="3" borderId="1" xfId="0" applyNumberFormat="1" applyFont="1" applyFill="1" applyBorder="1" applyAlignment="1" applyProtection="1">
      <alignment horizontal="right" vertical="center"/>
      <protection locked="0"/>
    </xf>
    <xf numFmtId="169" fontId="6" fillId="3" borderId="1" xfId="0" applyNumberFormat="1" applyFont="1" applyFill="1" applyBorder="1" applyAlignment="1" applyProtection="1">
      <alignment horizontal="right" vertical="center"/>
      <protection locked="0"/>
    </xf>
    <xf numFmtId="168" fontId="5" fillId="0" borderId="0" xfId="0" applyNumberFormat="1" applyFont="1" applyAlignment="1">
      <alignment horizontal="right" vertical="center"/>
    </xf>
    <xf numFmtId="2" fontId="6" fillId="3" borderId="1" xfId="0" applyNumberFormat="1" applyFont="1" applyFill="1" applyBorder="1" applyAlignment="1" applyProtection="1">
      <alignment horizontal="right" vertical="center"/>
      <protection locked="0"/>
    </xf>
    <xf numFmtId="0" fontId="5" fillId="0" borderId="0" xfId="0" applyFont="1" applyAlignment="1">
      <alignment horizontal="center" vertical="center"/>
    </xf>
    <xf numFmtId="0" fontId="5" fillId="0" borderId="2" xfId="0" applyFont="1" applyBorder="1" applyAlignment="1">
      <alignment horizontal="left" vertical="top" wrapText="1"/>
    </xf>
    <xf numFmtId="0" fontId="0" fillId="0" borderId="3" xfId="0" applyBorder="1"/>
    <xf numFmtId="0" fontId="5" fillId="0" borderId="0" xfId="0" applyFont="1" applyAlignment="1">
      <alignment horizontal="left" vertical="top" wrapText="1"/>
    </xf>
    <xf numFmtId="0" fontId="0" fillId="0" borderId="0" xfId="0"/>
    <xf numFmtId="0" fontId="1" fillId="2" borderId="0" xfId="0" applyFont="1" applyFill="1" applyAlignment="1">
      <alignment horizontal="left" vertical="center" wrapText="1"/>
    </xf>
    <xf numFmtId="0" fontId="10" fillId="0" borderId="0" xfId="0" applyFont="1" applyAlignment="1">
      <alignment horizontal="left" vertical="top" wrapText="1"/>
    </xf>
    <xf numFmtId="0" fontId="7" fillId="0" borderId="0" xfId="0" applyFont="1" applyAlignment="1">
      <alignment horizontal="left" vertical="top" wrapText="1"/>
    </xf>
    <xf numFmtId="0" fontId="11" fillId="0" borderId="0" xfId="0" applyFont="1" applyAlignment="1">
      <alignment horizontal="center" vertical="center" wrapText="1"/>
    </xf>
  </cellXfs>
  <cellStyles count="1">
    <cellStyle name="Normal" xfId="0" builtinId="0"/>
  </cellStyles>
  <dxfs count="14">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2.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3.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4.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5.xml.rels><?xml version="1.0" encoding="UTF-8" standalone="yes"?><Relationships xmlns="http://schemas.openxmlformats.org/package/2006/relationships"><Relationship Id="rId1" Type="http://schemas.openxmlformats.org/officeDocument/2006/relationships/image" Target="../media/logo-corpusimmo.png"/></Relationships>
</file>

<file path=xl/drawings/drawing1.xml><?xml version="1.0" encoding="utf-8"?>
<xdr:wsDr xmlns:xdr="http://schemas.openxmlformats.org/drawingml/2006/spreadsheetDrawing" xmlns:a="http://schemas.openxmlformats.org/drawingml/2006/main" xmlns:r="http://schemas.openxmlformats.org/officeDocument/2006/relationships">
  <xdr:absoluteAnchor>
    <xdr:pos x="10458450" y="311150"/>
    <xdr:ext cx="1685925" cy="419100"/>
    <xdr:pic>
      <xdr:nvPicPr>
        <xdr:cNvPr id="2" name="Logo CorpusImmo" descr="CorpusImmo, www.corpus.immo"/>
        <xdr:cNvPicPr>
          <a:picLocks noChangeAspect="1"/>
        </xdr:cNvPicPr>
      </xdr:nvPicPr>
      <xdr:blipFill>
        <a:blip r:embed="rId1"/>
        <a:stretch>
          <a:fillRect/>
        </a:stretch>
      </xdr:blipFill>
      <xdr:spPr>
        <a:xfrm>
          <a:off x="10458450" y="311150"/>
          <a:ext cx="1685925" cy="419100"/>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dr:absoluteAnchor>
    <xdr:pos x="10163175" y="311150"/>
    <xdr:ext cx="1685925" cy="419100"/>
    <xdr:pic>
      <xdr:nvPicPr>
        <xdr:cNvPr id="2" name="Logo CorpusImmo" descr="CorpusImmo, www.corpus.immo"/>
        <xdr:cNvPicPr>
          <a:picLocks noChangeAspect="1"/>
        </xdr:cNvPicPr>
      </xdr:nvPicPr>
      <xdr:blipFill>
        <a:blip r:embed="rId1"/>
        <a:stretch>
          <a:fillRect/>
        </a:stretch>
      </xdr:blipFill>
      <xdr:spPr>
        <a:xfrm>
          <a:off x="10163175" y="311150"/>
          <a:ext cx="1685925" cy="419100"/>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8658225" y="311150"/>
    <xdr:ext cx="1685925" cy="419100"/>
    <xdr:pic>
      <xdr:nvPicPr>
        <xdr:cNvPr id="2" name="Logo CorpusImmo" descr="CorpusImmo, www.corpus.immo"/>
        <xdr:cNvPicPr>
          <a:picLocks noChangeAspect="1"/>
        </xdr:cNvPicPr>
      </xdr:nvPicPr>
      <xdr:blipFill>
        <a:blip r:embed="rId1"/>
        <a:stretch>
          <a:fillRect/>
        </a:stretch>
      </xdr:blipFill>
      <xdr:spPr>
        <a:xfrm>
          <a:off x="8658225" y="311150"/>
          <a:ext cx="1685925" cy="419100"/>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absoluteAnchor>
    <xdr:pos x="16354425" y="311150"/>
    <xdr:ext cx="1685925" cy="419100"/>
    <xdr:pic>
      <xdr:nvPicPr>
        <xdr:cNvPr id="2" name="Logo CorpusImmo" descr="CorpusImmo, www.corpus.immo"/>
        <xdr:cNvPicPr>
          <a:picLocks noChangeAspect="1"/>
        </xdr:cNvPicPr>
      </xdr:nvPicPr>
      <xdr:blipFill>
        <a:blip r:embed="rId1"/>
        <a:stretch>
          <a:fillRect/>
        </a:stretch>
      </xdr:blipFill>
      <xdr:spPr>
        <a:xfrm>
          <a:off x="16354425" y="311150"/>
          <a:ext cx="1685925" cy="419100"/>
        </a:xfrm>
        <a:prstGeom prst="rect">
          <a:avLst/>
        </a:prstGeom>
      </xdr:spPr>
    </xdr:pic>
    <xdr:clientData/>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dr:absoluteAnchor>
    <xdr:pos x="8782050" y="311150"/>
    <xdr:ext cx="1685925" cy="419100"/>
    <xdr:pic>
      <xdr:nvPicPr>
        <xdr:cNvPr id="2" name="Logo CorpusImmo" descr="CorpusImmo, www.corpus.immo"/>
        <xdr:cNvPicPr>
          <a:picLocks noChangeAspect="1"/>
        </xdr:cNvPicPr>
      </xdr:nvPicPr>
      <xdr:blipFill>
        <a:blip r:embed="rId1"/>
        <a:stretch>
          <a:fillRect/>
        </a:stretch>
      </xdr:blipFill>
      <xdr:spPr>
        <a:xfrm>
          <a:off x="8782050" y="311150"/>
          <a:ext cx="1685925" cy="41910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9"/>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30" customHeight="1" x14ac:dyDescent="0.35">
      <c r="B7" s="39" t="s">
        <v>4</v>
      </c>
      <c r="C7" s="40"/>
      <c r="D7" s="40"/>
      <c r="E7" s="40"/>
    </row>
    <row r="8" spans="2:6" ht="43.5" customHeight="1" x14ac:dyDescent="0.35">
      <c r="B8" s="39" t="s">
        <v>5</v>
      </c>
      <c r="C8" s="40"/>
      <c r="D8" s="40"/>
      <c r="E8" s="40"/>
    </row>
    <row r="9" spans="2:6" ht="30" customHeight="1" x14ac:dyDescent="0.35">
      <c r="B9" s="39" t="s">
        <v>6</v>
      </c>
      <c r="C9" s="40"/>
      <c r="D9" s="40"/>
      <c r="E9" s="40"/>
    </row>
    <row r="10" spans="2:6" ht="18" customHeight="1" x14ac:dyDescent="0.35">
      <c r="B10" s="5" t="s">
        <v>7</v>
      </c>
      <c r="C10" s="41" t="s">
        <v>8</v>
      </c>
      <c r="D10" s="40"/>
      <c r="E10" s="40"/>
    </row>
    <row r="11" spans="2:6" ht="16.5" customHeight="1" x14ac:dyDescent="0.35">
      <c r="B11" s="6" t="s">
        <v>9</v>
      </c>
      <c r="C11" s="37" t="s">
        <v>10</v>
      </c>
      <c r="D11" s="38"/>
      <c r="E11" s="38"/>
    </row>
    <row r="12" spans="2:6" ht="16.5" customHeight="1" x14ac:dyDescent="0.35">
      <c r="B12" s="6" t="s">
        <v>11</v>
      </c>
      <c r="C12" s="37" t="s">
        <v>12</v>
      </c>
      <c r="D12" s="38"/>
      <c r="E12" s="38"/>
    </row>
    <row r="13" spans="2:6" ht="16.5" customHeight="1" x14ac:dyDescent="0.35">
      <c r="B13" s="6" t="s">
        <v>13</v>
      </c>
      <c r="C13" s="37" t="s">
        <v>14</v>
      </c>
      <c r="D13" s="38"/>
      <c r="E13" s="38"/>
    </row>
    <row r="14" spans="2:6" ht="16.5" customHeight="1" x14ac:dyDescent="0.35">
      <c r="B14" s="6" t="s">
        <v>15</v>
      </c>
      <c r="C14" s="37" t="s">
        <v>16</v>
      </c>
      <c r="D14" s="38"/>
      <c r="E14" s="38"/>
    </row>
    <row r="15" spans="2:6" ht="43.5" customHeight="1" x14ac:dyDescent="0.35">
      <c r="B15" s="39" t="s">
        <v>17</v>
      </c>
      <c r="C15" s="40"/>
      <c r="D15" s="40"/>
      <c r="E15" s="40"/>
    </row>
    <row r="16" spans="2:6" ht="70.5" customHeight="1" x14ac:dyDescent="0.35">
      <c r="B16" s="39" t="s">
        <v>18</v>
      </c>
      <c r="C16" s="40"/>
      <c r="D16" s="40"/>
      <c r="E16" s="40"/>
    </row>
    <row r="18" spans="2:5" ht="18" customHeight="1" x14ac:dyDescent="0.35">
      <c r="B18" s="1" t="s">
        <v>19</v>
      </c>
      <c r="C18" s="1"/>
      <c r="D18" s="1"/>
      <c r="E18" s="1"/>
    </row>
    <row r="19" spans="2:5" ht="28" customHeight="1" x14ac:dyDescent="0.35">
      <c r="B19" s="44" t="s">
        <v>20</v>
      </c>
      <c r="C19" s="40"/>
      <c r="D19" s="40"/>
      <c r="E19" s="40"/>
    </row>
    <row r="21" spans="2:5" ht="18" customHeight="1" x14ac:dyDescent="0.35">
      <c r="B21" s="1" t="s">
        <v>21</v>
      </c>
      <c r="C21" s="1"/>
      <c r="D21" s="1"/>
      <c r="E21" s="1"/>
    </row>
    <row r="22" spans="2:5" ht="18" customHeight="1" x14ac:dyDescent="0.35">
      <c r="B22" s="5" t="s">
        <v>22</v>
      </c>
      <c r="C22" s="5" t="s">
        <v>23</v>
      </c>
      <c r="D22" s="41" t="s">
        <v>24</v>
      </c>
      <c r="E22" s="40"/>
    </row>
    <row r="23" spans="2:5" ht="30" customHeight="1" x14ac:dyDescent="0.35">
      <c r="B23" s="6" t="s">
        <v>1</v>
      </c>
      <c r="C23" s="7" t="s">
        <v>25</v>
      </c>
      <c r="D23" s="37" t="s">
        <v>26</v>
      </c>
      <c r="E23" s="38"/>
    </row>
    <row r="24" spans="2:5" ht="84" customHeight="1" x14ac:dyDescent="0.35">
      <c r="B24" s="6" t="s">
        <v>27</v>
      </c>
      <c r="C24" s="7" t="s">
        <v>28</v>
      </c>
      <c r="D24" s="37" t="s">
        <v>29</v>
      </c>
      <c r="E24" s="38"/>
    </row>
    <row r="25" spans="2:5" ht="84" customHeight="1" x14ac:dyDescent="0.35">
      <c r="B25" s="6" t="s">
        <v>30</v>
      </c>
      <c r="C25" s="7" t="s">
        <v>31</v>
      </c>
      <c r="D25" s="37" t="s">
        <v>32</v>
      </c>
      <c r="E25" s="38"/>
    </row>
    <row r="26" spans="2:5" ht="43.5" customHeight="1" x14ac:dyDescent="0.35">
      <c r="B26" s="6" t="s">
        <v>33</v>
      </c>
      <c r="C26" s="7" t="s">
        <v>34</v>
      </c>
      <c r="D26" s="37" t="s">
        <v>35</v>
      </c>
      <c r="E26" s="38"/>
    </row>
    <row r="27" spans="2:5" ht="16.5" customHeight="1" x14ac:dyDescent="0.35">
      <c r="B27" s="6" t="s">
        <v>36</v>
      </c>
      <c r="C27" s="7" t="s">
        <v>37</v>
      </c>
      <c r="D27" s="37" t="s">
        <v>38</v>
      </c>
      <c r="E27" s="38"/>
    </row>
    <row r="29" spans="2:5" ht="18" customHeight="1" x14ac:dyDescent="0.35">
      <c r="B29" s="1" t="s">
        <v>39</v>
      </c>
      <c r="C29" s="1"/>
      <c r="D29" s="1"/>
      <c r="E29" s="1"/>
    </row>
    <row r="30" spans="2:5" ht="18" customHeight="1" x14ac:dyDescent="0.35">
      <c r="B30" s="5" t="s">
        <v>40</v>
      </c>
      <c r="C30" s="5" t="s">
        <v>41</v>
      </c>
      <c r="D30" s="41" t="s">
        <v>42</v>
      </c>
      <c r="E30" s="40"/>
    </row>
    <row r="31" spans="2:5" ht="16.5" customHeight="1" x14ac:dyDescent="0.35">
      <c r="B31" s="6" t="s">
        <v>43</v>
      </c>
      <c r="C31" s="7" t="s">
        <v>44</v>
      </c>
      <c r="D31" s="37" t="s">
        <v>45</v>
      </c>
      <c r="E31" s="38"/>
    </row>
    <row r="32" spans="2:5" ht="16.5" customHeight="1" x14ac:dyDescent="0.35">
      <c r="B32" s="6" t="s">
        <v>46</v>
      </c>
      <c r="C32" s="7" t="s">
        <v>47</v>
      </c>
      <c r="D32" s="37" t="s">
        <v>48</v>
      </c>
      <c r="E32" s="38"/>
    </row>
    <row r="33" spans="2:5" ht="30" customHeight="1" x14ac:dyDescent="0.35">
      <c r="B33" s="6" t="s">
        <v>49</v>
      </c>
      <c r="C33" s="7" t="s">
        <v>50</v>
      </c>
      <c r="D33" s="37" t="s">
        <v>51</v>
      </c>
      <c r="E33" s="38"/>
    </row>
    <row r="34" spans="2:5" ht="16.5" customHeight="1" x14ac:dyDescent="0.35">
      <c r="B34" s="6" t="s">
        <v>52</v>
      </c>
      <c r="C34" s="7" t="s">
        <v>53</v>
      </c>
      <c r="D34" s="37" t="s">
        <v>54</v>
      </c>
      <c r="E34" s="38"/>
    </row>
    <row r="35" spans="2:5" ht="16.5" customHeight="1" x14ac:dyDescent="0.35">
      <c r="B35" s="6" t="s">
        <v>55</v>
      </c>
      <c r="C35" s="7" t="s">
        <v>56</v>
      </c>
      <c r="D35" s="37" t="s">
        <v>57</v>
      </c>
      <c r="E35" s="38"/>
    </row>
    <row r="36" spans="2:5" ht="30" customHeight="1" x14ac:dyDescent="0.35">
      <c r="B36" s="6" t="s">
        <v>58</v>
      </c>
      <c r="C36" s="7" t="s">
        <v>59</v>
      </c>
      <c r="D36" s="37" t="s">
        <v>60</v>
      </c>
      <c r="E36" s="38"/>
    </row>
    <row r="38" spans="2:5" ht="18" customHeight="1" x14ac:dyDescent="0.35">
      <c r="B38" s="1" t="s">
        <v>61</v>
      </c>
      <c r="C38" s="1"/>
      <c r="D38" s="1"/>
      <c r="E38" s="1"/>
    </row>
    <row r="39" spans="2:5" ht="18" customHeight="1" x14ac:dyDescent="0.35">
      <c r="B39" s="5" t="s">
        <v>62</v>
      </c>
      <c r="C39" s="5" t="s">
        <v>63</v>
      </c>
      <c r="D39" s="5" t="s">
        <v>42</v>
      </c>
      <c r="E39" s="5" t="s">
        <v>64</v>
      </c>
    </row>
    <row r="40" spans="2:5" ht="151.5" customHeight="1" x14ac:dyDescent="0.35">
      <c r="B40" s="6" t="s">
        <v>65</v>
      </c>
      <c r="C40" s="7" t="s">
        <v>66</v>
      </c>
      <c r="D40" s="7" t="s">
        <v>67</v>
      </c>
      <c r="E40" s="7" t="s">
        <v>68</v>
      </c>
    </row>
    <row r="41" spans="2:5" ht="43.5" customHeight="1" x14ac:dyDescent="0.35">
      <c r="B41" s="6" t="s">
        <v>69</v>
      </c>
      <c r="C41" s="7" t="s">
        <v>70</v>
      </c>
      <c r="D41" s="7" t="s">
        <v>71</v>
      </c>
      <c r="E41" s="7" t="s">
        <v>72</v>
      </c>
    </row>
    <row r="42" spans="2:5" ht="70.5" customHeight="1" x14ac:dyDescent="0.35">
      <c r="B42" s="6" t="s">
        <v>73</v>
      </c>
      <c r="C42" s="7" t="s">
        <v>74</v>
      </c>
      <c r="D42" s="7" t="s">
        <v>75</v>
      </c>
      <c r="E42" s="7" t="s">
        <v>76</v>
      </c>
    </row>
    <row r="43" spans="2:5" ht="84" customHeight="1" x14ac:dyDescent="0.35">
      <c r="B43" s="6" t="s">
        <v>77</v>
      </c>
      <c r="C43" s="7" t="s">
        <v>78</v>
      </c>
      <c r="D43" s="7" t="s">
        <v>79</v>
      </c>
      <c r="E43" s="7" t="s">
        <v>80</v>
      </c>
    </row>
    <row r="44" spans="2:5" ht="313.5" customHeight="1" x14ac:dyDescent="0.35">
      <c r="B44" s="6" t="s">
        <v>81</v>
      </c>
      <c r="C44" s="7" t="s">
        <v>82</v>
      </c>
      <c r="D44" s="7" t="s">
        <v>83</v>
      </c>
      <c r="E44" s="7" t="s">
        <v>84</v>
      </c>
    </row>
    <row r="45" spans="2:5" ht="84" customHeight="1" x14ac:dyDescent="0.35">
      <c r="B45" s="6" t="s">
        <v>85</v>
      </c>
      <c r="C45" s="7" t="s">
        <v>86</v>
      </c>
      <c r="D45" s="7" t="s">
        <v>87</v>
      </c>
      <c r="E45" s="7" t="s">
        <v>88</v>
      </c>
    </row>
    <row r="46" spans="2:5" ht="70.5" customHeight="1" x14ac:dyDescent="0.35">
      <c r="B46" s="6" t="s">
        <v>89</v>
      </c>
      <c r="C46" s="7" t="s">
        <v>90</v>
      </c>
      <c r="D46" s="7" t="s">
        <v>91</v>
      </c>
      <c r="E46" s="7" t="s">
        <v>92</v>
      </c>
    </row>
    <row r="48" spans="2:5" ht="18" customHeight="1" x14ac:dyDescent="0.35">
      <c r="B48" s="1" t="s">
        <v>93</v>
      </c>
      <c r="C48" s="1"/>
      <c r="D48" s="1"/>
      <c r="E48" s="1"/>
    </row>
    <row r="49" spans="2:5" ht="30" customHeight="1" x14ac:dyDescent="0.35">
      <c r="B49" s="39" t="s">
        <v>94</v>
      </c>
      <c r="C49" s="40"/>
      <c r="D49" s="40"/>
      <c r="E49" s="40"/>
    </row>
    <row r="50" spans="2:5" ht="30" customHeight="1" x14ac:dyDescent="0.35">
      <c r="B50" s="39" t="s">
        <v>95</v>
      </c>
      <c r="C50" s="40"/>
      <c r="D50" s="40"/>
      <c r="E50" s="40"/>
    </row>
    <row r="51" spans="2:5" ht="30" customHeight="1" x14ac:dyDescent="0.35">
      <c r="B51" s="39" t="s">
        <v>96</v>
      </c>
      <c r="C51" s="40"/>
      <c r="D51" s="40"/>
      <c r="E51" s="40"/>
    </row>
    <row r="52" spans="2:5" ht="30" customHeight="1" x14ac:dyDescent="0.35">
      <c r="B52" s="39" t="s">
        <v>97</v>
      </c>
      <c r="C52" s="40"/>
      <c r="D52" s="40"/>
      <c r="E52" s="40"/>
    </row>
    <row r="53" spans="2:5" ht="57" customHeight="1" x14ac:dyDescent="0.35">
      <c r="B53" s="39" t="s">
        <v>98</v>
      </c>
      <c r="C53" s="40"/>
      <c r="D53" s="40"/>
      <c r="E53" s="40"/>
    </row>
    <row r="54" spans="2:5" ht="43.5" customHeight="1" x14ac:dyDescent="0.35">
      <c r="B54" s="39" t="s">
        <v>99</v>
      </c>
      <c r="C54" s="40"/>
      <c r="D54" s="40"/>
      <c r="E54" s="40"/>
    </row>
    <row r="55" spans="2:5" ht="30" customHeight="1" x14ac:dyDescent="0.35">
      <c r="B55" s="39" t="s">
        <v>100</v>
      </c>
      <c r="C55" s="40"/>
      <c r="D55" s="40"/>
      <c r="E55" s="40"/>
    </row>
    <row r="57" spans="2:5" ht="18" customHeight="1" x14ac:dyDescent="0.35">
      <c r="B57" s="1" t="s">
        <v>101</v>
      </c>
      <c r="C57" s="1"/>
      <c r="D57" s="1"/>
      <c r="E57" s="1"/>
    </row>
    <row r="58" spans="2:5" ht="30" customHeight="1" x14ac:dyDescent="0.35">
      <c r="B58" s="39" t="s">
        <v>102</v>
      </c>
      <c r="C58" s="40"/>
      <c r="D58" s="40"/>
      <c r="E58" s="40"/>
    </row>
    <row r="59" spans="2:5" ht="30" customHeight="1" x14ac:dyDescent="0.35">
      <c r="B59" s="39" t="s">
        <v>103</v>
      </c>
      <c r="C59" s="40"/>
      <c r="D59" s="40"/>
      <c r="E59" s="40"/>
    </row>
    <row r="60" spans="2:5" ht="18" customHeight="1" x14ac:dyDescent="0.35">
      <c r="B60" s="5" t="s">
        <v>104</v>
      </c>
      <c r="C60" s="5" t="s">
        <v>105</v>
      </c>
      <c r="D60" s="5" t="s">
        <v>106</v>
      </c>
      <c r="E60" s="5" t="s">
        <v>107</v>
      </c>
    </row>
    <row r="61" spans="2:5" ht="57" customHeight="1" x14ac:dyDescent="0.35">
      <c r="B61" s="6" t="s">
        <v>108</v>
      </c>
      <c r="C61" s="7" t="s">
        <v>109</v>
      </c>
      <c r="D61" s="7" t="s">
        <v>110</v>
      </c>
      <c r="E61" s="7" t="s">
        <v>111</v>
      </c>
    </row>
    <row r="62" spans="2:5" ht="43.5" customHeight="1" x14ac:dyDescent="0.35">
      <c r="B62" s="6" t="s">
        <v>112</v>
      </c>
      <c r="C62" s="7" t="s">
        <v>113</v>
      </c>
      <c r="D62" s="7" t="s">
        <v>114</v>
      </c>
      <c r="E62" s="7" t="s">
        <v>115</v>
      </c>
    </row>
    <row r="63" spans="2:5" ht="70.5" customHeight="1" x14ac:dyDescent="0.35">
      <c r="B63" s="6" t="s">
        <v>116</v>
      </c>
      <c r="C63" s="7" t="s">
        <v>117</v>
      </c>
      <c r="D63" s="7" t="s">
        <v>114</v>
      </c>
      <c r="E63" s="7" t="s">
        <v>118</v>
      </c>
    </row>
    <row r="64" spans="2:5" ht="84" customHeight="1" x14ac:dyDescent="0.35">
      <c r="B64" s="6" t="s">
        <v>119</v>
      </c>
      <c r="C64" s="7" t="s">
        <v>120</v>
      </c>
      <c r="D64" s="7" t="s">
        <v>114</v>
      </c>
      <c r="E64" s="7" t="s">
        <v>121</v>
      </c>
    </row>
    <row r="65" spans="2:5" ht="57" customHeight="1" x14ac:dyDescent="0.35">
      <c r="B65" s="6" t="s">
        <v>122</v>
      </c>
      <c r="C65" s="7" t="s">
        <v>123</v>
      </c>
      <c r="D65" s="7" t="s">
        <v>114</v>
      </c>
      <c r="E65" s="7" t="s">
        <v>124</v>
      </c>
    </row>
    <row r="66" spans="2:5" ht="43.5" customHeight="1" x14ac:dyDescent="0.35">
      <c r="B66" s="6" t="s">
        <v>125</v>
      </c>
      <c r="C66" s="7" t="s">
        <v>126</v>
      </c>
      <c r="D66" s="7" t="s">
        <v>127</v>
      </c>
      <c r="E66" s="7" t="s">
        <v>128</v>
      </c>
    </row>
    <row r="68" spans="2:5" ht="18" customHeight="1" x14ac:dyDescent="0.35">
      <c r="B68" s="1" t="s">
        <v>129</v>
      </c>
      <c r="C68" s="1"/>
      <c r="D68" s="1"/>
      <c r="E68" s="1"/>
    </row>
    <row r="69" spans="2:5" ht="18" customHeight="1" x14ac:dyDescent="0.35">
      <c r="B69" s="5" t="s">
        <v>130</v>
      </c>
      <c r="C69" s="5" t="s">
        <v>63</v>
      </c>
      <c r="D69" s="5" t="s">
        <v>131</v>
      </c>
      <c r="E69" s="5" t="s">
        <v>132</v>
      </c>
    </row>
    <row r="70" spans="2:5" ht="30" customHeight="1" x14ac:dyDescent="0.35">
      <c r="B70" s="6" t="s">
        <v>133</v>
      </c>
      <c r="C70" s="7" t="s">
        <v>134</v>
      </c>
      <c r="D70" s="7" t="s">
        <v>135</v>
      </c>
      <c r="E70" s="7" t="s">
        <v>136</v>
      </c>
    </row>
    <row r="71" spans="2:5" ht="70.5" customHeight="1" x14ac:dyDescent="0.35">
      <c r="B71" s="6" t="s">
        <v>137</v>
      </c>
      <c r="C71" s="7" t="s">
        <v>138</v>
      </c>
      <c r="D71" s="7" t="s">
        <v>139</v>
      </c>
      <c r="E71" s="7" t="s">
        <v>140</v>
      </c>
    </row>
    <row r="72" spans="2:5" ht="30" customHeight="1" x14ac:dyDescent="0.35">
      <c r="B72" s="6" t="s">
        <v>141</v>
      </c>
      <c r="C72" s="7" t="s">
        <v>142</v>
      </c>
      <c r="D72" s="7" t="s">
        <v>143</v>
      </c>
      <c r="E72" s="7" t="s">
        <v>144</v>
      </c>
    </row>
    <row r="73" spans="2:5" ht="43.5" customHeight="1" x14ac:dyDescent="0.35">
      <c r="B73" s="6" t="s">
        <v>145</v>
      </c>
      <c r="C73" s="7" t="s">
        <v>146</v>
      </c>
      <c r="D73" s="7" t="s">
        <v>147</v>
      </c>
      <c r="E73" s="7" t="s">
        <v>148</v>
      </c>
    </row>
    <row r="74" spans="2:5" ht="43.5" customHeight="1" x14ac:dyDescent="0.35">
      <c r="B74" s="6" t="s">
        <v>149</v>
      </c>
      <c r="C74" s="7" t="s">
        <v>150</v>
      </c>
      <c r="D74" s="7" t="s">
        <v>151</v>
      </c>
      <c r="E74" s="7" t="s">
        <v>152</v>
      </c>
    </row>
    <row r="75" spans="2:5" ht="30" customHeight="1" x14ac:dyDescent="0.35">
      <c r="B75" s="6" t="s">
        <v>153</v>
      </c>
      <c r="C75" s="7" t="s">
        <v>154</v>
      </c>
      <c r="D75" s="7" t="s">
        <v>155</v>
      </c>
      <c r="E75" s="7" t="s">
        <v>156</v>
      </c>
    </row>
    <row r="76" spans="2:5" ht="30" customHeight="1" x14ac:dyDescent="0.35">
      <c r="B76" s="6" t="s">
        <v>157</v>
      </c>
      <c r="C76" s="7" t="s">
        <v>158</v>
      </c>
      <c r="D76" s="7" t="s">
        <v>159</v>
      </c>
      <c r="E76" s="7" t="s">
        <v>160</v>
      </c>
    </row>
    <row r="77" spans="2:5" ht="30" customHeight="1" x14ac:dyDescent="0.35">
      <c r="B77" s="39" t="s">
        <v>161</v>
      </c>
      <c r="C77" s="40"/>
      <c r="D77" s="40"/>
      <c r="E77" s="40"/>
    </row>
    <row r="79" spans="2:5" ht="18" customHeight="1" x14ac:dyDescent="0.35">
      <c r="B79" s="1" t="s">
        <v>162</v>
      </c>
      <c r="C79" s="1"/>
      <c r="D79" s="1"/>
      <c r="E79" s="1"/>
    </row>
    <row r="80" spans="2:5" ht="16.5" customHeight="1" x14ac:dyDescent="0.35">
      <c r="B80" s="39" t="s">
        <v>163</v>
      </c>
      <c r="C80" s="40"/>
      <c r="D80" s="40"/>
      <c r="E80" s="40"/>
    </row>
    <row r="81" spans="2:5" ht="18" customHeight="1" x14ac:dyDescent="0.35">
      <c r="B81" s="5" t="s">
        <v>164</v>
      </c>
      <c r="C81" s="5" t="s">
        <v>165</v>
      </c>
      <c r="D81" s="5" t="s">
        <v>166</v>
      </c>
      <c r="E81" s="5" t="s">
        <v>167</v>
      </c>
    </row>
    <row r="82" spans="2:5" ht="43.5" customHeight="1" x14ac:dyDescent="0.35">
      <c r="B82" s="6" t="s">
        <v>168</v>
      </c>
      <c r="C82" s="7" t="s">
        <v>169</v>
      </c>
      <c r="D82" s="7" t="s">
        <v>170</v>
      </c>
      <c r="E82" s="7" t="s">
        <v>171</v>
      </c>
    </row>
    <row r="83" spans="2:5" ht="30" customHeight="1" x14ac:dyDescent="0.35">
      <c r="B83" s="6" t="s">
        <v>172</v>
      </c>
      <c r="C83" s="7" t="s">
        <v>173</v>
      </c>
      <c r="D83" s="7" t="s">
        <v>174</v>
      </c>
      <c r="E83" s="7" t="s">
        <v>175</v>
      </c>
    </row>
    <row r="84" spans="2:5" ht="16.5" customHeight="1" x14ac:dyDescent="0.35">
      <c r="B84" s="6" t="s">
        <v>176</v>
      </c>
      <c r="C84" s="7" t="s">
        <v>177</v>
      </c>
      <c r="D84" s="7" t="s">
        <v>178</v>
      </c>
      <c r="E84" s="7" t="s">
        <v>179</v>
      </c>
    </row>
    <row r="85" spans="2:5" ht="70.5" customHeight="1" x14ac:dyDescent="0.35">
      <c r="B85" s="6" t="s">
        <v>180</v>
      </c>
      <c r="C85" s="7" t="s">
        <v>181</v>
      </c>
      <c r="D85" s="7" t="s">
        <v>182</v>
      </c>
      <c r="E85" s="7" t="s">
        <v>183</v>
      </c>
    </row>
    <row r="86" spans="2:5" ht="30" customHeight="1" x14ac:dyDescent="0.35">
      <c r="B86" s="6" t="s">
        <v>184</v>
      </c>
      <c r="C86" s="7" t="s">
        <v>185</v>
      </c>
      <c r="D86" s="7" t="s">
        <v>186</v>
      </c>
      <c r="E86" s="7" t="s">
        <v>187</v>
      </c>
    </row>
    <row r="87" spans="2:5" ht="43.5" customHeight="1" x14ac:dyDescent="0.35">
      <c r="B87" s="6" t="s">
        <v>188</v>
      </c>
      <c r="C87" s="7" t="s">
        <v>189</v>
      </c>
      <c r="D87" s="7" t="s">
        <v>190</v>
      </c>
      <c r="E87" s="7" t="s">
        <v>191</v>
      </c>
    </row>
    <row r="88" spans="2:5" ht="30" customHeight="1" x14ac:dyDescent="0.35">
      <c r="B88" s="6" t="s">
        <v>192</v>
      </c>
      <c r="C88" s="7" t="s">
        <v>193</v>
      </c>
      <c r="D88" s="7" t="s">
        <v>194</v>
      </c>
      <c r="E88" s="7" t="s">
        <v>195</v>
      </c>
    </row>
    <row r="89" spans="2:5" ht="30" customHeight="1" x14ac:dyDescent="0.35">
      <c r="B89" s="39" t="s">
        <v>196</v>
      </c>
      <c r="C89" s="40"/>
      <c r="D89" s="40"/>
      <c r="E89" s="40"/>
    </row>
    <row r="91" spans="2:5" ht="18" customHeight="1" x14ac:dyDescent="0.35">
      <c r="B91" s="1" t="s">
        <v>197</v>
      </c>
      <c r="C91" s="1"/>
      <c r="D91" s="1"/>
      <c r="E91" s="1"/>
    </row>
    <row r="92" spans="2:5" ht="18" customHeight="1" x14ac:dyDescent="0.35">
      <c r="B92" s="5" t="s">
        <v>198</v>
      </c>
      <c r="C92" s="41" t="s">
        <v>42</v>
      </c>
      <c r="D92" s="40"/>
      <c r="E92" s="40"/>
    </row>
    <row r="93" spans="2:5" ht="30" customHeight="1" x14ac:dyDescent="0.35">
      <c r="B93" s="6" t="s">
        <v>199</v>
      </c>
      <c r="C93" s="37" t="s">
        <v>200</v>
      </c>
      <c r="D93" s="38"/>
      <c r="E93" s="38"/>
    </row>
    <row r="94" spans="2:5" ht="30" customHeight="1" x14ac:dyDescent="0.35">
      <c r="B94" s="6" t="s">
        <v>201</v>
      </c>
      <c r="C94" s="37" t="s">
        <v>202</v>
      </c>
      <c r="D94" s="38"/>
      <c r="E94" s="38"/>
    </row>
    <row r="95" spans="2:5" ht="30" customHeight="1" x14ac:dyDescent="0.35">
      <c r="B95" s="6" t="s">
        <v>203</v>
      </c>
      <c r="C95" s="37" t="s">
        <v>204</v>
      </c>
      <c r="D95" s="38"/>
      <c r="E95" s="38"/>
    </row>
    <row r="97" spans="2:5" ht="18" customHeight="1" x14ac:dyDescent="0.35">
      <c r="B97" s="1" t="s">
        <v>205</v>
      </c>
      <c r="C97" s="1"/>
      <c r="D97" s="1"/>
      <c r="E97" s="1"/>
    </row>
    <row r="98" spans="2:5" ht="18" customHeight="1" x14ac:dyDescent="0.35">
      <c r="B98" s="5" t="s">
        <v>206</v>
      </c>
      <c r="C98" s="41" t="s">
        <v>207</v>
      </c>
      <c r="D98" s="40"/>
      <c r="E98" s="40"/>
    </row>
    <row r="99" spans="2:5" ht="30" customHeight="1" x14ac:dyDescent="0.35">
      <c r="B99" s="6" t="s">
        <v>208</v>
      </c>
      <c r="C99" s="37" t="s">
        <v>209</v>
      </c>
      <c r="D99" s="38"/>
      <c r="E99" s="38"/>
    </row>
    <row r="100" spans="2:5" ht="30" customHeight="1" x14ac:dyDescent="0.35">
      <c r="B100" s="6" t="s">
        <v>210</v>
      </c>
      <c r="C100" s="37" t="s">
        <v>211</v>
      </c>
      <c r="D100" s="38"/>
      <c r="E100" s="38"/>
    </row>
    <row r="101" spans="2:5" ht="30" customHeight="1" x14ac:dyDescent="0.35">
      <c r="B101" s="6" t="s">
        <v>212</v>
      </c>
      <c r="C101" s="37" t="s">
        <v>213</v>
      </c>
      <c r="D101" s="38"/>
      <c r="E101" s="38"/>
    </row>
    <row r="102" spans="2:5" ht="43.5" customHeight="1" x14ac:dyDescent="0.35">
      <c r="B102" s="6" t="s">
        <v>214</v>
      </c>
      <c r="C102" s="37" t="s">
        <v>215</v>
      </c>
      <c r="D102" s="38"/>
      <c r="E102" s="38"/>
    </row>
    <row r="103" spans="2:5" ht="30" customHeight="1" x14ac:dyDescent="0.35">
      <c r="B103" s="6" t="s">
        <v>216</v>
      </c>
      <c r="C103" s="37" t="s">
        <v>217</v>
      </c>
      <c r="D103" s="38"/>
      <c r="E103" s="38"/>
    </row>
    <row r="104" spans="2:5" ht="43.5" customHeight="1" x14ac:dyDescent="0.35">
      <c r="B104" s="6" t="s">
        <v>218</v>
      </c>
      <c r="C104" s="37" t="s">
        <v>219</v>
      </c>
      <c r="D104" s="38"/>
      <c r="E104" s="38"/>
    </row>
    <row r="105" spans="2:5" ht="43.5" customHeight="1" x14ac:dyDescent="0.35">
      <c r="B105" s="6" t="s">
        <v>220</v>
      </c>
      <c r="C105" s="37" t="s">
        <v>221</v>
      </c>
      <c r="D105" s="38"/>
      <c r="E105" s="38"/>
    </row>
    <row r="107" spans="2:5" ht="16.5" customHeight="1" x14ac:dyDescent="0.35">
      <c r="B107" s="43" t="s">
        <v>222</v>
      </c>
      <c r="C107" s="40"/>
      <c r="D107" s="40"/>
      <c r="E107" s="40"/>
    </row>
    <row r="109" spans="2:5" ht="36" customHeight="1" x14ac:dyDescent="0.35">
      <c r="B109" s="42" t="s">
        <v>223</v>
      </c>
      <c r="C109" s="40"/>
      <c r="D109" s="40"/>
      <c r="E109" s="40"/>
    </row>
  </sheetData>
  <sheetProtection sheet="1"/>
  <mergeCells count="50">
    <mergeCell ref="C103:E103"/>
    <mergeCell ref="D35:E35"/>
    <mergeCell ref="C10:E10"/>
    <mergeCell ref="B7:E7"/>
    <mergeCell ref="D32:E32"/>
    <mergeCell ref="B109:E109"/>
    <mergeCell ref="B59:E59"/>
    <mergeCell ref="C13:E13"/>
    <mergeCell ref="B58:E58"/>
    <mergeCell ref="C102:E102"/>
    <mergeCell ref="B52:E52"/>
    <mergeCell ref="B77:E77"/>
    <mergeCell ref="C101:E101"/>
    <mergeCell ref="C92:E92"/>
    <mergeCell ref="B107:E107"/>
    <mergeCell ref="D25:E25"/>
    <mergeCell ref="C14:E14"/>
    <mergeCell ref="B8:E8"/>
    <mergeCell ref="D24:E24"/>
    <mergeCell ref="C105:E105"/>
    <mergeCell ref="C95:E95"/>
    <mergeCell ref="C11:E11"/>
    <mergeCell ref="B50:E50"/>
    <mergeCell ref="D27:E27"/>
    <mergeCell ref="B16:E16"/>
    <mergeCell ref="B54:E54"/>
    <mergeCell ref="D30:E30"/>
    <mergeCell ref="B53:E53"/>
    <mergeCell ref="C98:E98"/>
    <mergeCell ref="D33:E33"/>
    <mergeCell ref="C104:E104"/>
    <mergeCell ref="D23:E23"/>
    <mergeCell ref="B19:E19"/>
    <mergeCell ref="C100:E100"/>
    <mergeCell ref="D26:E26"/>
    <mergeCell ref="C99:E99"/>
    <mergeCell ref="B9:E9"/>
    <mergeCell ref="C94:E94"/>
    <mergeCell ref="B49:E49"/>
    <mergeCell ref="C93:E93"/>
    <mergeCell ref="D34:E34"/>
    <mergeCell ref="B15:E15"/>
    <mergeCell ref="B55:E55"/>
    <mergeCell ref="D22:E22"/>
    <mergeCell ref="B51:E51"/>
    <mergeCell ref="B80:E80"/>
    <mergeCell ref="D36:E36"/>
    <mergeCell ref="D31:E31"/>
    <mergeCell ref="B89:E89"/>
    <mergeCell ref="C12:E1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67"/>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52" customWidth="1"/>
    <col min="3" max="3" width="30" customWidth="1"/>
    <col min="4" max="4" width="92" customWidth="1"/>
  </cols>
  <sheetData>
    <row r="1" spans="2:4" ht="20" customHeight="1" x14ac:dyDescent="0.35">
      <c r="B1" s="1" t="s">
        <v>0</v>
      </c>
      <c r="C1" s="1"/>
      <c r="D1" s="1"/>
    </row>
    <row r="2" spans="2:4" ht="26" customHeight="1" x14ac:dyDescent="0.35">
      <c r="B2" s="2" t="s">
        <v>224</v>
      </c>
    </row>
    <row r="3" spans="2:4" x14ac:dyDescent="0.35">
      <c r="B3" s="3" t="s">
        <v>225</v>
      </c>
    </row>
    <row r="5" spans="2:4" x14ac:dyDescent="0.35">
      <c r="B5" s="9" t="s">
        <v>226</v>
      </c>
    </row>
    <row r="6" spans="2:4" ht="18" customHeight="1" x14ac:dyDescent="0.35">
      <c r="B6" s="1" t="s">
        <v>227</v>
      </c>
      <c r="C6" s="1"/>
      <c r="D6" s="1"/>
    </row>
    <row r="7" spans="2:4" x14ac:dyDescent="0.35">
      <c r="B7" s="10" t="s">
        <v>228</v>
      </c>
      <c r="C7" s="11">
        <v>385000</v>
      </c>
      <c r="D7" s="9" t="s">
        <v>229</v>
      </c>
    </row>
    <row r="8" spans="2:4" x14ac:dyDescent="0.35">
      <c r="B8" s="10" t="s">
        <v>230</v>
      </c>
      <c r="C8" s="12">
        <v>4.4999999999999998E-2</v>
      </c>
      <c r="D8" s="9" t="str">
        <f>"Barème libre. Repère : "&amp;ROUND(Paramètres!$C$76*100,1)&amp;" %"&amp;" à "&amp;ROUND(Paramètres!$C$77*100,1)&amp;" %"&amp;" du prix (Paramètres, repères). Tapez 4,5 pour 4,5 % : la cellule est déjà au format pourcentage."</f>
        <v>Barème libre. Repère : 3 % à 7 % du prix (Paramètres, repères). Tapez 4,5 pour 4,5 % : la cellule est déjà au format pourcentage.</v>
      </c>
    </row>
    <row r="9" spans="2:4" x14ac:dyDescent="0.35">
      <c r="B9" s="10" t="s">
        <v>231</v>
      </c>
      <c r="C9" s="13" t="s">
        <v>232</v>
      </c>
      <c r="D9" s="9" t="s">
        <v>233</v>
      </c>
    </row>
    <row r="10" spans="2:4" x14ac:dyDescent="0.35">
      <c r="B10" s="14" t="s">
        <v>234</v>
      </c>
      <c r="C10" s="15">
        <f>IF('Net vendeur'!$C$12&lt;&gt;"OK","",IF('Net vendeur'!$C$9=Paramètres!$B$99,'Net vendeur'!$C$7-'Net vendeur'!$C$7/(1+'Net vendeur'!$C$8),'Net vendeur'!$C$7*'Net vendeur'!$C$8))</f>
        <v>16578.94736842101</v>
      </c>
      <c r="D10" s="9" t="s">
        <v>235</v>
      </c>
    </row>
    <row r="11" spans="2:4" x14ac:dyDescent="0.35">
      <c r="B11" s="14" t="s">
        <v>133</v>
      </c>
      <c r="C11" s="15">
        <f>IF('Net vendeur'!$C$12&lt;&gt;"OK","",'Net vendeur'!$C$7-'Net vendeur'!$C$10)</f>
        <v>368421.05263157899</v>
      </c>
      <c r="D11" s="9" t="s">
        <v>236</v>
      </c>
    </row>
    <row r="12" spans="2:4" x14ac:dyDescent="0.35">
      <c r="B12" s="10" t="s">
        <v>237</v>
      </c>
      <c r="C12" s="16" t="str">
        <f>IF(AND(AND(ISNUMBER('Net vendeur'!$C$7),'Net vendeur'!$C$7&gt;=0),'Net vendeur'!$C$7&gt;0,AND(ISNUMBER('Net vendeur'!$C$8),'Net vendeur'!$C$8&gt;=0,'Net vendeur'!$C$8&lt;=0.15),NOT(ISNA(MATCH('Net vendeur'!$C$9,Paramètres!$B$99:$B$100,0))),ISNUMBER(Paramètres!$C$82),AND(ISNUMBER(Paramètres!$C$82),OR(NOT(ISNUMBER('Net vendeur'!$C$8)),'Net vendeur'!$C$8&lt;=0,'Net vendeur'!$C$8&gt;=Paramètres!$C$82))),"OK","À CORRIGER")</f>
        <v>OK</v>
      </c>
      <c r="D12" s="9" t="s">
        <v>238</v>
      </c>
    </row>
    <row r="14" spans="2:4" ht="18" customHeight="1" x14ac:dyDescent="0.35">
      <c r="B14" s="1" t="s">
        <v>239</v>
      </c>
      <c r="C14" s="1"/>
      <c r="D14" s="1"/>
    </row>
    <row r="15" spans="2:4" x14ac:dyDescent="0.35">
      <c r="B15" s="10" t="s">
        <v>240</v>
      </c>
      <c r="C15" s="11">
        <v>148000</v>
      </c>
      <c r="D15" s="9" t="s">
        <v>241</v>
      </c>
    </row>
    <row r="16" spans="2:4" x14ac:dyDescent="0.35">
      <c r="B16" s="10" t="s">
        <v>242</v>
      </c>
      <c r="C16" s="12">
        <v>3.2000000000000001E-2</v>
      </c>
      <c r="D16" s="9" t="s">
        <v>243</v>
      </c>
    </row>
    <row r="17" spans="2:4" x14ac:dyDescent="0.35">
      <c r="B17" s="10" t="s">
        <v>244</v>
      </c>
      <c r="C17" s="17">
        <f>IF(OR(NOT(OR('Net vendeur'!$C$15="",AND(ISNUMBER('Net vendeur'!$C$15),'Net vendeur'!$C$15&gt;=0))),NOT(ISNUMBER(Paramètres!$C$14)),NOT(ISNUMBER(Paramètres!$C$15))),"",IF(AND(ISNUMBER('Net vendeur'!$C$16),'Net vendeur'!$C$16&gt;0),MIN('Net vendeur'!$C$15*Paramètres!$C$14,'Net vendeur'!$C$15*'Net vendeur'!$C$16*Paramètres!$C$15/12),'Net vendeur'!$C$15*Paramètres!$C$14))</f>
        <v>2368</v>
      </c>
      <c r="D17" s="9" t="s">
        <v>245</v>
      </c>
    </row>
    <row r="18" spans="2:4" x14ac:dyDescent="0.35">
      <c r="B18" s="10" t="s">
        <v>246</v>
      </c>
      <c r="C18" s="11">
        <v>2200</v>
      </c>
      <c r="D18" s="9" t="s">
        <v>247</v>
      </c>
    </row>
    <row r="19" spans="2:4" x14ac:dyDescent="0.35">
      <c r="B19" s="10" t="s">
        <v>248</v>
      </c>
      <c r="C19" s="11">
        <v>750</v>
      </c>
      <c r="D19" s="9" t="str">
        <f>"Repère : "&amp;IF(Paramètres!$C$78&gt;=1000,INT(Paramètres!$C$78/1000)&amp;" "&amp;TEXT(MOD(Paramètres!$C$78,1000),"000"),TEXT(Paramètres!$C$78,"0"))&amp;" €"&amp;" à "&amp;IF(Paramètres!$C$79&gt;=1000,INT(Paramètres!$C$79/1000)&amp;" "&amp;TEXT(MOD(Paramètres!$C$79,1000),"000"),TEXT(Paramètres!$C$79,"0"))&amp;" €"&amp;" selon le bien et son âge (Paramètres, repères)."</f>
        <v>Repère : 300 € à 800 € selon le bien et son âge (Paramètres, repères).</v>
      </c>
    </row>
    <row r="20" spans="2:4" x14ac:dyDescent="0.35">
      <c r="B20" s="10" t="s">
        <v>249</v>
      </c>
      <c r="C20" s="11">
        <v>700</v>
      </c>
      <c r="D20" s="9" t="str">
        <f>"Repère : "&amp;IF(Paramètres!$C$80&gt;=1000,INT(Paramètres!$C$80/1000)&amp;" "&amp;TEXT(MOD(Paramètres!$C$80,1000),"000"),TEXT(Paramètres!$C$80,"0"))&amp;" €"&amp;" à "&amp;IF(Paramètres!$C$81&gt;=1000,INT(Paramètres!$C$81/1000)&amp;" "&amp;TEXT(MOD(Paramètres!$C$81,1000),"000"),TEXT(Paramètres!$C$81,"0"))&amp;" €"&amp;" (Paramètres, repères). Mainlevée d'hypothèque ou de privilège, état daté de copropriété."</f>
        <v>Repère : 400 € à 1 200 € (Paramètres, repères). Mainlevée d'hypothèque ou de privilège, état daté de copropriété.</v>
      </c>
    </row>
    <row r="21" spans="2:4" x14ac:dyDescent="0.35">
      <c r="B21" s="10" t="s">
        <v>250</v>
      </c>
      <c r="C21" s="16" t="str">
        <f>IF(AND(OR('Net vendeur'!$C$15="",AND(ISNUMBER('Net vendeur'!$C$15),'Net vendeur'!$C$15&gt;=0)),OR('Net vendeur'!$C$16="",AND(ISNUMBER('Net vendeur'!$C$16),'Net vendeur'!$C$16&gt;=0,'Net vendeur'!$C$16&lt;=0.2)),OR('Net vendeur'!$C$18="",AND(ISNUMBER('Net vendeur'!$C$18),'Net vendeur'!$C$18&gt;=0)),OR('Net vendeur'!$C$19="",AND(ISNUMBER('Net vendeur'!$C$19),'Net vendeur'!$C$19&gt;=0)),OR('Net vendeur'!$C$20="",AND(ISNUMBER('Net vendeur'!$C$20),'Net vendeur'!$C$20&gt;=0)),AND(ISNUMBER(Paramètres!$C$82),OR(NOT(ISNUMBER('Net vendeur'!$C$16)),'Net vendeur'!$C$16&lt;=0,'Net vendeur'!$C$16&gt;=Paramètres!$C$82)),ISNUMBER('Net vendeur'!$C$17),'Net vendeur'!$C$18&lt;='Net vendeur'!$C$17),"OK","À CORRIGER")</f>
        <v>OK</v>
      </c>
      <c r="D21" s="9" t="s">
        <v>251</v>
      </c>
    </row>
    <row r="23" spans="2:4" ht="18" customHeight="1" x14ac:dyDescent="0.35">
      <c r="B23" s="1" t="s">
        <v>252</v>
      </c>
      <c r="C23" s="1"/>
      <c r="D23" s="1"/>
    </row>
    <row r="24" spans="2:4" x14ac:dyDescent="0.35">
      <c r="B24" s="10" t="s">
        <v>253</v>
      </c>
      <c r="C24" s="13" t="s">
        <v>254</v>
      </c>
      <c r="D24" s="9" t="s">
        <v>255</v>
      </c>
    </row>
    <row r="25" spans="2:4" x14ac:dyDescent="0.35">
      <c r="B25" s="10" t="s">
        <v>256</v>
      </c>
      <c r="C25" s="13" t="s">
        <v>257</v>
      </c>
      <c r="D25" s="9" t="s">
        <v>258</v>
      </c>
    </row>
    <row r="26" spans="2:4" x14ac:dyDescent="0.35">
      <c r="B26" s="10" t="s">
        <v>259</v>
      </c>
      <c r="C26" s="11">
        <v>268000</v>
      </c>
      <c r="D26" s="9" t="s">
        <v>260</v>
      </c>
    </row>
    <row r="27" spans="2:4" x14ac:dyDescent="0.35">
      <c r="B27" s="10" t="s">
        <v>261</v>
      </c>
      <c r="C27" s="18">
        <v>41537</v>
      </c>
      <c r="D27" s="9" t="s">
        <v>262</v>
      </c>
    </row>
    <row r="28" spans="2:4" x14ac:dyDescent="0.35">
      <c r="B28" s="10" t="s">
        <v>263</v>
      </c>
      <c r="C28" s="18">
        <v>46269</v>
      </c>
      <c r="D28" s="9" t="s">
        <v>264</v>
      </c>
    </row>
    <row r="29" spans="2:4" x14ac:dyDescent="0.35">
      <c r="B29" s="10" t="s">
        <v>265</v>
      </c>
      <c r="C29" s="19">
        <f>IF('Net vendeur'!$C$34&lt;&gt;"OK","",YEAR('Net vendeur'!$C$28)-YEAR('Net vendeur'!$C$27)-IF(OR(MONTH('Net vendeur'!$C$28)&lt;MONTH('Net vendeur'!$C$27),AND(MONTH('Net vendeur'!$C$28)=MONTH('Net vendeur'!$C$27),DAY('Net vendeur'!$C$28)&lt;DAY('Net vendeur'!$C$27))),1,0))</f>
        <v>12</v>
      </c>
      <c r="D29" s="9" t="s">
        <v>266</v>
      </c>
    </row>
    <row r="30" spans="2:4" x14ac:dyDescent="0.35">
      <c r="B30" s="10" t="s">
        <v>267</v>
      </c>
      <c r="C30" s="13" t="s">
        <v>268</v>
      </c>
      <c r="D30" s="9" t="s">
        <v>269</v>
      </c>
    </row>
    <row r="31" spans="2:4" x14ac:dyDescent="0.35">
      <c r="B31" s="10" t="s">
        <v>270</v>
      </c>
      <c r="C31" s="11">
        <v>19400</v>
      </c>
      <c r="D31" s="9" t="s">
        <v>271</v>
      </c>
    </row>
    <row r="32" spans="2:4" x14ac:dyDescent="0.35">
      <c r="B32" s="10" t="s">
        <v>272</v>
      </c>
      <c r="C32" s="13" t="s">
        <v>273</v>
      </c>
      <c r="D32" s="9" t="s">
        <v>274</v>
      </c>
    </row>
    <row r="33" spans="2:4" x14ac:dyDescent="0.35">
      <c r="B33" s="10" t="s">
        <v>275</v>
      </c>
      <c r="C33" s="11">
        <v>24000</v>
      </c>
      <c r="D33" s="9" t="s">
        <v>276</v>
      </c>
    </row>
    <row r="34" spans="2:4" x14ac:dyDescent="0.35">
      <c r="B34" s="10" t="s">
        <v>277</v>
      </c>
      <c r="C34" s="16" t="str">
        <f>IF(AND(AND(ISNUMBER('Net vendeur'!$C$26),'Net vendeur'!$C$26&gt;=0),'Net vendeur'!$C$26&gt;0,ISNUMBER('Net vendeur'!$C$27),ISNUMBER('Net vendeur'!$C$28),ISNUMBER(Paramètres!$C$86),ISNUMBER(Paramètres!$C$87),'Net vendeur'!$C$27&gt;=Paramètres!$C$86,'Net vendeur'!$C$27&lt;=Paramètres!$C$87,'Net vendeur'!$C$28&gt;=Paramètres!$C$86,'Net vendeur'!$C$28&lt;=Paramètres!$C$87,'Net vendeur'!$C$28&gt;='Net vendeur'!$C$27,NOT(ISNA(MATCH('Net vendeur'!$C$24,Paramètres!$G$99:$G$100,0))),NOT(ISNA(MATCH('Net vendeur'!$C$25,Paramètres!$D$99:$D$101,0))),NOT(ISNA(MATCH('Net vendeur'!$C$30,Paramètres!$E$99:$E$100,0))),NOT(ISNA(MATCH('Net vendeur'!$C$32,Paramètres!$F$99:$F$101,0))),OR('Net vendeur'!$C$31="",AND(ISNUMBER('Net vendeur'!$C$31),'Net vendeur'!$C$31&gt;=0)),OR('Net vendeur'!$C$33="",AND(ISNUMBER('Net vendeur'!$C$33),'Net vendeur'!$C$33&gt;=0)),OR('Net vendeur'!$C$30&lt;&gt;Paramètres!$E$99,'Net vendeur'!$C$25=Paramètres!$D$99),OR('Net vendeur'!$C$32&lt;&gt;Paramètres!$F$99,IF(AND(ISNUMBER('Net vendeur'!$C$27),ISNUMBER('Net vendeur'!$C$28),ISNUMBER(Paramètres!$C$12)),AND('Net vendeur'!$C$24=Paramètres!$G$99,INT('Net vendeur'!$C$28)&gt;EDATE(INT('Net vendeur'!$C$27),Paramètres!$C$12*12)),FALSE))),"OK","À CORRIGER")</f>
        <v>OK</v>
      </c>
      <c r="D34" s="9" t="s">
        <v>278</v>
      </c>
    </row>
    <row r="36" spans="2:4" ht="18" customHeight="1" x14ac:dyDescent="0.35">
      <c r="B36" s="1" t="s">
        <v>279</v>
      </c>
      <c r="C36" s="1"/>
      <c r="D36" s="1"/>
    </row>
    <row r="37" spans="2:4" x14ac:dyDescent="0.35">
      <c r="B37" s="10" t="s">
        <v>280</v>
      </c>
      <c r="C37" s="13" t="s">
        <v>281</v>
      </c>
      <c r="D37" s="9" t="s">
        <v>282</v>
      </c>
    </row>
    <row r="38" spans="2:4" x14ac:dyDescent="0.35">
      <c r="B38" s="10" t="s">
        <v>283</v>
      </c>
      <c r="C38" s="20" t="str">
        <f>IF(OR(ISNA(MATCH('Net vendeur'!$C$37,Paramètres!$H$99:$H$103,0)),'Net vendeur'!$C$37=Paramètres!$H$99),"","Cas hors du périmètre de ce modèle : "&amp;'Net vendeur'!$C$37&amp;". Aucun impôt n'est affiché. Voir l'onglet Méthode.")</f>
        <v/>
      </c>
    </row>
    <row r="39" spans="2:4" x14ac:dyDescent="0.35">
      <c r="B39" s="10" t="s">
        <v>284</v>
      </c>
      <c r="C39" s="13" t="s">
        <v>285</v>
      </c>
      <c r="D39" s="9" t="s">
        <v>286</v>
      </c>
    </row>
    <row r="40" spans="2:4" x14ac:dyDescent="0.35">
      <c r="B40" s="10" t="s">
        <v>287</v>
      </c>
      <c r="C40" s="13" t="s">
        <v>285</v>
      </c>
      <c r="D40" s="9" t="s">
        <v>288</v>
      </c>
    </row>
    <row r="41" spans="2:4" x14ac:dyDescent="0.35">
      <c r="B41" s="10" t="s">
        <v>289</v>
      </c>
      <c r="C41" s="13" t="s">
        <v>285</v>
      </c>
      <c r="D41" s="9" t="s">
        <v>290</v>
      </c>
    </row>
    <row r="42" spans="2:4" x14ac:dyDescent="0.35">
      <c r="B42" s="10" t="s">
        <v>291</v>
      </c>
      <c r="C42" s="16" t="str">
        <f>IF(AND(NOT(ISNA(MATCH('Net vendeur'!$C$37,Paramètres!$H$99:$H$103,0))),NOT(ISNA(MATCH('Net vendeur'!$C$39,Paramètres!$C$99:$C$100,0))),NOT(ISNA(MATCH('Net vendeur'!$C$40,Paramètres!$C$99:$C$100,0))),NOT(ISNA(MATCH('Net vendeur'!$C$41,Paramètres!$C$99:$C$100,0))),'Net vendeur'!$C$37=Paramètres!$H$99,NOT(AND('Net vendeur'!$C$39=Paramètres!$C$99,'Net vendeur'!$C$40=Paramètres!$C$99))),"OK","À CORRIGER")</f>
        <v>OK</v>
      </c>
      <c r="D42" s="9" t="s">
        <v>292</v>
      </c>
    </row>
    <row r="44" spans="2:4" ht="18" customHeight="1" x14ac:dyDescent="0.35">
      <c r="B44" s="1" t="s">
        <v>293</v>
      </c>
      <c r="C44" s="1"/>
      <c r="D44" s="1"/>
    </row>
    <row r="45" spans="2:4" x14ac:dyDescent="0.35">
      <c r="B45" s="10" t="s">
        <v>267</v>
      </c>
      <c r="C45" s="21">
        <f>IF('Net vendeur'!$C$65&lt;&gt;"OK","",IF('Net vendeur'!$C$30=Paramètres!$E$99,'Net vendeur'!$C$26*Paramètres!$C$10,'Net vendeur'!$C$31))</f>
        <v>20100</v>
      </c>
      <c r="D45" s="9" t="s">
        <v>294</v>
      </c>
    </row>
    <row r="46" spans="2:4" x14ac:dyDescent="0.35">
      <c r="B46" s="10" t="s">
        <v>272</v>
      </c>
      <c r="C46" s="21">
        <f>IF('Net vendeur'!$C$65&lt;&gt;"OK","",IF('Net vendeur'!$C$32=Paramètres!$F$99,IF(IF(AND(ISNUMBER('Net vendeur'!$C$27),ISNUMBER('Net vendeur'!$C$28),ISNUMBER(Paramètres!$C$12)),AND('Net vendeur'!$C$24=Paramètres!$G$99,INT('Net vendeur'!$C$28)&gt;EDATE(INT('Net vendeur'!$C$27),Paramètres!$C$12*12)),FALSE),'Net vendeur'!$C$26*Paramètres!$C$11,0),IF('Net vendeur'!$C$32=Paramètres!$F$100,'Net vendeur'!$C$33,0)))</f>
        <v>40200</v>
      </c>
      <c r="D46" s="9" t="s">
        <v>295</v>
      </c>
    </row>
    <row r="47" spans="2:4" x14ac:dyDescent="0.35">
      <c r="B47" s="10" t="s">
        <v>296</v>
      </c>
      <c r="C47" s="21">
        <f>IF('Net vendeur'!$C$65&lt;&gt;"OK","",'Net vendeur'!$C$26+'Net vendeur'!$C$45+'Net vendeur'!$C$46)</f>
        <v>328300</v>
      </c>
      <c r="D47" s="9" t="s">
        <v>297</v>
      </c>
    </row>
    <row r="48" spans="2:4" x14ac:dyDescent="0.35">
      <c r="B48" s="10" t="s">
        <v>141</v>
      </c>
      <c r="C48" s="21">
        <f>IF('Net vendeur'!$C$65&lt;&gt;"OK","",MAX(0,'Net vendeur'!$C$11-'Net vendeur'!$C$47))</f>
        <v>40121.05263157899</v>
      </c>
      <c r="D48" s="9" t="s">
        <v>298</v>
      </c>
    </row>
    <row r="49" spans="2:4" x14ac:dyDescent="0.35">
      <c r="B49" s="10" t="s">
        <v>299</v>
      </c>
      <c r="C49" s="22">
        <f>IF('Net vendeur'!$C$65&lt;&gt;"OK","",INDEX(Paramètres!$C$19:$C$49,MATCH(MIN('Net vendeur'!$C$29,MAX(Paramètres!$B$19:$B$49)),Paramètres!$B$19:$B$49,0)))</f>
        <v>0.42</v>
      </c>
      <c r="D49" s="9" t="s">
        <v>300</v>
      </c>
    </row>
    <row r="50" spans="2:4" x14ac:dyDescent="0.35">
      <c r="B50" s="10" t="s">
        <v>301</v>
      </c>
      <c r="C50" s="22">
        <f>IF('Net vendeur'!$C$65&lt;&gt;"OK","",INDEX(Paramètres!$D$19:$D$49,MATCH(MIN('Net vendeur'!$C$29,MAX(Paramètres!$B$19:$B$49)),Paramètres!$B$19:$B$49,0)))</f>
        <v>0.11550000000000001</v>
      </c>
      <c r="D50" s="9" t="s">
        <v>302</v>
      </c>
    </row>
    <row r="51" spans="2:4" x14ac:dyDescent="0.35">
      <c r="B51" s="10" t="s">
        <v>145</v>
      </c>
      <c r="C51" s="23" t="str">
        <f>IF('Net vendeur'!$C$65&lt;&gt;"OK","",IF('Net vendeur'!$C$39=Paramètres!$C$99,Paramètres!$B$66,IF('Net vendeur'!$C$41=Paramètres!$C$99,Paramètres!$B$67,IF('Net vendeur'!$C$40=Paramètres!$C$99,Paramètres!$B$68,IF('Net vendeur'!$C$7&lt;=Paramètres!$C$13,Paramètres!$B$69,IF(AND('Net vendeur'!$C$49&gt;=1,'Net vendeur'!$C$50&gt;=1),Paramètres!$B$70,IF('Net vendeur'!$C$49&gt;=1,Paramètres!$B$71,Paramètres!$B$72)))))))</f>
        <v>Aucune exonération : la plus-value est imposable</v>
      </c>
    </row>
    <row r="52" spans="2:4" x14ac:dyDescent="0.35">
      <c r="B52" s="10" t="s">
        <v>303</v>
      </c>
      <c r="C52" s="21">
        <f>IF('Net vendeur'!$C$65&lt;&gt;"OK","",IF(OR('Net vendeur'!$C$51=Paramètres!$B$66,'Net vendeur'!$C$51=Paramètres!$B$67,'Net vendeur'!$C$51=Paramètres!$B$68,'Net vendeur'!$C$51=Paramètres!$B$69),0,'Net vendeur'!$C$48*(1-'Net vendeur'!$C$49)))</f>
        <v>23270.210526315816</v>
      </c>
      <c r="D52" s="9" t="s">
        <v>304</v>
      </c>
    </row>
    <row r="53" spans="2:4" x14ac:dyDescent="0.35">
      <c r="B53" s="10" t="s">
        <v>305</v>
      </c>
      <c r="C53" s="21">
        <f>IF('Net vendeur'!$C$65&lt;&gt;"OK","",IF(OR('Net vendeur'!$C$51=Paramètres!$B$66,'Net vendeur'!$C$51=Paramètres!$B$67,'Net vendeur'!$C$51=Paramètres!$B$68,'Net vendeur'!$C$51=Paramètres!$B$69),0,'Net vendeur'!$C$48*(1-'Net vendeur'!$C$50)))</f>
        <v>35487.071052631618</v>
      </c>
      <c r="D53" s="9" t="s">
        <v>306</v>
      </c>
    </row>
    <row r="55" spans="2:4" ht="18" customHeight="1" x14ac:dyDescent="0.35">
      <c r="B55" s="1" t="s">
        <v>307</v>
      </c>
      <c r="C55" s="1"/>
      <c r="D55" s="1"/>
    </row>
    <row r="56" spans="2:4" x14ac:dyDescent="0.35">
      <c r="B56" s="10" t="s">
        <v>308</v>
      </c>
      <c r="C56" s="17">
        <f>IF('Net vendeur'!$C$65&lt;&gt;"OK","",'Net vendeur'!$C$52*Paramètres!$C$8)</f>
        <v>4421.3400000000047</v>
      </c>
      <c r="D56" s="9" t="s">
        <v>309</v>
      </c>
    </row>
    <row r="57" spans="2:4" x14ac:dyDescent="0.35">
      <c r="B57" s="10" t="s">
        <v>310</v>
      </c>
      <c r="C57" s="17">
        <f>IF('Net vendeur'!$C$65&lt;&gt;"OK","",'Net vendeur'!$C$53*Paramètres!$C$9)</f>
        <v>6103.776221052638</v>
      </c>
      <c r="D57" s="9" t="s">
        <v>311</v>
      </c>
    </row>
    <row r="58" spans="2:4" x14ac:dyDescent="0.35">
      <c r="B58" s="10" t="s">
        <v>312</v>
      </c>
      <c r="C58" s="17">
        <f>IF('Net vendeur'!$C$65&lt;&gt;"OK","",IF('Net vendeur'!$C$24=Paramètres!$G$100,0,IF('Net vendeur'!$C$52&lt;=INDEX(Paramètres!$B$53:$B$62,1),0,INDEX(Paramètres!$C$53:$C$62,MATCH('Net vendeur'!$C$52,Paramètres!$B$53:$B$62,1))*'Net vendeur'!$C$52-INDEX(Paramètres!$D$53:$D$62,MATCH('Net vendeur'!$C$52,Paramètres!$B$53:$B$62,1))*MAX(0,INDEX(Paramètres!$E$53:$E$62,MATCH('Net vendeur'!$C$52,Paramètres!$B$53:$B$62,1))-'Net vendeur'!$C$52))))</f>
        <v>0</v>
      </c>
      <c r="D58" s="9" t="s">
        <v>313</v>
      </c>
    </row>
    <row r="59" spans="2:4" x14ac:dyDescent="0.35">
      <c r="B59" s="14" t="s">
        <v>149</v>
      </c>
      <c r="C59" s="15">
        <f>IF('Net vendeur'!$C$65&lt;&gt;"OK","",'Net vendeur'!$C$56+'Net vendeur'!$C$57+'Net vendeur'!$C$58)</f>
        <v>10525.116221052642</v>
      </c>
      <c r="D59" s="9" t="s">
        <v>314</v>
      </c>
    </row>
    <row r="61" spans="2:4" ht="18" customHeight="1" x14ac:dyDescent="0.35">
      <c r="B61" s="1" t="s">
        <v>315</v>
      </c>
      <c r="C61" s="1"/>
      <c r="D61" s="1"/>
    </row>
    <row r="62" spans="2:4" ht="21" customHeight="1" x14ac:dyDescent="0.35">
      <c r="B62" s="14" t="s">
        <v>316</v>
      </c>
      <c r="C62" s="24">
        <f>IF('Net vendeur'!$C$65&lt;&gt;"OK","",'Net vendeur'!$C$11-'Net vendeur'!$C$15-'Net vendeur'!$C$18-'Net vendeur'!$C$19-'Net vendeur'!$C$20-'Net vendeur'!$C$59)</f>
        <v>206245.93641052634</v>
      </c>
      <c r="D62" s="9" t="s">
        <v>317</v>
      </c>
    </row>
    <row r="63" spans="2:4" x14ac:dyDescent="0.35">
      <c r="B63" s="10" t="s">
        <v>318</v>
      </c>
      <c r="C63" s="22">
        <f>IF('Net vendeur'!$C$65&lt;&gt;"OK","",'Net vendeur'!$C$11/'Net vendeur'!$C$7)</f>
        <v>0.95693779904306231</v>
      </c>
      <c r="D63" s="9" t="s">
        <v>319</v>
      </c>
    </row>
    <row r="64" spans="2:4" x14ac:dyDescent="0.35">
      <c r="B64" s="10" t="s">
        <v>320</v>
      </c>
      <c r="C64" s="22">
        <f>IF(OR('Net vendeur'!$C$65&lt;&gt;"OK",'Net vendeur'!$C$11&lt;=0),"",('Net vendeur'!$C$11-'Net vendeur'!$C$59)/'Net vendeur'!$C$11)</f>
        <v>0.97143182739999989</v>
      </c>
      <c r="D64" s="9" t="s">
        <v>321</v>
      </c>
    </row>
    <row r="65" spans="2:4" x14ac:dyDescent="0.35">
      <c r="B65" s="10" t="s">
        <v>322</v>
      </c>
      <c r="C65" s="16" t="str">
        <f>IF(AND('Net vendeur'!$C$12="OK",'Net vendeur'!$C$21="OK",'Net vendeur'!$C$34="OK",'Net vendeur'!$C$42="OK",COUNT(Paramètres!$C$8:$C$15)=8,COUNT(Paramètres!$B$19:$B$49)=31,COUNT(Paramètres!$C$19:$C$49)=31,COUNT(Paramètres!$D$19:$D$49)=31,COUNT(Paramètres!$B$53:$B$62)=10,COUNT(Paramètres!$C$53:$C$62)=10,COUNT(Paramètres!$D$53:$D$62)=10,COUNT(Paramètres!$E$53:$E$62)=10,ISNUMBER(Paramètres!$C$82)),"OK","À CORRIGER")</f>
        <v>OK</v>
      </c>
      <c r="D65" s="9" t="s">
        <v>323</v>
      </c>
    </row>
    <row r="67" spans="2:4" ht="36" customHeight="1" x14ac:dyDescent="0.35">
      <c r="B67" s="42" t="s">
        <v>223</v>
      </c>
      <c r="C67" s="40"/>
      <c r="D67" s="40"/>
    </row>
  </sheetData>
  <sheetProtection sheet="1" formatColumns="0" formatRows="0"/>
  <mergeCells count="1">
    <mergeCell ref="B67:D67"/>
  </mergeCells>
  <conditionalFormatting sqref="C12">
    <cfRule type="cellIs" dxfId="13" priority="1" operator="equal">
      <formula>"OK"</formula>
    </cfRule>
    <cfRule type="cellIs" dxfId="12" priority="2" operator="equal">
      <formula>"À CORRIGER"</formula>
    </cfRule>
  </conditionalFormatting>
  <conditionalFormatting sqref="C21">
    <cfRule type="cellIs" dxfId="11" priority="3" operator="equal">
      <formula>"OK"</formula>
    </cfRule>
    <cfRule type="cellIs" dxfId="10" priority="4" operator="equal">
      <formula>"À CORRIGER"</formula>
    </cfRule>
  </conditionalFormatting>
  <conditionalFormatting sqref="C34">
    <cfRule type="cellIs" dxfId="9" priority="5" operator="equal">
      <formula>"OK"</formula>
    </cfRule>
    <cfRule type="cellIs" dxfId="8" priority="6" operator="equal">
      <formula>"À CORRIGER"</formula>
    </cfRule>
  </conditionalFormatting>
  <conditionalFormatting sqref="C42">
    <cfRule type="cellIs" dxfId="7" priority="7" operator="equal">
      <formula>"OK"</formula>
    </cfRule>
    <cfRule type="cellIs" dxfId="6" priority="8" operator="equal">
      <formula>"À CORRIGER"</formula>
    </cfRule>
  </conditionalFormatting>
  <conditionalFormatting sqref="C65">
    <cfRule type="cellIs" dxfId="5" priority="9" operator="equal">
      <formula>"OK"</formula>
    </cfRule>
    <cfRule type="cellIs" dxfId="4" priority="10" operator="equal">
      <formula>"À CORRIGER"</formula>
    </cfRule>
  </conditionalFormatting>
  <dataValidations count="4">
    <dataValidation type="decimal" operator="greaterThanOrEqual" allowBlank="1" showErrorMessage="1" errorTitle="Saisie" error="Valeur hors des bornes admises." sqref="C7 C33 C31 C26 C18:C20 C15" xr:uid="{00000000-0002-0000-0100-000009000000}">
      <formula1>0</formula1>
    </dataValidation>
    <dataValidation type="decimal" allowBlank="1" showErrorMessage="1" errorTitle="Saisie" error="Valeur hors des bornes admises." sqref="C8" xr:uid="{00000000-0002-0000-0100-00000A000000}">
      <formula1>0</formula1>
      <formula2>0.15</formula2>
    </dataValidation>
    <dataValidation type="decimal" allowBlank="1" showErrorMessage="1" errorTitle="Saisie" error="Valeur hors des bornes admises." sqref="C16" xr:uid="{00000000-0002-0000-0100-00000C000000}">
      <formula1>0</formula1>
      <formula2>0.2</formula2>
    </dataValidation>
    <dataValidation type="date" allowBlank="1" showErrorMessage="1" errorTitle="Date" error="Saisissez une vraie date, au format jj/mm/aaaa, entre 1950 et 2100." sqref="C27:C28" xr:uid="{00000000-0002-0000-0100-000013000000}">
      <formula1>18264</formula1>
      <formula2>73415</formula2>
    </dataValidation>
  </dataValidations>
  <pageMargins left="0.75" right="0.75" top="1" bottom="1" header="0.5" footer="0.5"/>
  <drawing r:id="rId1"/>
  <extLst>
    <ext xmlns:x14="http://schemas.microsoft.com/office/spreadsheetml/2009/9/main" uri="{CCE6A557-97BC-4b89-ADB6-D9C93CAAB3DF}">
      <x14:dataValidations xmlns:xm="http://schemas.microsoft.com/office/excel/2006/main" count="7">
        <x14:dataValidation type="list" allowBlank="1" showErrorMessage="1" errorTitle="Choisir dans la liste" error="Choisissez une valeur de la liste de l'onglet Paramètres." xr:uid="{00000000-0002-0000-0100-000000000000}">
          <x14:formula1>
            <xm:f>Paramètres!$B$99:$B$100</xm:f>
          </x14:formula1>
          <xm:sqref>C9</xm:sqref>
        </x14:dataValidation>
        <x14:dataValidation type="list" allowBlank="1" showErrorMessage="1" errorTitle="Choisir dans la liste" error="Choisissez une valeur de la liste de l'onglet Paramètres." xr:uid="{00000000-0002-0000-0100-000001000000}">
          <x14:formula1>
            <xm:f>Paramètres!$G$99:$G$100</xm:f>
          </x14:formula1>
          <xm:sqref>C24</xm:sqref>
        </x14:dataValidation>
        <x14:dataValidation type="list" allowBlank="1" showErrorMessage="1" errorTitle="Choisir dans la liste" error="Choisissez une valeur de la liste de l'onglet Paramètres." xr:uid="{00000000-0002-0000-0100-000002000000}">
          <x14:formula1>
            <xm:f>Paramètres!$D$99:$D$101</xm:f>
          </x14:formula1>
          <xm:sqref>C25</xm:sqref>
        </x14:dataValidation>
        <x14:dataValidation type="list" allowBlank="1" showErrorMessage="1" errorTitle="Choisir dans la liste" error="Choisissez une valeur de la liste de l'onglet Paramètres." xr:uid="{00000000-0002-0000-0100-000003000000}">
          <x14:formula1>
            <xm:f>Paramètres!$E$99:$E$100</xm:f>
          </x14:formula1>
          <xm:sqref>C30</xm:sqref>
        </x14:dataValidation>
        <x14:dataValidation type="list" allowBlank="1" showErrorMessage="1" errorTitle="Choisir dans la liste" error="Choisissez une valeur de la liste de l'onglet Paramètres." xr:uid="{00000000-0002-0000-0100-000004000000}">
          <x14:formula1>
            <xm:f>Paramètres!$F$99:$F$101</xm:f>
          </x14:formula1>
          <xm:sqref>C32</xm:sqref>
        </x14:dataValidation>
        <x14:dataValidation type="list" allowBlank="1" showErrorMessage="1" errorTitle="Choisir dans la liste" error="Choisissez une valeur de la liste de l'onglet Paramètres." xr:uid="{00000000-0002-0000-0100-000005000000}">
          <x14:formula1>
            <xm:f>Paramètres!$H$99:$H$103</xm:f>
          </x14:formula1>
          <xm:sqref>C37</xm:sqref>
        </x14:dataValidation>
        <x14:dataValidation type="list" allowBlank="1" showErrorMessage="1" errorTitle="Choisir dans la liste" error="Oui ou Non." xr:uid="{00000000-0002-0000-0100-000006000000}">
          <x14:formula1>
            <xm:f>Paramètres!$C$99:$C$100</xm:f>
          </x14:formula1>
          <xm:sqref>C39:C41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35"/>
  <sheetViews>
    <sheetView showGridLines="0" workbookViewId="0">
      <selection activeCell="B1" sqref="B1"/>
    </sheetView>
  </sheetViews>
  <sheetFormatPr baseColWidth="10" defaultColWidth="8.7265625" defaultRowHeight="14.5" x14ac:dyDescent="0.35"/>
  <cols>
    <col min="1" max="1" width="2" customWidth="1"/>
    <col min="2" max="2" width="46" customWidth="1"/>
    <col min="3" max="5" width="14" customWidth="1"/>
    <col min="6" max="6" width="62" customWidth="1"/>
  </cols>
  <sheetData>
    <row r="1" spans="2:6" ht="20" customHeight="1" x14ac:dyDescent="0.35">
      <c r="B1" s="1" t="s">
        <v>0</v>
      </c>
      <c r="C1" s="1"/>
      <c r="D1" s="1"/>
      <c r="E1" s="1"/>
      <c r="F1" s="1"/>
    </row>
    <row r="2" spans="2:6" ht="26" customHeight="1" x14ac:dyDescent="0.35">
      <c r="B2" s="2" t="s">
        <v>324</v>
      </c>
    </row>
    <row r="3" spans="2:6" x14ac:dyDescent="0.35">
      <c r="B3" s="3" t="s">
        <v>325</v>
      </c>
    </row>
    <row r="5" spans="2:6" x14ac:dyDescent="0.35">
      <c r="B5" s="9" t="s">
        <v>226</v>
      </c>
    </row>
    <row r="6" spans="2:6" ht="18" customHeight="1" x14ac:dyDescent="0.35">
      <c r="B6" s="1" t="s">
        <v>326</v>
      </c>
      <c r="C6" s="1"/>
      <c r="D6" s="1"/>
      <c r="E6" s="1"/>
      <c r="F6" s="1"/>
    </row>
    <row r="7" spans="2:6" ht="30" customHeight="1" x14ac:dyDescent="0.35">
      <c r="B7" s="25" t="s">
        <v>327</v>
      </c>
      <c r="C7" s="25" t="s">
        <v>328</v>
      </c>
      <c r="D7" s="25" t="s">
        <v>329</v>
      </c>
      <c r="E7" s="25" t="s">
        <v>330</v>
      </c>
      <c r="F7" s="25" t="s">
        <v>331</v>
      </c>
    </row>
    <row r="8" spans="2:6" ht="16.5" customHeight="1" x14ac:dyDescent="0.35">
      <c r="B8" s="10" t="s">
        <v>332</v>
      </c>
      <c r="C8" s="26">
        <v>4</v>
      </c>
      <c r="D8" s="26">
        <v>3</v>
      </c>
      <c r="E8" s="27">
        <f t="shared" ref="E8:E15" si="0">IF(AND(ISNUMBER(C8),ISNUMBER(D8)),C8*D8,"")</f>
        <v>12</v>
      </c>
      <c r="F8" s="28" t="s">
        <v>333</v>
      </c>
    </row>
    <row r="9" spans="2:6" ht="30" customHeight="1" x14ac:dyDescent="0.35">
      <c r="B9" s="10" t="s">
        <v>334</v>
      </c>
      <c r="C9" s="26">
        <v>2</v>
      </c>
      <c r="D9" s="26">
        <v>3</v>
      </c>
      <c r="E9" s="27">
        <f t="shared" si="0"/>
        <v>6</v>
      </c>
      <c r="F9" s="28" t="s">
        <v>335</v>
      </c>
    </row>
    <row r="10" spans="2:6" ht="16.5" customHeight="1" x14ac:dyDescent="0.35">
      <c r="B10" s="10" t="s">
        <v>336</v>
      </c>
      <c r="C10" s="26">
        <v>4</v>
      </c>
      <c r="D10" s="26">
        <v>2</v>
      </c>
      <c r="E10" s="27">
        <f t="shared" si="0"/>
        <v>8</v>
      </c>
      <c r="F10" s="28" t="s">
        <v>337</v>
      </c>
    </row>
    <row r="11" spans="2:6" ht="16.5" customHeight="1" x14ac:dyDescent="0.35">
      <c r="B11" s="10" t="s">
        <v>338</v>
      </c>
      <c r="C11" s="26">
        <v>3</v>
      </c>
      <c r="D11" s="26">
        <v>2</v>
      </c>
      <c r="E11" s="27">
        <f t="shared" si="0"/>
        <v>6</v>
      </c>
      <c r="F11" s="28" t="s">
        <v>339</v>
      </c>
    </row>
    <row r="12" spans="2:6" ht="30" customHeight="1" x14ac:dyDescent="0.35">
      <c r="B12" s="10" t="s">
        <v>340</v>
      </c>
      <c r="C12" s="26">
        <v>3</v>
      </c>
      <c r="D12" s="26">
        <v>1</v>
      </c>
      <c r="E12" s="27">
        <f t="shared" si="0"/>
        <v>3</v>
      </c>
      <c r="F12" s="28" t="s">
        <v>341</v>
      </c>
    </row>
    <row r="13" spans="2:6" ht="16.5" customHeight="1" x14ac:dyDescent="0.35">
      <c r="B13" s="10" t="s">
        <v>342</v>
      </c>
      <c r="C13" s="26">
        <v>2</v>
      </c>
      <c r="D13" s="26">
        <v>3</v>
      </c>
      <c r="E13" s="27">
        <f t="shared" si="0"/>
        <v>6</v>
      </c>
      <c r="F13" s="28" t="s">
        <v>343</v>
      </c>
    </row>
    <row r="14" spans="2:6" ht="43.5" customHeight="1" x14ac:dyDescent="0.35">
      <c r="B14" s="10" t="s">
        <v>344</v>
      </c>
      <c r="C14" s="26">
        <v>4</v>
      </c>
      <c r="D14" s="26">
        <v>2</v>
      </c>
      <c r="E14" s="27">
        <f t="shared" si="0"/>
        <v>8</v>
      </c>
      <c r="F14" s="28" t="s">
        <v>345</v>
      </c>
    </row>
    <row r="15" spans="2:6" ht="30" customHeight="1" x14ac:dyDescent="0.35">
      <c r="B15" s="10" t="s">
        <v>346</v>
      </c>
      <c r="C15" s="26">
        <v>4</v>
      </c>
      <c r="D15" s="26">
        <v>2</v>
      </c>
      <c r="E15" s="27">
        <f t="shared" si="0"/>
        <v>8</v>
      </c>
      <c r="F15" s="28" t="s">
        <v>347</v>
      </c>
    </row>
    <row r="17" spans="2:6" ht="18" customHeight="1" x14ac:dyDescent="0.35">
      <c r="B17" s="1" t="s">
        <v>348</v>
      </c>
      <c r="C17" s="1"/>
      <c r="D17" s="1"/>
      <c r="E17" s="1"/>
      <c r="F17" s="1"/>
    </row>
    <row r="18" spans="2:6" ht="30" customHeight="1" x14ac:dyDescent="0.35">
      <c r="B18" s="10" t="s">
        <v>349</v>
      </c>
      <c r="C18" s="12">
        <v>0.08</v>
      </c>
      <c r="F18" s="28" t="str">
        <f>"Au-delà de "&amp;ROUND(Paramètres!$C$85*100,0)&amp;" %"&amp;" (Paramètres, repères), le verdict devient éliminatoire quel que soit le score. Tapez 8 pour 8 %."</f>
        <v>Au-delà de 15 % (Paramètres, repères), le verdict devient éliminatoire quel que soit le score. Tapez 8 pour 8 %.</v>
      </c>
    </row>
    <row r="20" spans="2:6" ht="18" customHeight="1" x14ac:dyDescent="0.35">
      <c r="B20" s="1" t="s">
        <v>350</v>
      </c>
      <c r="C20" s="1"/>
      <c r="D20" s="1"/>
      <c r="E20" s="1"/>
      <c r="F20" s="1"/>
    </row>
    <row r="21" spans="2:6" x14ac:dyDescent="0.35">
      <c r="B21" s="10" t="s">
        <v>351</v>
      </c>
      <c r="C21" s="27">
        <f>IF($C$27&lt;&gt;"OK","",SUM($E$8:$E$15))</f>
        <v>57</v>
      </c>
      <c r="F21" s="28" t="s">
        <v>352</v>
      </c>
    </row>
    <row r="22" spans="2:6" x14ac:dyDescent="0.35">
      <c r="B22" s="10" t="s">
        <v>353</v>
      </c>
      <c r="C22" s="27">
        <f>IF($C$27&lt;&gt;"OK","",SUM($D$8:$D$15)*Paramètres!$C$83)</f>
        <v>90</v>
      </c>
      <c r="F22" s="28" t="s">
        <v>354</v>
      </c>
    </row>
    <row r="23" spans="2:6" ht="21" customHeight="1" x14ac:dyDescent="0.35">
      <c r="B23" s="14" t="s">
        <v>157</v>
      </c>
      <c r="C23" s="29">
        <f>IF(OR($C$27&lt;&gt;"OK",$C$22&lt;=0),"",$C$21/$C$22)</f>
        <v>0.6333333333333333</v>
      </c>
      <c r="F23" s="28" t="s">
        <v>355</v>
      </c>
    </row>
    <row r="24" spans="2:6" x14ac:dyDescent="0.35">
      <c r="B24" s="14" t="s">
        <v>356</v>
      </c>
      <c r="C24" s="30" t="str">
        <f>IF($C$27&lt;&gt;"OK","",IF($C$23="","",IF($C$18&gt;Paramètres!$C$85,Paramètres!$B$95,INDEX(Paramètres!$B$91:$B$94,MATCH($C$23,Paramètres!$C$91:$C$94,1)))))</f>
        <v>Prenez-le, mais négociez le prix avant de signer</v>
      </c>
      <c r="F24" s="28" t="s">
        <v>357</v>
      </c>
    </row>
    <row r="25" spans="2:6" x14ac:dyDescent="0.35">
      <c r="B25" s="10" t="s">
        <v>358</v>
      </c>
      <c r="C25" s="22">
        <f>Paramètres!$C$92</f>
        <v>0.4</v>
      </c>
      <c r="F25" s="28" t="s">
        <v>359</v>
      </c>
    </row>
    <row r="26" spans="2:6" x14ac:dyDescent="0.35">
      <c r="B26" s="10" t="s">
        <v>360</v>
      </c>
      <c r="C26" s="22">
        <f>Paramètres!$C$94</f>
        <v>0.75</v>
      </c>
      <c r="F26" s="28" t="s">
        <v>361</v>
      </c>
    </row>
    <row r="27" spans="2:6" ht="30" customHeight="1" x14ac:dyDescent="0.35">
      <c r="B27" s="14" t="s">
        <v>362</v>
      </c>
      <c r="C27" s="16" t="str">
        <f>IF(IF(AND(COUNT($C$8:$C$15)=8,COUNT($D$8:$D$15)=8,ISNUMBER(Paramètres!$C$83),ISNUMBER(Paramètres!$C$84),ISNUMBER(Paramètres!$C$85),ISNUMBER(Paramètres!$C$82)),AND(MIN($C$8:$C$15)&gt;=0,MAX($C$8:$C$15)&lt;=Paramètres!$C$83,SUMPRODUCT(--($C$8:$C$15&lt;&gt;INT($C$8:$C$15)))=0,MIN($D$8:$D$15)&gt;=0,MAX($D$8:$D$15)&lt;=Paramètres!$C$84,SUMPRODUCT(--($D$8:$D$15&lt;&gt;INT($D$8:$D$15)))=0,SUM($D$8:$D$15)&gt;0,OR($C$18="",AND(ISNUMBER($C$18),$C$18&gt;=0,$C$18&lt;=1)),AND(ISNUMBER(Paramètres!$C$82),OR(NOT(ISNUMBER($C$18)),$C$18&lt;=0,$C$18&gt;=Paramètres!$C$82))),FALSE),"OK","À CORRIGER")</f>
        <v>OK</v>
      </c>
      <c r="F27" s="28" t="s">
        <v>363</v>
      </c>
    </row>
    <row r="29" spans="2:6" ht="18" customHeight="1" x14ac:dyDescent="0.35">
      <c r="B29" s="1" t="s">
        <v>364</v>
      </c>
      <c r="C29" s="1"/>
      <c r="D29" s="1"/>
      <c r="E29" s="1"/>
      <c r="F29" s="1"/>
    </row>
    <row r="30" spans="2:6" x14ac:dyDescent="0.35">
      <c r="B30" s="9" t="s">
        <v>365</v>
      </c>
    </row>
    <row r="31" spans="2:6" x14ac:dyDescent="0.35">
      <c r="B31" s="9" t="s">
        <v>366</v>
      </c>
    </row>
    <row r="32" spans="2:6" x14ac:dyDescent="0.35">
      <c r="B32" s="9" t="s">
        <v>367</v>
      </c>
    </row>
    <row r="33" spans="2:6" x14ac:dyDescent="0.35">
      <c r="B33" s="9" t="s">
        <v>368</v>
      </c>
    </row>
    <row r="35" spans="2:6" ht="36" customHeight="1" x14ac:dyDescent="0.35">
      <c r="B35" s="42" t="s">
        <v>223</v>
      </c>
      <c r="C35" s="40"/>
      <c r="D35" s="40"/>
      <c r="E35" s="40"/>
      <c r="F35" s="40"/>
    </row>
  </sheetData>
  <sheetProtection sheet="1" formatColumns="0" formatRows="0"/>
  <mergeCells count="1">
    <mergeCell ref="B35:F35"/>
  </mergeCells>
  <conditionalFormatting sqref="C23">
    <cfRule type="expression" dxfId="3" priority="1">
      <formula>AND(ISNUMBER($C$23),ISNUMBER($C$26),$C$23&gt;=$C$26)</formula>
    </cfRule>
    <cfRule type="expression" dxfId="2" priority="2">
      <formula>AND(ISNUMBER($C$23),ISNUMBER($C$25),$C$23&lt;$C$25)</formula>
    </cfRule>
  </conditionalFormatting>
  <conditionalFormatting sqref="C27">
    <cfRule type="cellIs" dxfId="1" priority="3" operator="equal">
      <formula>"OK"</formula>
    </cfRule>
    <cfRule type="cellIs" dxfId="0" priority="4" operator="equal">
      <formula>"À CORRIGER"</formula>
    </cfRule>
  </conditionalFormatting>
  <dataValidations count="3">
    <dataValidation type="whole" allowBlank="1" showErrorMessage="1" errorTitle="Saisie" error="Une note entière de 0 à 5. Une note laissée vide fait passer le contrôle au rouge." sqref="C8:C15" xr:uid="{00000000-0002-0000-0200-000000000000}">
      <formula1>0</formula1>
      <formula2>5</formula2>
    </dataValidation>
    <dataValidation type="whole" allowBlank="1" showErrorMessage="1" errorTitle="Saisie" error="Un poids entier de 0 à 5." sqref="D8:D15" xr:uid="{00000000-0002-0000-0200-000001000000}">
      <formula1>0</formula1>
      <formula2>5</formula2>
    </dataValidation>
    <dataValidation type="decimal" allowBlank="1" showErrorMessage="1" errorTitle="Saisie" error="Un pourcentage entre 0 et 100 %. Tapez 8 pour 8 %." sqref="C18" xr:uid="{00000000-0002-0000-0200-000010000000}">
      <formula1>0</formula1>
      <formula2>1</formula2>
    </dataValidation>
  </dataValidation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10"/>
  <sheetViews>
    <sheetView showGridLines="0" workbookViewId="0">
      <selection activeCell="B1" sqref="B1"/>
    </sheetView>
  </sheetViews>
  <sheetFormatPr baseColWidth="10" defaultColWidth="8.7265625" defaultRowHeight="14.5" x14ac:dyDescent="0.35"/>
  <cols>
    <col min="1" max="1" width="2" customWidth="1"/>
    <col min="2" max="2" width="56" customWidth="1"/>
    <col min="3" max="3" width="16" customWidth="1"/>
    <col min="4" max="4" width="42" customWidth="1"/>
    <col min="5" max="5" width="28" customWidth="1"/>
    <col min="6" max="6" width="52" customWidth="1"/>
    <col min="7" max="7" width="26" customWidth="1"/>
    <col min="8" max="8" width="44" customWidth="1"/>
  </cols>
  <sheetData>
    <row r="1" spans="2:6" ht="20" customHeight="1" x14ac:dyDescent="0.35">
      <c r="B1" s="1" t="s">
        <v>0</v>
      </c>
      <c r="C1" s="1"/>
      <c r="D1" s="1"/>
      <c r="E1" s="1"/>
      <c r="F1" s="1"/>
    </row>
    <row r="2" spans="2:6" ht="26" customHeight="1" x14ac:dyDescent="0.35">
      <c r="B2" s="2" t="s">
        <v>33</v>
      </c>
    </row>
    <row r="3" spans="2:6" x14ac:dyDescent="0.35">
      <c r="B3" s="3" t="s">
        <v>369</v>
      </c>
    </row>
    <row r="5" spans="2:6" x14ac:dyDescent="0.35">
      <c r="B5" s="9" t="s">
        <v>226</v>
      </c>
    </row>
    <row r="6" spans="2:6" ht="18" customHeight="1" x14ac:dyDescent="0.35">
      <c r="B6" s="1" t="s">
        <v>370</v>
      </c>
      <c r="C6" s="1"/>
      <c r="D6" s="1"/>
      <c r="E6" s="1"/>
      <c r="F6" s="1"/>
    </row>
    <row r="7" spans="2:6" ht="30" customHeight="1" x14ac:dyDescent="0.35">
      <c r="B7" s="25" t="s">
        <v>164</v>
      </c>
      <c r="C7" s="25" t="s">
        <v>371</v>
      </c>
      <c r="D7" s="25" t="s">
        <v>372</v>
      </c>
      <c r="E7" s="25" t="s">
        <v>373</v>
      </c>
      <c r="F7" s="25" t="s">
        <v>374</v>
      </c>
    </row>
    <row r="8" spans="2:6" ht="30" customHeight="1" x14ac:dyDescent="0.35">
      <c r="B8" s="31" t="s">
        <v>375</v>
      </c>
      <c r="C8" s="12">
        <v>0.19</v>
      </c>
      <c r="D8" s="28" t="str">
        <f>"CGI art. 200 B et 150 VF, taux proportionnel de 19 %. Legifrance, version en vigueur au 01/01/2026. Vérifié le "&amp;TEXT(DAY(Paramètres!$C$105),"00")&amp;"/"&amp;TEXT(MONTH(Paramètres!$C$105),"00")&amp;"/"&amp;YEAR(Paramètres!$C$105)&amp;"."</f>
        <v>CGI art. 200 B et 150 VF, taux proportionnel de 19 %. Legifrance, version en vigueur au 01/01/2026. Vérifié le 05/09/2026.</v>
      </c>
      <c r="E8" s="28" t="s">
        <v>376</v>
      </c>
      <c r="F8" s="28" t="s">
        <v>377</v>
      </c>
    </row>
    <row r="9" spans="2:6" ht="43.5" customHeight="1" x14ac:dyDescent="0.35">
      <c r="B9" s="31" t="s">
        <v>378</v>
      </c>
      <c r="C9" s="12">
        <v>0.17199999999999999</v>
      </c>
      <c r="D9" s="28" t="str">
        <f>"CSS art. L136-7 et L136-8, CGI art. 235 ter. La hausse de CSG de la loi de financement pour 2026 ne vise pas les plus-values immobilières, maintenues à 17,2 %. service-public.gouv.fr, fiche F10864 du 15/04/2026. Vérifié le "&amp;TEXT(DAY(Paramètres!$C$105),"00")&amp;"/"&amp;TEXT(MONTH(Paramètres!$C$105),"00")&amp;"/"&amp;YEAR(Paramètres!$C$105)&amp;"."</f>
        <v>CSS art. L136-7 et L136-8, CGI art. 235 ter. La hausse de CSG de la loi de financement pour 2026 ne vise pas les plus-values immobilières, maintenues à 17,2 %. service-public.gouv.fr, fiche F10864 du 15/04/2026. Vérifié le 05/09/2026.</v>
      </c>
      <c r="E9" s="28" t="s">
        <v>379</v>
      </c>
      <c r="F9" s="28" t="s">
        <v>380</v>
      </c>
    </row>
    <row r="10" spans="2:6" ht="43.5" customHeight="1" x14ac:dyDescent="0.35">
      <c r="B10" s="31" t="s">
        <v>381</v>
      </c>
      <c r="C10" s="12">
        <v>7.4999999999999997E-2</v>
      </c>
      <c r="D10" s="28" t="str">
        <f>"CGI art. 150 VB, II-3° ; BOFiP BOI-RFPI-PVI-20-10-20-20 du 20/12/2013, § 30 : forfait de 7,5 % du prix, sur option, réservé aux acquisitions à titre onéreux. Vérifié le "&amp;TEXT(DAY(Paramètres!$C$105),"00")&amp;"/"&amp;TEXT(MONTH(Paramètres!$C$105),"00")&amp;"/"&amp;YEAR(Paramètres!$C$105)&amp;"."</f>
        <v>CGI art. 150 VB, II-3° ; BOFiP BOI-RFPI-PVI-20-10-20-20 du 20/12/2013, § 30 : forfait de 7,5 % du prix, sur option, réservé aux acquisitions à titre onéreux. Vérifié le 05/09/2026.</v>
      </c>
      <c r="E10" s="28" t="s">
        <v>382</v>
      </c>
      <c r="F10" s="28" t="s">
        <v>383</v>
      </c>
    </row>
    <row r="11" spans="2:6" ht="43.5" customHeight="1" x14ac:dyDescent="0.35">
      <c r="B11" s="31" t="s">
        <v>384</v>
      </c>
      <c r="C11" s="12">
        <v>0.15</v>
      </c>
      <c r="D11" s="28" t="str">
        <f>"CGI art. 150 VB, II-4° ; BOFiP BOI-RFPI-PVI-20-10-20-20, § 360 et § 380 : 15 % du prix d'acquisition, sans justificatif, pour un immeuble bâti détenu depuis plus de cinq ans. Vérifié le "&amp;TEXT(DAY(Paramètres!$C$105),"00")&amp;"/"&amp;TEXT(MONTH(Paramètres!$C$105),"00")&amp;"/"&amp;YEAR(Paramètres!$C$105)&amp;"."</f>
        <v>CGI art. 150 VB, II-4° ; BOFiP BOI-RFPI-PVI-20-10-20-20, § 360 et § 380 : 15 % du prix d'acquisition, sans justificatif, pour un immeuble bâti détenu depuis plus de cinq ans. Vérifié le 05/09/2026.</v>
      </c>
      <c r="E11" s="28" t="s">
        <v>382</v>
      </c>
      <c r="F11" s="28" t="s">
        <v>385</v>
      </c>
    </row>
    <row r="12" spans="2:6" ht="30" customHeight="1" x14ac:dyDescent="0.35">
      <c r="B12" s="31" t="s">
        <v>386</v>
      </c>
      <c r="C12" s="32">
        <v>5</v>
      </c>
      <c r="D12" s="28" t="str">
        <f>"BOFiP BOI-RFPI-PVI-20-10-20-20, § 360 : plus de cinq ans après l'acquisition, apprécié de date à date. Vérifié le "&amp;TEXT(DAY(Paramètres!$C$105),"00")&amp;"/"&amp;TEXT(MONTH(Paramètres!$C$105),"00")&amp;"/"&amp;YEAR(Paramètres!$C$105)&amp;"."</f>
        <v>BOFiP BOI-RFPI-PVI-20-10-20-20, § 360 : plus de cinq ans après l'acquisition, apprécié de date à date. Vérifié le 05/09/2026.</v>
      </c>
      <c r="E12" s="28" t="s">
        <v>387</v>
      </c>
      <c r="F12" s="28" t="s">
        <v>388</v>
      </c>
    </row>
    <row r="13" spans="2:6" ht="30" customHeight="1" x14ac:dyDescent="0.35">
      <c r="B13" s="31" t="s">
        <v>389</v>
      </c>
      <c r="C13" s="11">
        <v>15000</v>
      </c>
      <c r="D13" s="28" t="str">
        <f>"CGI art. 150 U, II-6° ; BOFiP BOI-RFPI-PVI-10-40 : prix de cession inférieur ou égal à 15 000 €, apprécié bien par bien et par vendeur. Vérifié le "&amp;TEXT(DAY(Paramètres!$C$105),"00")&amp;"/"&amp;TEXT(MONTH(Paramètres!$C$105),"00")&amp;"/"&amp;YEAR(Paramètres!$C$105)&amp;"."</f>
        <v>CGI art. 150 U, II-6° ; BOFiP BOI-RFPI-PVI-10-40 : prix de cession inférieur ou égal à 15 000 €, apprécié bien par bien et par vendeur. Vérifié le 05/09/2026.</v>
      </c>
      <c r="E13" s="28" t="s">
        <v>376</v>
      </c>
      <c r="F13" s="28" t="s">
        <v>390</v>
      </c>
    </row>
    <row r="14" spans="2:6" ht="30" customHeight="1" x14ac:dyDescent="0.35">
      <c r="B14" s="31" t="s">
        <v>391</v>
      </c>
      <c r="C14" s="12">
        <v>0.03</v>
      </c>
      <c r="D14" s="28" t="str">
        <f>"Code de la consommation art. L313-47 et R313-25, version en vigueur au 01/07/2016 : 3 % du capital restant dû avant le remboursement. Vérifié le "&amp;TEXT(DAY(Paramètres!$C$105),"00")&amp;"/"&amp;TEXT(MONTH(Paramètres!$C$105),"00")&amp;"/"&amp;YEAR(Paramètres!$C$105)&amp;"."</f>
        <v>Code de la consommation art. L313-47 et R313-25, version en vigueur au 01/07/2016 : 3 % du capital restant dû avant le remboursement. Vérifié le 05/09/2026.</v>
      </c>
      <c r="E14" s="28" t="s">
        <v>387</v>
      </c>
      <c r="F14" s="28" t="s">
        <v>392</v>
      </c>
    </row>
    <row r="15" spans="2:6" ht="43.5" customHeight="1" x14ac:dyDescent="0.35">
      <c r="B15" s="31" t="s">
        <v>393</v>
      </c>
      <c r="C15" s="33">
        <v>6</v>
      </c>
      <c r="D15" s="28" t="str">
        <f>"Code de la consommation art. R313-25 : un semestre d'intérêts sur le capital remboursé, au taux moyen du prêt. Le plus faible des deux plafonds s'applique. Vérifié le "&amp;TEXT(DAY(Paramètres!$C$105),"00")&amp;"/"&amp;TEXT(MONTH(Paramètres!$C$105),"00")&amp;"/"&amp;YEAR(Paramètres!$C$105)&amp;"."</f>
        <v>Code de la consommation art. R313-25 : un semestre d'intérêts sur le capital remboursé, au taux moyen du prêt. Le plus faible des deux plafonds s'applique. Vérifié le 05/09/2026.</v>
      </c>
      <c r="E15" s="28" t="s">
        <v>387</v>
      </c>
      <c r="F15" s="28" t="s">
        <v>394</v>
      </c>
    </row>
    <row r="17" spans="2:6" ht="18" customHeight="1" x14ac:dyDescent="0.35">
      <c r="B17" s="1" t="s">
        <v>395</v>
      </c>
      <c r="C17" s="1"/>
      <c r="D17" s="1"/>
      <c r="E17" s="1"/>
      <c r="F17" s="1"/>
    </row>
    <row r="18" spans="2:6" ht="30" customHeight="1" x14ac:dyDescent="0.35">
      <c r="B18" s="25" t="s">
        <v>396</v>
      </c>
      <c r="C18" s="25" t="s">
        <v>397</v>
      </c>
      <c r="D18" s="25" t="s">
        <v>398</v>
      </c>
      <c r="E18" s="25" t="s">
        <v>372</v>
      </c>
      <c r="F18" s="25" t="s">
        <v>374</v>
      </c>
    </row>
    <row r="19" spans="2:6" ht="150" customHeight="1" x14ac:dyDescent="0.35">
      <c r="B19" s="34">
        <v>0</v>
      </c>
      <c r="C19" s="12">
        <v>0</v>
      </c>
      <c r="D19" s="12">
        <v>0</v>
      </c>
      <c r="E19" s="28" t="s">
        <v>399</v>
      </c>
      <c r="F19" s="28" t="s">
        <v>400</v>
      </c>
    </row>
    <row r="20" spans="2:6" x14ac:dyDescent="0.35">
      <c r="B20" s="34">
        <v>1</v>
      </c>
      <c r="C20" s="12">
        <v>0</v>
      </c>
      <c r="D20" s="12">
        <v>0</v>
      </c>
    </row>
    <row r="21" spans="2:6" x14ac:dyDescent="0.35">
      <c r="B21" s="34">
        <v>2</v>
      </c>
      <c r="C21" s="12">
        <v>0</v>
      </c>
      <c r="D21" s="12">
        <v>0</v>
      </c>
    </row>
    <row r="22" spans="2:6" x14ac:dyDescent="0.35">
      <c r="B22" s="34">
        <v>3</v>
      </c>
      <c r="C22" s="12">
        <v>0</v>
      </c>
      <c r="D22" s="12">
        <v>0</v>
      </c>
    </row>
    <row r="23" spans="2:6" x14ac:dyDescent="0.35">
      <c r="B23" s="34">
        <v>4</v>
      </c>
      <c r="C23" s="12">
        <v>0</v>
      </c>
      <c r="D23" s="12">
        <v>0</v>
      </c>
    </row>
    <row r="24" spans="2:6" x14ac:dyDescent="0.35">
      <c r="B24" s="34">
        <v>5</v>
      </c>
      <c r="C24" s="12">
        <v>0</v>
      </c>
      <c r="D24" s="12">
        <v>0</v>
      </c>
    </row>
    <row r="25" spans="2:6" x14ac:dyDescent="0.35">
      <c r="B25" s="34">
        <v>6</v>
      </c>
      <c r="C25" s="12">
        <v>0.06</v>
      </c>
      <c r="D25" s="12">
        <v>1.6500000000000001E-2</v>
      </c>
    </row>
    <row r="26" spans="2:6" x14ac:dyDescent="0.35">
      <c r="B26" s="34">
        <v>7</v>
      </c>
      <c r="C26" s="12">
        <v>0.12</v>
      </c>
      <c r="D26" s="12">
        <v>3.3000000000000002E-2</v>
      </c>
    </row>
    <row r="27" spans="2:6" x14ac:dyDescent="0.35">
      <c r="B27" s="34">
        <v>8</v>
      </c>
      <c r="C27" s="12">
        <v>0.18</v>
      </c>
      <c r="D27" s="12">
        <v>4.9500000000000002E-2</v>
      </c>
    </row>
    <row r="28" spans="2:6" x14ac:dyDescent="0.35">
      <c r="B28" s="34">
        <v>9</v>
      </c>
      <c r="C28" s="12">
        <v>0.24</v>
      </c>
      <c r="D28" s="12">
        <v>6.6000000000000003E-2</v>
      </c>
    </row>
    <row r="29" spans="2:6" x14ac:dyDescent="0.35">
      <c r="B29" s="34">
        <v>10</v>
      </c>
      <c r="C29" s="12">
        <v>0.3</v>
      </c>
      <c r="D29" s="12">
        <v>8.2500000000000004E-2</v>
      </c>
    </row>
    <row r="30" spans="2:6" x14ac:dyDescent="0.35">
      <c r="B30" s="34">
        <v>11</v>
      </c>
      <c r="C30" s="12">
        <v>0.36</v>
      </c>
      <c r="D30" s="12">
        <v>9.9000000000000005E-2</v>
      </c>
    </row>
    <row r="31" spans="2:6" x14ac:dyDescent="0.35">
      <c r="B31" s="34">
        <v>12</v>
      </c>
      <c r="C31" s="12">
        <v>0.42</v>
      </c>
      <c r="D31" s="12">
        <v>0.11550000000000001</v>
      </c>
    </row>
    <row r="32" spans="2:6" x14ac:dyDescent="0.35">
      <c r="B32" s="34">
        <v>13</v>
      </c>
      <c r="C32" s="12">
        <v>0.48</v>
      </c>
      <c r="D32" s="12">
        <v>0.13200000000000001</v>
      </c>
    </row>
    <row r="33" spans="2:4" x14ac:dyDescent="0.35">
      <c r="B33" s="34">
        <v>14</v>
      </c>
      <c r="C33" s="12">
        <v>0.54</v>
      </c>
      <c r="D33" s="12">
        <v>0.14849999999999999</v>
      </c>
    </row>
    <row r="34" spans="2:4" x14ac:dyDescent="0.35">
      <c r="B34" s="34">
        <v>15</v>
      </c>
      <c r="C34" s="12">
        <v>0.6</v>
      </c>
      <c r="D34" s="12">
        <v>0.16500000000000001</v>
      </c>
    </row>
    <row r="35" spans="2:4" x14ac:dyDescent="0.35">
      <c r="B35" s="34">
        <v>16</v>
      </c>
      <c r="C35" s="12">
        <v>0.66</v>
      </c>
      <c r="D35" s="12">
        <v>0.18149999999999999</v>
      </c>
    </row>
    <row r="36" spans="2:4" x14ac:dyDescent="0.35">
      <c r="B36" s="34">
        <v>17</v>
      </c>
      <c r="C36" s="12">
        <v>0.72</v>
      </c>
      <c r="D36" s="12">
        <v>0.19800000000000001</v>
      </c>
    </row>
    <row r="37" spans="2:4" x14ac:dyDescent="0.35">
      <c r="B37" s="34">
        <v>18</v>
      </c>
      <c r="C37" s="12">
        <v>0.78</v>
      </c>
      <c r="D37" s="12">
        <v>0.2145</v>
      </c>
    </row>
    <row r="38" spans="2:4" x14ac:dyDescent="0.35">
      <c r="B38" s="34">
        <v>19</v>
      </c>
      <c r="C38" s="12">
        <v>0.84</v>
      </c>
      <c r="D38" s="12">
        <v>0.23100000000000001</v>
      </c>
    </row>
    <row r="39" spans="2:4" x14ac:dyDescent="0.35">
      <c r="B39" s="34">
        <v>20</v>
      </c>
      <c r="C39" s="12">
        <v>0.9</v>
      </c>
      <c r="D39" s="12">
        <v>0.2475</v>
      </c>
    </row>
    <row r="40" spans="2:4" x14ac:dyDescent="0.35">
      <c r="B40" s="34">
        <v>21</v>
      </c>
      <c r="C40" s="12">
        <v>0.96</v>
      </c>
      <c r="D40" s="12">
        <v>0.26400000000000001</v>
      </c>
    </row>
    <row r="41" spans="2:4" x14ac:dyDescent="0.35">
      <c r="B41" s="34">
        <v>22</v>
      </c>
      <c r="C41" s="12">
        <v>1</v>
      </c>
      <c r="D41" s="12">
        <v>0.28000000000000003</v>
      </c>
    </row>
    <row r="42" spans="2:4" x14ac:dyDescent="0.35">
      <c r="B42" s="34">
        <v>23</v>
      </c>
      <c r="C42" s="12">
        <v>1</v>
      </c>
      <c r="D42" s="12">
        <v>0.37</v>
      </c>
    </row>
    <row r="43" spans="2:4" x14ac:dyDescent="0.35">
      <c r="B43" s="34">
        <v>24</v>
      </c>
      <c r="C43" s="12">
        <v>1</v>
      </c>
      <c r="D43" s="12">
        <v>0.46</v>
      </c>
    </row>
    <row r="44" spans="2:4" x14ac:dyDescent="0.35">
      <c r="B44" s="34">
        <v>25</v>
      </c>
      <c r="C44" s="12">
        <v>1</v>
      </c>
      <c r="D44" s="12">
        <v>0.55000000000000004</v>
      </c>
    </row>
    <row r="45" spans="2:4" x14ac:dyDescent="0.35">
      <c r="B45" s="34">
        <v>26</v>
      </c>
      <c r="C45" s="12">
        <v>1</v>
      </c>
      <c r="D45" s="12">
        <v>0.64</v>
      </c>
    </row>
    <row r="46" spans="2:4" x14ac:dyDescent="0.35">
      <c r="B46" s="34">
        <v>27</v>
      </c>
      <c r="C46" s="12">
        <v>1</v>
      </c>
      <c r="D46" s="12">
        <v>0.73</v>
      </c>
    </row>
    <row r="47" spans="2:4" x14ac:dyDescent="0.35">
      <c r="B47" s="34">
        <v>28</v>
      </c>
      <c r="C47" s="12">
        <v>1</v>
      </c>
      <c r="D47" s="12">
        <v>0.82</v>
      </c>
    </row>
    <row r="48" spans="2:4" x14ac:dyDescent="0.35">
      <c r="B48" s="34">
        <v>29</v>
      </c>
      <c r="C48" s="12">
        <v>1</v>
      </c>
      <c r="D48" s="12">
        <v>0.91</v>
      </c>
    </row>
    <row r="49" spans="2:6" x14ac:dyDescent="0.35">
      <c r="B49" s="34">
        <v>30</v>
      </c>
      <c r="C49" s="12">
        <v>1</v>
      </c>
      <c r="D49" s="12">
        <v>1</v>
      </c>
    </row>
    <row r="51" spans="2:6" ht="18" customHeight="1" x14ac:dyDescent="0.35">
      <c r="B51" s="1" t="s">
        <v>401</v>
      </c>
      <c r="C51" s="1"/>
      <c r="D51" s="1"/>
      <c r="E51" s="1"/>
      <c r="F51" s="1"/>
    </row>
    <row r="52" spans="2:6" ht="30" customHeight="1" x14ac:dyDescent="0.35">
      <c r="B52" s="25" t="s">
        <v>402</v>
      </c>
      <c r="C52" s="25" t="s">
        <v>403</v>
      </c>
      <c r="D52" s="25" t="s">
        <v>404</v>
      </c>
      <c r="E52" s="25" t="s">
        <v>405</v>
      </c>
      <c r="F52" s="25" t="s">
        <v>406</v>
      </c>
    </row>
    <row r="53" spans="2:6" ht="110" customHeight="1" x14ac:dyDescent="0.35">
      <c r="B53" s="11">
        <v>50000</v>
      </c>
      <c r="C53" s="12">
        <v>0.02</v>
      </c>
      <c r="D53" s="35">
        <v>0.05</v>
      </c>
      <c r="E53" s="11">
        <v>60000</v>
      </c>
      <c r="F53" s="28" t="s">
        <v>407</v>
      </c>
    </row>
    <row r="54" spans="2:6" ht="44" customHeight="1" x14ac:dyDescent="0.35">
      <c r="B54" s="11">
        <v>60000</v>
      </c>
      <c r="C54" s="12">
        <v>0.02</v>
      </c>
      <c r="D54" s="35">
        <v>0</v>
      </c>
      <c r="E54" s="11">
        <v>0</v>
      </c>
      <c r="F54" s="28" t="s">
        <v>408</v>
      </c>
    </row>
    <row r="55" spans="2:6" x14ac:dyDescent="0.35">
      <c r="B55" s="11">
        <v>100000</v>
      </c>
      <c r="C55" s="12">
        <v>0.03</v>
      </c>
      <c r="D55" s="35">
        <v>0.1</v>
      </c>
      <c r="E55" s="11">
        <v>110000</v>
      </c>
    </row>
    <row r="56" spans="2:6" x14ac:dyDescent="0.35">
      <c r="B56" s="11">
        <v>110000</v>
      </c>
      <c r="C56" s="12">
        <v>0.03</v>
      </c>
      <c r="D56" s="35">
        <v>0</v>
      </c>
      <c r="E56" s="11">
        <v>0</v>
      </c>
    </row>
    <row r="57" spans="2:6" x14ac:dyDescent="0.35">
      <c r="B57" s="11">
        <v>150000</v>
      </c>
      <c r="C57" s="12">
        <v>0.04</v>
      </c>
      <c r="D57" s="35">
        <v>0.15</v>
      </c>
      <c r="E57" s="11">
        <v>160000</v>
      </c>
    </row>
    <row r="58" spans="2:6" x14ac:dyDescent="0.35">
      <c r="B58" s="11">
        <v>160000</v>
      </c>
      <c r="C58" s="12">
        <v>0.04</v>
      </c>
      <c r="D58" s="35">
        <v>0</v>
      </c>
      <c r="E58" s="11">
        <v>0</v>
      </c>
    </row>
    <row r="59" spans="2:6" x14ac:dyDescent="0.35">
      <c r="B59" s="11">
        <v>200000</v>
      </c>
      <c r="C59" s="12">
        <v>0.05</v>
      </c>
      <c r="D59" s="35">
        <v>0.2</v>
      </c>
      <c r="E59" s="11">
        <v>210000</v>
      </c>
    </row>
    <row r="60" spans="2:6" x14ac:dyDescent="0.35">
      <c r="B60" s="11">
        <v>210000</v>
      </c>
      <c r="C60" s="12">
        <v>0.05</v>
      </c>
      <c r="D60" s="35">
        <v>0</v>
      </c>
      <c r="E60" s="11">
        <v>0</v>
      </c>
    </row>
    <row r="61" spans="2:6" x14ac:dyDescent="0.35">
      <c r="B61" s="11">
        <v>250000</v>
      </c>
      <c r="C61" s="12">
        <v>0.06</v>
      </c>
      <c r="D61" s="35">
        <v>0.25</v>
      </c>
      <c r="E61" s="11">
        <v>260000</v>
      </c>
    </row>
    <row r="62" spans="2:6" x14ac:dyDescent="0.35">
      <c r="B62" s="11">
        <v>260000</v>
      </c>
      <c r="C62" s="12">
        <v>0.06</v>
      </c>
      <c r="D62" s="35">
        <v>0</v>
      </c>
      <c r="E62" s="11">
        <v>0</v>
      </c>
    </row>
    <row r="64" spans="2:6" ht="18" customHeight="1" x14ac:dyDescent="0.35">
      <c r="B64" s="1" t="s">
        <v>409</v>
      </c>
      <c r="C64" s="1"/>
      <c r="D64" s="1"/>
      <c r="E64" s="1"/>
      <c r="F64" s="1"/>
    </row>
    <row r="65" spans="2:6" ht="30" customHeight="1" x14ac:dyDescent="0.35">
      <c r="B65" s="25" t="s">
        <v>410</v>
      </c>
      <c r="C65" s="25" t="s">
        <v>411</v>
      </c>
      <c r="D65" s="25" t="s">
        <v>412</v>
      </c>
      <c r="E65" s="25" t="s">
        <v>413</v>
      </c>
      <c r="F65" s="25" t="s">
        <v>414</v>
      </c>
    </row>
    <row r="66" spans="2:6" ht="70.5" customHeight="1" x14ac:dyDescent="0.35">
      <c r="B66" s="4" t="s">
        <v>415</v>
      </c>
      <c r="C66" s="36">
        <v>1</v>
      </c>
      <c r="D66" s="28" t="s">
        <v>416</v>
      </c>
      <c r="E66" s="28" t="s">
        <v>417</v>
      </c>
      <c r="F66" s="28" t="s">
        <v>418</v>
      </c>
    </row>
    <row r="67" spans="2:6" ht="43.5" customHeight="1" x14ac:dyDescent="0.35">
      <c r="B67" s="4" t="s">
        <v>419</v>
      </c>
      <c r="C67" s="36">
        <v>2</v>
      </c>
      <c r="D67" s="28" t="s">
        <v>420</v>
      </c>
      <c r="E67" s="28" t="s">
        <v>417</v>
      </c>
      <c r="F67" s="28" t="s">
        <v>421</v>
      </c>
    </row>
    <row r="68" spans="2:6" ht="70.5" customHeight="1" x14ac:dyDescent="0.35">
      <c r="B68" s="4" t="s">
        <v>422</v>
      </c>
      <c r="C68" s="36">
        <v>3</v>
      </c>
      <c r="D68" s="28" t="s">
        <v>423</v>
      </c>
      <c r="E68" s="28" t="s">
        <v>417</v>
      </c>
      <c r="F68" s="28" t="s">
        <v>424</v>
      </c>
    </row>
    <row r="69" spans="2:6" ht="43.5" customHeight="1" x14ac:dyDescent="0.35">
      <c r="B69" s="4" t="s">
        <v>425</v>
      </c>
      <c r="C69" s="36">
        <v>4</v>
      </c>
      <c r="D69" s="28" t="s">
        <v>426</v>
      </c>
      <c r="E69" s="28" t="s">
        <v>417</v>
      </c>
      <c r="F69" s="28" t="s">
        <v>427</v>
      </c>
    </row>
    <row r="70" spans="2:6" ht="30" customHeight="1" x14ac:dyDescent="0.35">
      <c r="B70" s="4" t="s">
        <v>428</v>
      </c>
      <c r="C70" s="36">
        <v>5</v>
      </c>
      <c r="D70" s="28" t="s">
        <v>429</v>
      </c>
      <c r="E70" s="28" t="s">
        <v>417</v>
      </c>
      <c r="F70" s="28" t="s">
        <v>430</v>
      </c>
    </row>
    <row r="71" spans="2:6" ht="57" customHeight="1" x14ac:dyDescent="0.35">
      <c r="B71" s="4" t="s">
        <v>431</v>
      </c>
      <c r="C71" s="36">
        <v>6</v>
      </c>
      <c r="D71" s="28" t="s">
        <v>432</v>
      </c>
      <c r="E71" s="28" t="s">
        <v>433</v>
      </c>
      <c r="F71" s="28" t="s">
        <v>434</v>
      </c>
    </row>
    <row r="72" spans="2:6" ht="16.5" customHeight="1" x14ac:dyDescent="0.35">
      <c r="B72" s="4" t="s">
        <v>435</v>
      </c>
      <c r="C72" s="36">
        <v>7</v>
      </c>
      <c r="D72" s="28"/>
      <c r="E72" s="28" t="s">
        <v>436</v>
      </c>
      <c r="F72" s="28" t="s">
        <v>437</v>
      </c>
    </row>
    <row r="74" spans="2:6" ht="18" customHeight="1" x14ac:dyDescent="0.35">
      <c r="B74" s="1" t="s">
        <v>438</v>
      </c>
      <c r="C74" s="1"/>
      <c r="D74" s="1"/>
      <c r="E74" s="1"/>
      <c r="F74" s="1"/>
    </row>
    <row r="75" spans="2:6" ht="30" customHeight="1" x14ac:dyDescent="0.35">
      <c r="B75" s="25" t="s">
        <v>164</v>
      </c>
      <c r="C75" s="25" t="s">
        <v>371</v>
      </c>
      <c r="D75" s="25" t="s">
        <v>372</v>
      </c>
      <c r="E75" s="25" t="s">
        <v>373</v>
      </c>
      <c r="F75" s="25" t="s">
        <v>374</v>
      </c>
    </row>
    <row r="76" spans="2:6" ht="30" customHeight="1" x14ac:dyDescent="0.35">
      <c r="B76" s="31" t="s">
        <v>439</v>
      </c>
      <c r="C76" s="12">
        <v>0.03</v>
      </c>
      <c r="D76" s="28" t="str">
        <f>"Barèmes librement fixés depuis la loi Hoguet ; fourchettes observées sur les barèmes affichés en agence en 2026, biens de plus de 300 000 €. Consulté le "&amp;TEXT(DAY(Paramètres!$C$105),"00")&amp;"/"&amp;TEXT(MONTH(Paramètres!$C$105),"00")&amp;"/"&amp;YEAR(Paramètres!$C$105)&amp;"."</f>
        <v>Barèmes librement fixés depuis la loi Hoguet ; fourchettes observées sur les barèmes affichés en agence en 2026, biens de plus de 300 000 €. Consulté le 05/09/2026.</v>
      </c>
      <c r="E76" s="28" t="s">
        <v>440</v>
      </c>
      <c r="F76" s="28" t="s">
        <v>441</v>
      </c>
    </row>
    <row r="77" spans="2:6" ht="30" customHeight="1" x14ac:dyDescent="0.35">
      <c r="B77" s="31" t="s">
        <v>442</v>
      </c>
      <c r="C77" s="12">
        <v>7.0000000000000007E-2</v>
      </c>
      <c r="D77" s="28" t="s">
        <v>443</v>
      </c>
      <c r="E77" s="28" t="s">
        <v>440</v>
      </c>
      <c r="F77" s="28" t="s">
        <v>444</v>
      </c>
    </row>
    <row r="78" spans="2:6" ht="16.5" customHeight="1" x14ac:dyDescent="0.35">
      <c r="B78" s="31" t="s">
        <v>445</v>
      </c>
      <c r="C78" s="11">
        <v>300</v>
      </c>
      <c r="D78" s="28" t="str">
        <f>"Code de la construction et de l'habitation art. L271-4 pour le contenu du dossier ; fourchettes de prix 2026 relevées chez les réseaux de diagnostiqueurs. Consulté le "&amp;TEXT(DAY(Paramètres!$C$105),"00")&amp;"/"&amp;TEXT(MONTH(Paramètres!$C$105),"00")&amp;"/"&amp;YEAR(Paramètres!$C$105)&amp;"."</f>
        <v>Code de la construction et de l'habitation art. L271-4 pour le contenu du dossier ; fourchettes de prix 2026 relevées chez les réseaux de diagnostiqueurs. Consulté le 05/09/2026.</v>
      </c>
      <c r="E78" s="28" t="s">
        <v>440</v>
      </c>
      <c r="F78" s="28" t="s">
        <v>446</v>
      </c>
    </row>
    <row r="79" spans="2:6" ht="57" customHeight="1" x14ac:dyDescent="0.35">
      <c r="B79" s="31" t="s">
        <v>447</v>
      </c>
      <c r="C79" s="11">
        <v>800</v>
      </c>
      <c r="D79" s="28" t="s">
        <v>448</v>
      </c>
      <c r="E79" s="28" t="s">
        <v>440</v>
      </c>
      <c r="F79" s="28" t="s">
        <v>449</v>
      </c>
    </row>
    <row r="80" spans="2:6" ht="16.5" customHeight="1" x14ac:dyDescent="0.35">
      <c r="B80" s="31" t="s">
        <v>450</v>
      </c>
      <c r="C80" s="11">
        <v>400</v>
      </c>
      <c r="D80" s="28" t="str">
        <f>"Tarif réglementé des notaires pour la mainlevée ; plafond réglementaire de l'état daté en copropriété (décret n° 2020-153 du 21/02/2020). Consulté le "&amp;TEXT(DAY(Paramètres!$C$105),"00")&amp;"/"&amp;TEXT(MONTH(Paramètres!$C$105),"00")&amp;"/"&amp;YEAR(Paramètres!$C$105)&amp;"."</f>
        <v>Tarif réglementé des notaires pour la mainlevée ; plafond réglementaire de l'état daté en copropriété (décret n° 2020-153 du 21/02/2020). Consulté le 05/09/2026.</v>
      </c>
      <c r="E80" s="28" t="s">
        <v>440</v>
      </c>
      <c r="F80" s="28" t="s">
        <v>451</v>
      </c>
    </row>
    <row r="81" spans="2:6" ht="30" customHeight="1" x14ac:dyDescent="0.35">
      <c r="B81" s="31" t="s">
        <v>452</v>
      </c>
      <c r="C81" s="11">
        <v>1200</v>
      </c>
      <c r="D81" s="28" t="s">
        <v>448</v>
      </c>
      <c r="E81" s="28" t="s">
        <v>440</v>
      </c>
      <c r="F81" s="28" t="s">
        <v>453</v>
      </c>
    </row>
    <row r="82" spans="2:6" ht="43.5" customHeight="1" x14ac:dyDescent="0.35">
      <c r="B82" s="31" t="s">
        <v>454</v>
      </c>
      <c r="C82" s="12">
        <v>1E-3</v>
      </c>
      <c r="D82" s="28" t="s">
        <v>455</v>
      </c>
      <c r="E82" s="28" t="s">
        <v>387</v>
      </c>
      <c r="F82" s="28" t="s">
        <v>456</v>
      </c>
    </row>
    <row r="83" spans="2:6" ht="30" customHeight="1" x14ac:dyDescent="0.35">
      <c r="B83" s="31" t="s">
        <v>457</v>
      </c>
      <c r="C83" s="26">
        <v>5</v>
      </c>
      <c r="D83" s="28" t="s">
        <v>458</v>
      </c>
      <c r="E83" s="28" t="s">
        <v>436</v>
      </c>
      <c r="F83" s="28" t="s">
        <v>459</v>
      </c>
    </row>
    <row r="84" spans="2:6" ht="30" customHeight="1" x14ac:dyDescent="0.35">
      <c r="B84" s="31" t="s">
        <v>460</v>
      </c>
      <c r="C84" s="26">
        <v>5</v>
      </c>
      <c r="D84" s="28" t="s">
        <v>461</v>
      </c>
      <c r="E84" s="28" t="s">
        <v>436</v>
      </c>
      <c r="F84" s="28" t="s">
        <v>462</v>
      </c>
    </row>
    <row r="85" spans="2:6" ht="43.5" customHeight="1" x14ac:dyDescent="0.35">
      <c r="B85" s="31" t="s">
        <v>463</v>
      </c>
      <c r="C85" s="12">
        <v>0.15</v>
      </c>
      <c r="D85" s="28" t="s">
        <v>464</v>
      </c>
      <c r="E85" s="28" t="s">
        <v>465</v>
      </c>
      <c r="F85" s="28" t="s">
        <v>466</v>
      </c>
    </row>
    <row r="86" spans="2:6" ht="57" customHeight="1" x14ac:dyDescent="0.35">
      <c r="B86" s="31" t="s">
        <v>467</v>
      </c>
      <c r="C86" s="18">
        <v>18264</v>
      </c>
      <c r="D86" s="28" t="s">
        <v>468</v>
      </c>
      <c r="E86" s="28" t="s">
        <v>387</v>
      </c>
      <c r="F86" s="28" t="s">
        <v>469</v>
      </c>
    </row>
    <row r="87" spans="2:6" ht="43.5" customHeight="1" x14ac:dyDescent="0.35">
      <c r="B87" s="31" t="s">
        <v>470</v>
      </c>
      <c r="C87" s="18">
        <v>73415</v>
      </c>
      <c r="D87" s="28" t="s">
        <v>471</v>
      </c>
      <c r="E87" s="28" t="s">
        <v>387</v>
      </c>
      <c r="F87" s="28" t="s">
        <v>472</v>
      </c>
    </row>
    <row r="89" spans="2:6" ht="18" customHeight="1" x14ac:dyDescent="0.35">
      <c r="B89" s="1" t="s">
        <v>473</v>
      </c>
      <c r="C89" s="1"/>
      <c r="D89" s="1"/>
      <c r="E89" s="1"/>
      <c r="F89" s="1"/>
    </row>
    <row r="90" spans="2:6" ht="30" customHeight="1" x14ac:dyDescent="0.35">
      <c r="B90" s="25" t="s">
        <v>474</v>
      </c>
      <c r="C90" s="25" t="s">
        <v>475</v>
      </c>
      <c r="D90" s="25" t="s">
        <v>374</v>
      </c>
      <c r="E90" s="25"/>
      <c r="F90" s="25"/>
    </row>
    <row r="91" spans="2:6" x14ac:dyDescent="0.35">
      <c r="B91" s="10" t="s">
        <v>476</v>
      </c>
      <c r="C91" s="12">
        <v>0</v>
      </c>
      <c r="D91" s="28" t="s">
        <v>477</v>
      </c>
    </row>
    <row r="92" spans="2:6" ht="24" x14ac:dyDescent="0.35">
      <c r="B92" s="10" t="s">
        <v>478</v>
      </c>
      <c r="C92" s="12">
        <v>0.4</v>
      </c>
      <c r="D92" s="28" t="s">
        <v>479</v>
      </c>
    </row>
    <row r="93" spans="2:6" x14ac:dyDescent="0.35">
      <c r="B93" s="10" t="s">
        <v>480</v>
      </c>
      <c r="C93" s="12">
        <v>0.55000000000000004</v>
      </c>
      <c r="D93" s="28" t="s">
        <v>481</v>
      </c>
    </row>
    <row r="94" spans="2:6" x14ac:dyDescent="0.35">
      <c r="B94" s="10" t="s">
        <v>482</v>
      </c>
      <c r="C94" s="12">
        <v>0.75</v>
      </c>
      <c r="D94" s="28" t="s">
        <v>483</v>
      </c>
    </row>
    <row r="95" spans="2:6" ht="24" x14ac:dyDescent="0.35">
      <c r="B95" s="10" t="s">
        <v>484</v>
      </c>
      <c r="D95" s="28" t="s">
        <v>485</v>
      </c>
    </row>
    <row r="97" spans="2:8" ht="18" customHeight="1" x14ac:dyDescent="0.35">
      <c r="B97" s="1" t="s">
        <v>486</v>
      </c>
      <c r="C97" s="1"/>
      <c r="D97" s="1"/>
      <c r="E97" s="1"/>
      <c r="F97" s="1"/>
      <c r="G97" s="1"/>
      <c r="H97" s="1"/>
    </row>
    <row r="98" spans="2:8" ht="30" customHeight="1" x14ac:dyDescent="0.35">
      <c r="B98" s="25" t="s">
        <v>231</v>
      </c>
      <c r="C98" s="25" t="s">
        <v>487</v>
      </c>
      <c r="D98" s="25" t="s">
        <v>488</v>
      </c>
      <c r="E98" s="25" t="s">
        <v>267</v>
      </c>
      <c r="F98" s="25" t="s">
        <v>272</v>
      </c>
      <c r="G98" s="25" t="s">
        <v>489</v>
      </c>
      <c r="H98" s="25" t="s">
        <v>280</v>
      </c>
    </row>
    <row r="99" spans="2:8" x14ac:dyDescent="0.35">
      <c r="B99" s="10" t="s">
        <v>232</v>
      </c>
      <c r="C99" s="10" t="s">
        <v>490</v>
      </c>
      <c r="D99" s="10" t="s">
        <v>257</v>
      </c>
      <c r="E99" s="10" t="s">
        <v>268</v>
      </c>
      <c r="F99" s="10" t="s">
        <v>273</v>
      </c>
      <c r="G99" s="10" t="s">
        <v>254</v>
      </c>
      <c r="H99" s="10" t="s">
        <v>281</v>
      </c>
    </row>
    <row r="100" spans="2:8" x14ac:dyDescent="0.35">
      <c r="B100" s="10" t="s">
        <v>491</v>
      </c>
      <c r="C100" s="10" t="s">
        <v>285</v>
      </c>
      <c r="D100" s="10" t="s">
        <v>492</v>
      </c>
      <c r="E100" s="10" t="s">
        <v>493</v>
      </c>
      <c r="F100" s="10" t="s">
        <v>275</v>
      </c>
      <c r="G100" s="10" t="s">
        <v>494</v>
      </c>
      <c r="H100" s="10" t="s">
        <v>495</v>
      </c>
    </row>
    <row r="101" spans="2:8" x14ac:dyDescent="0.35">
      <c r="D101" s="10" t="s">
        <v>496</v>
      </c>
      <c r="F101" s="10" t="s">
        <v>497</v>
      </c>
      <c r="H101" s="10" t="s">
        <v>498</v>
      </c>
    </row>
    <row r="102" spans="2:8" x14ac:dyDescent="0.35">
      <c r="H102" s="10" t="s">
        <v>499</v>
      </c>
    </row>
    <row r="103" spans="2:8" x14ac:dyDescent="0.35">
      <c r="H103" s="10" t="s">
        <v>500</v>
      </c>
    </row>
    <row r="105" spans="2:8" x14ac:dyDescent="0.35">
      <c r="B105" s="14" t="s">
        <v>501</v>
      </c>
      <c r="C105" s="18">
        <v>46270</v>
      </c>
      <c r="D105" s="9" t="s">
        <v>502</v>
      </c>
    </row>
    <row r="107" spans="2:8" x14ac:dyDescent="0.35">
      <c r="B107" s="9" t="s">
        <v>503</v>
      </c>
    </row>
    <row r="108" spans="2:8" x14ac:dyDescent="0.35">
      <c r="B108" s="9" t="s">
        <v>504</v>
      </c>
    </row>
    <row r="110" spans="2:8" ht="36" customHeight="1" x14ac:dyDescent="0.35">
      <c r="B110" s="42" t="s">
        <v>223</v>
      </c>
      <c r="C110" s="40"/>
      <c r="D110" s="40"/>
      <c r="E110" s="40"/>
      <c r="F110" s="40"/>
    </row>
  </sheetData>
  <sheetProtection sheet="1" formatColumns="0" formatRows="0"/>
  <mergeCells count="1">
    <mergeCell ref="B110:F110"/>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54"/>
  <sheetViews>
    <sheetView showGridLines="0" workbookViewId="0">
      <selection activeCell="B1" sqref="B1"/>
    </sheetView>
  </sheetViews>
  <sheetFormatPr baseColWidth="10" defaultColWidth="8.7265625" defaultRowHeight="14.5" x14ac:dyDescent="0.35"/>
  <cols>
    <col min="1" max="1" width="2" customWidth="1"/>
    <col min="2" max="2" width="38" customWidth="1"/>
    <col min="3" max="3" width="116" customWidth="1"/>
  </cols>
  <sheetData>
    <row r="1" spans="2:3" ht="20" customHeight="1" x14ac:dyDescent="0.35">
      <c r="B1" s="1" t="s">
        <v>0</v>
      </c>
      <c r="C1" s="1"/>
    </row>
    <row r="2" spans="2:3" ht="26" customHeight="1" x14ac:dyDescent="0.35">
      <c r="B2" s="2" t="s">
        <v>505</v>
      </c>
    </row>
    <row r="3" spans="2:3" x14ac:dyDescent="0.35">
      <c r="B3" s="3" t="s">
        <v>506</v>
      </c>
    </row>
    <row r="5" spans="2:3" ht="18" customHeight="1" x14ac:dyDescent="0.35">
      <c r="B5" s="1" t="s">
        <v>507</v>
      </c>
      <c r="C5" s="1"/>
    </row>
    <row r="6" spans="2:3" ht="84" customHeight="1" x14ac:dyDescent="0.35">
      <c r="B6" s="8" t="s">
        <v>508</v>
      </c>
      <c r="C6" s="4" t="s">
        <v>509</v>
      </c>
    </row>
    <row r="7" spans="2:3" ht="43.5" customHeight="1" x14ac:dyDescent="0.35">
      <c r="B7" s="8" t="s">
        <v>510</v>
      </c>
      <c r="C7" s="4" t="s">
        <v>511</v>
      </c>
    </row>
    <row r="8" spans="2:3" ht="70.5" customHeight="1" x14ac:dyDescent="0.35">
      <c r="B8" s="8" t="s">
        <v>265</v>
      </c>
      <c r="C8" s="4" t="s">
        <v>512</v>
      </c>
    </row>
    <row r="9" spans="2:3" ht="57" customHeight="1" x14ac:dyDescent="0.35">
      <c r="B9" s="8" t="s">
        <v>513</v>
      </c>
      <c r="C9" s="4" t="s">
        <v>514</v>
      </c>
    </row>
    <row r="10" spans="2:3" ht="70.5" customHeight="1" x14ac:dyDescent="0.35">
      <c r="B10" s="8" t="s">
        <v>296</v>
      </c>
      <c r="C10" s="4" t="s">
        <v>515</v>
      </c>
    </row>
    <row r="11" spans="2:3" ht="70.5" customHeight="1" x14ac:dyDescent="0.35">
      <c r="B11" s="8" t="s">
        <v>516</v>
      </c>
      <c r="C11" s="4" t="s">
        <v>517</v>
      </c>
    </row>
    <row r="12" spans="2:3" ht="84" customHeight="1" x14ac:dyDescent="0.35">
      <c r="B12" s="8" t="s">
        <v>518</v>
      </c>
      <c r="C12" s="4" t="s">
        <v>519</v>
      </c>
    </row>
    <row r="13" spans="2:3" ht="57" customHeight="1" x14ac:dyDescent="0.35">
      <c r="B13" s="8" t="s">
        <v>520</v>
      </c>
      <c r="C13" s="4" t="s">
        <v>521</v>
      </c>
    </row>
    <row r="14" spans="2:3" ht="70.5" customHeight="1" x14ac:dyDescent="0.35">
      <c r="B14" s="8" t="s">
        <v>522</v>
      </c>
      <c r="C14" s="4" t="s">
        <v>523</v>
      </c>
    </row>
    <row r="15" spans="2:3" ht="70.5" customHeight="1" x14ac:dyDescent="0.35">
      <c r="B15" s="8" t="s">
        <v>524</v>
      </c>
      <c r="C15" s="4" t="s">
        <v>525</v>
      </c>
    </row>
    <row r="16" spans="2:3" ht="57" customHeight="1" x14ac:dyDescent="0.35">
      <c r="B16" s="8" t="s">
        <v>526</v>
      </c>
      <c r="C16" s="4" t="s">
        <v>527</v>
      </c>
    </row>
    <row r="17" spans="2:3" ht="43.5" customHeight="1" x14ac:dyDescent="0.35">
      <c r="B17" s="8" t="s">
        <v>528</v>
      </c>
      <c r="C17" s="4" t="s">
        <v>529</v>
      </c>
    </row>
    <row r="19" spans="2:3" ht="18" customHeight="1" x14ac:dyDescent="0.35">
      <c r="B19" s="1" t="s">
        <v>530</v>
      </c>
      <c r="C19" s="1"/>
    </row>
    <row r="20" spans="2:3" ht="30" customHeight="1" x14ac:dyDescent="0.35">
      <c r="B20" s="39" t="s">
        <v>531</v>
      </c>
      <c r="C20" s="40"/>
    </row>
    <row r="21" spans="2:3" ht="30" customHeight="1" x14ac:dyDescent="0.35">
      <c r="B21" s="39" t="s">
        <v>532</v>
      </c>
      <c r="C21" s="40"/>
    </row>
    <row r="22" spans="2:3" ht="30" customHeight="1" x14ac:dyDescent="0.35">
      <c r="B22" s="39" t="s">
        <v>533</v>
      </c>
      <c r="C22" s="40"/>
    </row>
    <row r="23" spans="2:3" ht="30" customHeight="1" x14ac:dyDescent="0.35">
      <c r="B23" s="39" t="s">
        <v>534</v>
      </c>
      <c r="C23" s="40"/>
    </row>
    <row r="24" spans="2:3" ht="30" customHeight="1" x14ac:dyDescent="0.35">
      <c r="B24" s="39" t="s">
        <v>535</v>
      </c>
      <c r="C24" s="40"/>
    </row>
    <row r="25" spans="2:3" ht="30" customHeight="1" x14ac:dyDescent="0.35">
      <c r="B25" s="39" t="s">
        <v>536</v>
      </c>
      <c r="C25" s="40"/>
    </row>
    <row r="26" spans="2:3" ht="30" customHeight="1" x14ac:dyDescent="0.35">
      <c r="B26" s="39" t="s">
        <v>537</v>
      </c>
      <c r="C26" s="40"/>
    </row>
    <row r="27" spans="2:3" ht="16.5" customHeight="1" x14ac:dyDescent="0.35">
      <c r="B27" s="39" t="s">
        <v>538</v>
      </c>
      <c r="C27" s="40"/>
    </row>
    <row r="29" spans="2:3" ht="18" customHeight="1" x14ac:dyDescent="0.35">
      <c r="B29" s="1" t="s">
        <v>539</v>
      </c>
      <c r="C29" s="1"/>
    </row>
    <row r="30" spans="2:3" ht="43.5" customHeight="1" x14ac:dyDescent="0.35">
      <c r="B30" s="8" t="s">
        <v>540</v>
      </c>
      <c r="C30" s="4" t="s">
        <v>541</v>
      </c>
    </row>
    <row r="31" spans="2:3" ht="30" customHeight="1" x14ac:dyDescent="0.35">
      <c r="B31" s="8" t="s">
        <v>542</v>
      </c>
      <c r="C31" s="4" t="s">
        <v>543</v>
      </c>
    </row>
    <row r="32" spans="2:3" ht="43.5" customHeight="1" x14ac:dyDescent="0.35">
      <c r="B32" s="8" t="s">
        <v>544</v>
      </c>
      <c r="C32" s="4" t="s">
        <v>545</v>
      </c>
    </row>
    <row r="33" spans="2:3" ht="43.5" customHeight="1" x14ac:dyDescent="0.35">
      <c r="B33" s="8" t="s">
        <v>546</v>
      </c>
      <c r="C33" s="4" t="s">
        <v>547</v>
      </c>
    </row>
    <row r="34" spans="2:3" ht="30" customHeight="1" x14ac:dyDescent="0.35">
      <c r="B34" s="8" t="s">
        <v>548</v>
      </c>
      <c r="C34" s="4" t="s">
        <v>549</v>
      </c>
    </row>
    <row r="36" spans="2:3" ht="18" customHeight="1" x14ac:dyDescent="0.35">
      <c r="B36" s="1" t="s">
        <v>550</v>
      </c>
      <c r="C36" s="1"/>
    </row>
    <row r="37" spans="2:3" ht="30" customHeight="1" x14ac:dyDescent="0.35">
      <c r="B37" s="8" t="s">
        <v>375</v>
      </c>
      <c r="C37" s="28" t="str">
        <f>"CGI art. 200 B et 150 VF, taux proportionnel de 19 %. Legifrance, version en vigueur au 01/01/2026. Vérifié le "&amp;TEXT(DAY(Paramètres!$C$105),"00")&amp;"/"&amp;TEXT(MONTH(Paramètres!$C$105),"00")&amp;"/"&amp;YEAR(Paramètres!$C$105)&amp;"."</f>
        <v>CGI art. 200 B et 150 VF, taux proportionnel de 19 %. Legifrance, version en vigueur au 01/01/2026. Vérifié le 05/09/2026.</v>
      </c>
    </row>
    <row r="38" spans="2:3" ht="43.5" customHeight="1" x14ac:dyDescent="0.35">
      <c r="B38" s="8" t="s">
        <v>378</v>
      </c>
      <c r="C38" s="28" t="str">
        <f>"CSS art. L136-7 et L136-8, CGI art. 235 ter. La hausse de CSG de la loi de financement pour 2026 ne vise pas les plus-values immobilières, maintenues à 17,2 %. service-public.gouv.fr, fiche F10864 du 15/04/2026. Vérifié le "&amp;TEXT(DAY(Paramètres!$C$105),"00")&amp;"/"&amp;TEXT(MONTH(Paramètres!$C$105),"00")&amp;"/"&amp;YEAR(Paramètres!$C$105)&amp;"."</f>
        <v>CSS art. L136-7 et L136-8, CGI art. 235 ter. La hausse de CSG de la loi de financement pour 2026 ne vise pas les plus-values immobilières, maintenues à 17,2 %. service-public.gouv.fr, fiche F10864 du 15/04/2026. Vérifié le 05/09/2026.</v>
      </c>
    </row>
    <row r="39" spans="2:3" ht="43.5" customHeight="1" x14ac:dyDescent="0.35">
      <c r="B39" s="8" t="s">
        <v>381</v>
      </c>
      <c r="C39" s="28" t="str">
        <f>"CGI art. 150 VB, II-3° ; BOFiP BOI-RFPI-PVI-20-10-20-20 du 20/12/2013, § 30 : forfait de 7,5 % du prix, sur option, réservé aux acquisitions à titre onéreux. Vérifié le "&amp;TEXT(DAY(Paramètres!$C$105),"00")&amp;"/"&amp;TEXT(MONTH(Paramètres!$C$105),"00")&amp;"/"&amp;YEAR(Paramètres!$C$105)&amp;"."</f>
        <v>CGI art. 150 VB, II-3° ; BOFiP BOI-RFPI-PVI-20-10-20-20 du 20/12/2013, § 30 : forfait de 7,5 % du prix, sur option, réservé aux acquisitions à titre onéreux. Vérifié le 05/09/2026.</v>
      </c>
    </row>
    <row r="40" spans="2:3" ht="43.5" customHeight="1" x14ac:dyDescent="0.35">
      <c r="B40" s="8" t="s">
        <v>384</v>
      </c>
      <c r="C40" s="28" t="str">
        <f>"CGI art. 150 VB, II-4° ; BOFiP BOI-RFPI-PVI-20-10-20-20, § 360 et § 380 : 15 % du prix d'acquisition, sans justificatif, pour un immeuble bâti détenu depuis plus de cinq ans. Vérifié le "&amp;TEXT(DAY(Paramètres!$C$105),"00")&amp;"/"&amp;TEXT(MONTH(Paramètres!$C$105),"00")&amp;"/"&amp;YEAR(Paramètres!$C$105)&amp;"."</f>
        <v>CGI art. 150 VB, II-4° ; BOFiP BOI-RFPI-PVI-20-10-20-20, § 360 et § 380 : 15 % du prix d'acquisition, sans justificatif, pour un immeuble bâti détenu depuis plus de cinq ans. Vérifié le 05/09/2026.</v>
      </c>
    </row>
    <row r="41" spans="2:3" ht="30" customHeight="1" x14ac:dyDescent="0.35">
      <c r="B41" s="8" t="s">
        <v>386</v>
      </c>
      <c r="C41" s="28" t="str">
        <f>"BOFiP BOI-RFPI-PVI-20-10-20-20, § 360 : plus de cinq ans après l'acquisition, apprécié de date à date. Vérifié le "&amp;TEXT(DAY(Paramètres!$C$105),"00")&amp;"/"&amp;TEXT(MONTH(Paramètres!$C$105),"00")&amp;"/"&amp;YEAR(Paramètres!$C$105)&amp;"."</f>
        <v>BOFiP BOI-RFPI-PVI-20-10-20-20, § 360 : plus de cinq ans après l'acquisition, apprécié de date à date. Vérifié le 05/09/2026.</v>
      </c>
    </row>
    <row r="42" spans="2:3" ht="30" customHeight="1" x14ac:dyDescent="0.35">
      <c r="B42" s="8" t="s">
        <v>389</v>
      </c>
      <c r="C42" s="28" t="str">
        <f>"CGI art. 150 U, II-6° ; BOFiP BOI-RFPI-PVI-10-40 : prix de cession inférieur ou égal à 15 000 €, apprécié bien par bien et par vendeur. Vérifié le "&amp;TEXT(DAY(Paramètres!$C$105),"00")&amp;"/"&amp;TEXT(MONTH(Paramètres!$C$105),"00")&amp;"/"&amp;YEAR(Paramètres!$C$105)&amp;"."</f>
        <v>CGI art. 150 U, II-6° ; BOFiP BOI-RFPI-PVI-10-40 : prix de cession inférieur ou égal à 15 000 €, apprécié bien par bien et par vendeur. Vérifié le 05/09/2026.</v>
      </c>
    </row>
    <row r="43" spans="2:3" ht="30" customHeight="1" x14ac:dyDescent="0.35">
      <c r="B43" s="8" t="s">
        <v>391</v>
      </c>
      <c r="C43" s="28" t="str">
        <f>"Code de la consommation art. L313-47 et R313-25, version en vigueur au 01/07/2016 : 3 % du capital restant dû avant le remboursement. Vérifié le "&amp;TEXT(DAY(Paramètres!$C$105),"00")&amp;"/"&amp;TEXT(MONTH(Paramètres!$C$105),"00")&amp;"/"&amp;YEAR(Paramètres!$C$105)&amp;"."</f>
        <v>Code de la consommation art. L313-47 et R313-25, version en vigueur au 01/07/2016 : 3 % du capital restant dû avant le remboursement. Vérifié le 05/09/2026.</v>
      </c>
    </row>
    <row r="44" spans="2:3" ht="43.5" customHeight="1" x14ac:dyDescent="0.35">
      <c r="B44" s="8" t="s">
        <v>393</v>
      </c>
      <c r="C44" s="28" t="str">
        <f>"Code de la consommation art. R313-25 : un semestre d'intérêts sur le capital remboursé, au taux moyen du prêt. Le plus faible des deux plafonds s'applique. Vérifié le "&amp;TEXT(DAY(Paramètres!$C$105),"00")&amp;"/"&amp;TEXT(MONTH(Paramètres!$C$105),"00")&amp;"/"&amp;YEAR(Paramètres!$C$105)&amp;"."</f>
        <v>Code de la consommation art. R313-25 : un semestre d'intérêts sur le capital remboursé, au taux moyen du prêt. Le plus faible des deux plafonds s'applique. Vérifié le 05/09/2026.</v>
      </c>
    </row>
    <row r="45" spans="2:3" ht="57" customHeight="1" x14ac:dyDescent="0.35">
      <c r="B45" s="8" t="s">
        <v>513</v>
      </c>
      <c r="C45" s="28" t="s">
        <v>399</v>
      </c>
    </row>
    <row r="46" spans="2:3" ht="43.5" customHeight="1" x14ac:dyDescent="0.35">
      <c r="B46" s="8" t="s">
        <v>551</v>
      </c>
      <c r="C46" s="28" t="s">
        <v>407</v>
      </c>
    </row>
    <row r="47" spans="2:3" ht="30" customHeight="1" x14ac:dyDescent="0.35">
      <c r="B47" s="8" t="s">
        <v>552</v>
      </c>
      <c r="C47" s="28" t="s">
        <v>553</v>
      </c>
    </row>
    <row r="48" spans="2:3" ht="30" customHeight="1" x14ac:dyDescent="0.35">
      <c r="B48" s="8" t="s">
        <v>554</v>
      </c>
      <c r="C48" s="28" t="s">
        <v>555</v>
      </c>
    </row>
    <row r="49" spans="2:3" ht="30" customHeight="1" x14ac:dyDescent="0.35">
      <c r="B49" s="8" t="s">
        <v>556</v>
      </c>
      <c r="C49" s="28" t="s">
        <v>557</v>
      </c>
    </row>
    <row r="50" spans="2:3" ht="30" customHeight="1" x14ac:dyDescent="0.35">
      <c r="B50" s="8" t="s">
        <v>558</v>
      </c>
      <c r="C50" s="28" t="s">
        <v>559</v>
      </c>
    </row>
    <row r="51" spans="2:3" ht="16.5" customHeight="1" x14ac:dyDescent="0.35">
      <c r="B51" s="8" t="s">
        <v>520</v>
      </c>
      <c r="C51" s="28" t="s">
        <v>560</v>
      </c>
    </row>
    <row r="52" spans="2:3" ht="16.5" customHeight="1" x14ac:dyDescent="0.35">
      <c r="B52" s="8" t="s">
        <v>248</v>
      </c>
      <c r="C52" s="28" t="s">
        <v>561</v>
      </c>
    </row>
    <row r="54" spans="2:3" ht="36" customHeight="1" x14ac:dyDescent="0.35">
      <c r="B54" s="42" t="s">
        <v>223</v>
      </c>
      <c r="C54" s="40"/>
    </row>
  </sheetData>
  <sheetProtection sheet="1" formatColumns="0" formatRows="0"/>
  <mergeCells count="9">
    <mergeCell ref="B21:C21"/>
    <mergeCell ref="B24:C24"/>
    <mergeCell ref="B54:C54"/>
    <mergeCell ref="B25:C25"/>
    <mergeCell ref="B20:C20"/>
    <mergeCell ref="B23:C23"/>
    <mergeCell ref="B22:C22"/>
    <mergeCell ref="B26:C26"/>
    <mergeCell ref="B27:C27"/>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d'emploi</vt:lpstr>
      <vt:lpstr>Net vendeur</vt:lpstr>
      <vt:lpstr>Qualifier le mandat</vt:lpstr>
      <vt:lpstr>Paramètres</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Net vendeur, honoraires et qualification du mandat</dc:title>
  <dc:creator>CorpusImmo</dc:creator>
  <cp:lastModifiedBy>CorpusImmo</cp:lastModifiedBy>
  <dcterms:created xsi:type="dcterms:W3CDTF">2026-09-07T09:29:40Z</dcterms:created>
  <dcterms:modified xsi:type="dcterms:W3CDTF">2026-09-07T09:29:44Z</dcterms:modified>
</cp:coreProperties>
</file>